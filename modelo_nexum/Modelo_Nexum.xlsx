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Inputs" sheetId="1" state="visible" r:id="rId1"/>
    <sheet name="01_Flujos" sheetId="2" state="visible" r:id="rId2"/>
    <sheet name="02_TIR_Objetivos" sheetId="3" state="visible" r:id="rId3"/>
    <sheet name="03_LDI_Educacion" sheetId="4" state="visible" r:id="rId4"/>
    <sheet name="04_Universo_Benchmarks" sheetId="5" state="visible" r:id="rId5"/>
    <sheet name="05_Datos_Historicos" sheetId="6" state="visible" r:id="rId6"/>
    <sheet name="06_Parametros_Estrategias" sheetId="7" state="visible" r:id="rId7"/>
    <sheet name="07_Backtest_CMD" sheetId="8" state="visible" r:id="rId8"/>
    <sheet name="08_Proxies_Activas" sheetId="9" state="visible" r:id="rId9"/>
    <sheet name="09_Optimizador_Cartera" sheetId="10" state="visible" r:id="rId10"/>
    <sheet name="10_Monte_Carlo" sheetId="11" state="visible" r:id="rId11"/>
  </sheets>
  <definedNames/>
</workbook>
</file>

<file path=xl/styles.xml><?xml version="1.0" encoding="utf-8"?>
<styleSheet xmlns="http://schemas.openxmlformats.org/spreadsheetml/2006/main">
  <numFmts count="22">
    <numFmt numFmtId="164" formatCode="dd-mm-yyyy"/>
    <numFmt numFmtId="165" formatCode="#,##0.0000"/>
    <numFmt numFmtId="166" formatCode="0.00000000"/>
    <numFmt numFmtId="167" formatCode="$#,##0.00;($#,##0.00);-"/>
    <numFmt numFmtId="168" formatCode="#,##0.00;(#,##0.00);-"/>
    <numFmt numFmtId="169" formatCode="0.0%"/>
    <numFmt numFmtId="170" formatCode="0 &quot;años&quot;"/>
    <numFmt numFmtId="171" formatCode="0.000%"/>
    <numFmt numFmtId="172" formatCode="0.00x"/>
    <numFmt numFmtId="173" formatCode="0.000 &quot;p.p.&quot;"/>
    <numFmt numFmtId="174" formatCode="0.000000"/>
    <numFmt numFmtId="175" formatCode="0.000 &quot;años&quot;"/>
    <numFmt numFmtId="176" formatCode="0.000"/>
    <numFmt numFmtId="177" formatCode="0.00 &quot;años&quot;"/>
    <numFmt numFmtId="178" formatCode="0.000%;;&quot;Pendiente&quot;"/>
    <numFmt numFmtId="179" formatCode="mmm-aaaa"/>
    <numFmt numFmtId="180" formatCode="mmm-yyyy"/>
    <numFmt numFmtId="181" formatCode="$#,##0"/>
    <numFmt numFmtId="182" formatCode="dd-mmm-yyyy"/>
    <numFmt numFmtId="183" formatCode="0.00000"/>
    <numFmt numFmtId="184" formatCode="yyyy-mm-dd"/>
    <numFmt numFmtId="185" formatCode="0.00&quot;x&quot;"/>
  </numFmts>
  <fonts count="20">
    <font>
      <name val="Carlito"/>
      <sz val="11"/>
    </font>
    <font>
      <name val="Carlito"/>
      <b val="1"/>
      <color rgb="FFFFFFFF"/>
      <sz val="16"/>
    </font>
    <font>
      <name val="Carlito"/>
      <i val="1"/>
      <color rgb="FF595959"/>
      <sz val="10"/>
    </font>
    <font>
      <name val="Carlito"/>
      <b val="1"/>
      <color rgb="FF17365D"/>
      <sz val="11"/>
    </font>
    <font>
      <name val="Carlito"/>
      <i val="1"/>
      <color rgb="FF595959"/>
      <sz val="11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595959"/>
      <sz val="11"/>
    </font>
    <font>
      <name val="Carlito"/>
      <b val="1"/>
      <sz val="11"/>
    </font>
    <font>
      <name val="Carlito"/>
      <b val="1"/>
      <color rgb="FF595959"/>
      <sz val="11"/>
    </font>
    <font>
      <name val="Carlito"/>
      <b val="1"/>
      <color rgb="FF006100"/>
      <sz val="11"/>
    </font>
    <font>
      <name val="Carlito"/>
      <b val="1"/>
      <color rgb="FF008000"/>
      <sz val="11"/>
    </font>
    <font>
      <name val="Carlito"/>
      <color rgb="FF008000"/>
      <sz val="11"/>
    </font>
    <font>
      <name val="Carlito"/>
      <b val="1"/>
      <color rgb="FF9C0006"/>
      <sz val="11"/>
    </font>
    <font>
      <name val="Carlito"/>
      <color rgb="FF17365D"/>
      <sz val="11"/>
    </font>
    <font>
      <name val="Carlito"/>
      <b val="1"/>
      <color rgb="FF0000FF"/>
      <sz val="11"/>
    </font>
    <font>
      <name val="Carlito"/>
      <b val="1"/>
      <color rgb="FF9C6500"/>
      <sz val="11"/>
    </font>
    <font>
      <name val="Carlito"/>
      <i val="1"/>
      <color rgb="FFC00000"/>
      <sz val="10"/>
    </font>
  </fonts>
  <fills count="7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4B183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4B183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4B183"/>
      </patternFill>
    </fill>
    <fill>
      <patternFill patternType="solid">
        <fgColor rgb="FFC6E0B4"/>
      </patternFill>
    </fill>
  </fills>
  <borders count="37">
    <border/>
    <border>
      <left style="thin">
        <color rgb="FF9EADBA"/>
      </left>
      <top style="thin">
        <color rgb="FF9EADBA"/>
      </top>
      <bottom style="thin">
        <color rgb="FF9EADBA"/>
      </bottom>
    </border>
    <border>
      <top style="thin">
        <color rgb="FF9EADBA"/>
      </top>
      <bottom style="thin">
        <color rgb="FF9EADBA"/>
      </bottom>
    </border>
    <border>
      <right style="thin">
        <color rgb="FF9EADBA"/>
      </right>
      <top style="thin">
        <color rgb="FF9EADBA"/>
      </top>
      <bottom style="thin">
        <color rgb="FF9EADB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</border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</border>
    <border>
      <top style="thin">
        <color rgb="FF9EADBA"/>
      </top>
    </border>
    <border>
      <right style="thin">
        <color rgb="FF9EADBA"/>
      </right>
      <top style="thin">
        <color rgb="FF9EADBA"/>
      </top>
    </border>
    <border>
      <left style="thin">
        <color rgb="FF9EADBA"/>
      </left>
    </border>
    <border>
      <right style="thin">
        <color rgb="FF9EADBA"/>
      </right>
    </border>
    <border>
      <left style="thin">
        <color rgb="FF9EADBA"/>
      </left>
      <bottom style="thin">
        <color rgb="FF9EADBA"/>
      </bottom>
    </border>
    <border>
      <bottom style="thin">
        <color rgb="FF9EADBA"/>
      </bottom>
    </border>
    <border>
      <right style="thin">
        <color rgb="FF9EADBA"/>
      </right>
      <bottom style="thin">
        <color rgb="FF9EADBA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C55A11"/>
      </top>
    </border>
    <border>
      <left style="thin">
        <color rgb="FFC55A11"/>
      </left>
    </border>
    <border>
      <right style="thin">
        <color rgb="FFC55A11"/>
      </right>
      <top style="thin">
        <color rgb="FFC55A11"/>
      </top>
    </border>
    <border>
      <right style="thin">
        <color rgb="FFC55A11"/>
      </right>
    </border>
    <border>
      <left style="thin">
        <color rgb="FFC55A11"/>
      </left>
      <bottom style="thin">
        <color rgb="FFC55A11"/>
      </bottom>
    </border>
    <border>
      <bottom style="thin">
        <color rgb="FFC55A11"/>
      </bottom>
    </border>
    <border>
      <right style="thin">
        <color rgb="FFC55A11"/>
      </right>
      <bottom style="thin">
        <color rgb="FFC55A11"/>
      </bottom>
    </border>
    <border>
      <top style="thin">
        <color rgb="FFE7E6E6"/>
      </top>
    </border>
    <border>
      <right style="thin">
        <color rgb="FFE7E6E6"/>
      </right>
      <top style="thin">
        <color rgb="FFE7E6E6"/>
      </top>
    </border>
    <border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  <border>
      <right style="thin">
        <color rgb="FFE7E6E6"/>
      </right>
    </border>
    <border>
      <left style="thin">
        <color rgb="FFE7E6E6"/>
      </left>
      <bottom style="thin">
        <color rgb="FFE7E6E6"/>
      </bottom>
    </border>
    <border>
      <bottom style="thin">
        <color rgb="FFE7E6E6"/>
      </bottom>
    </border>
    <border>
      <right style="thin">
        <color rgb="FFE7E6E6"/>
      </right>
      <bottom style="thin">
        <color rgb="FFE7E6E6"/>
      </bottom>
    </border>
  </borders>
  <cellStyleXfs count="1">
    <xf numFmtId="0" fontId="0" fillId="0" borderId="7"/>
  </cellStyleXfs>
  <cellXfs count="56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3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4" pivotButton="0" quotePrefix="0" xfId="0"/>
    <xf numFmtId="0" fontId="3" fillId="6" borderId="4" applyAlignment="1" pivotButton="0" quotePrefix="0" xfId="0">
      <alignment wrapText="1"/>
    </xf>
    <xf numFmtId="0" fontId="3" fillId="6" borderId="4" applyAlignment="1" pivotButton="0" quotePrefix="0" xfId="0">
      <alignment vertical="center" wrapText="1"/>
    </xf>
    <xf numFmtId="0" fontId="0" fillId="7" borderId="0" pivotButton="0" quotePrefix="0" xfId="0"/>
    <xf numFmtId="0" fontId="6" fillId="7" borderId="0" pivotButton="0" quotePrefix="0" xfId="0"/>
    <xf numFmtId="164" fontId="6" fillId="7" borderId="0" pivotButton="0" quotePrefix="0" xfId="0"/>
    <xf numFmtId="0" fontId="0" fillId="8" borderId="0" pivotButton="0" quotePrefix="0" xfId="0"/>
    <xf numFmtId="0" fontId="7" fillId="8" borderId="0" pivotButton="0" quotePrefix="0" xfId="0"/>
    <xf numFmtId="165" fontId="6" fillId="7" borderId="0" pivotButton="0" quotePrefix="0" xfId="0"/>
    <xf numFmtId="165" fontId="7" fillId="8" borderId="0" pivotButton="0" quotePrefix="0" xfId="0"/>
    <xf numFmtId="166" fontId="7" fillId="8" borderId="0" pivotButton="0" quotePrefix="0" xfId="0"/>
    <xf numFmtId="0" fontId="8" fillId="8" borderId="0" pivotButton="0" quotePrefix="0" xfId="0"/>
    <xf numFmtId="167" fontId="6" fillId="7" borderId="0" pivotButton="0" quotePrefix="0" xfId="0"/>
    <xf numFmtId="1" fontId="6" fillId="7" borderId="0" pivotButton="0" quotePrefix="0" xfId="0"/>
    <xf numFmtId="167" fontId="8" fillId="8" borderId="0" pivotButton="0" quotePrefix="0" xfId="0"/>
    <xf numFmtId="0" fontId="6" fillId="7" borderId="5" pivotButton="0" quotePrefix="0" xfId="0"/>
    <xf numFmtId="0" fontId="7" fillId="8" borderId="5" pivotButton="0" quotePrefix="0" xfId="0"/>
    <xf numFmtId="0" fontId="9" fillId="4" borderId="0" pivotButton="0" quotePrefix="0" xfId="0"/>
    <xf numFmtId="0" fontId="9" fillId="4" borderId="5" pivotButton="0" quotePrefix="0" xfId="0"/>
    <xf numFmtId="0" fontId="9" fillId="4" borderId="5" applyAlignment="1" pivotButton="0" quotePrefix="0" xfId="0">
      <alignment wrapText="1"/>
    </xf>
    <xf numFmtId="168" fontId="6" fillId="7" borderId="5" pivotButton="0" quotePrefix="0" xfId="0"/>
    <xf numFmtId="167" fontId="7" fillId="8" borderId="5" pivotButton="0" quotePrefix="0" xfId="0"/>
    <xf numFmtId="0" fontId="10" fillId="8" borderId="0" pivotButton="0" quotePrefix="0" xfId="0"/>
    <xf numFmtId="167" fontId="10" fillId="8" borderId="0" pivotButton="0" quotePrefix="0" xfId="0"/>
    <xf numFmtId="169" fontId="6" fillId="7" borderId="0" pivotButton="0" quotePrefix="0" xfId="0"/>
    <xf numFmtId="0" fontId="11" fillId="4" borderId="0" pivotButton="0" quotePrefix="0" xfId="0"/>
    <xf numFmtId="0" fontId="12" fillId="8" borderId="0" pivotButton="0" quotePrefix="0" xfId="0"/>
    <xf numFmtId="0" fontId="12" fillId="8" borderId="0" applyAlignment="1" pivotButton="0" quotePrefix="0" xfId="0">
      <alignment horizontal="center"/>
    </xf>
    <xf numFmtId="0" fontId="3" fillId="6" borderId="5" pivotButton="0" quotePrefix="0" xfId="0"/>
    <xf numFmtId="0" fontId="0" fillId="0" borderId="5" pivotButton="0" quotePrefix="0" xfId="0"/>
    <xf numFmtId="0" fontId="12" fillId="8" borderId="5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5" fontId="7" fillId="8" borderId="0" applyAlignment="1" pivotButton="0" quotePrefix="0" xfId="0">
      <alignment vertical="center"/>
    </xf>
    <xf numFmtId="166" fontId="7" fillId="8" borderId="0" applyAlignment="1" pivotButton="0" quotePrefix="0" xfId="0">
      <alignment vertical="center"/>
    </xf>
    <xf numFmtId="167" fontId="6" fillId="7" borderId="0" applyAlignment="1" pivotButton="0" quotePrefix="0" xfId="0">
      <alignment vertical="center"/>
    </xf>
    <xf numFmtId="1" fontId="6" fillId="7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167" fontId="8" fillId="8" borderId="0" applyAlignment="1" pivotButton="0" quotePrefix="0" xfId="0">
      <alignment vertical="center"/>
    </xf>
    <xf numFmtId="0" fontId="6" fillId="7" borderId="5" applyAlignment="1" pivotButton="0" quotePrefix="0" xfId="0">
      <alignment vertical="center"/>
    </xf>
    <xf numFmtId="168" fontId="6" fillId="7" borderId="5" applyAlignment="1" pivotButton="0" quotePrefix="0" xfId="0">
      <alignment vertical="center"/>
    </xf>
    <xf numFmtId="167" fontId="10" fillId="8" borderId="0" applyAlignment="1" pivotButton="0" quotePrefix="0" xfId="0">
      <alignment vertical="center"/>
    </xf>
    <xf numFmtId="169" fontId="6" fillId="7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3" fillId="6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2" fillId="8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4" fontId="6" fillId="7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165" fontId="6" fillId="7" borderId="0" applyAlignment="1" pivotButton="0" quotePrefix="0" xfId="0">
      <alignment vertical="center" wrapText="1"/>
    </xf>
    <xf numFmtId="165" fontId="7" fillId="8" borderId="0" applyAlignment="1" pivotButton="0" quotePrefix="0" xfId="0">
      <alignment vertical="center" wrapText="1"/>
    </xf>
    <xf numFmtId="166" fontId="7" fillId="8" borderId="0" applyAlignment="1" pivotButton="0" quotePrefix="0" xfId="0">
      <alignment vertical="center" wrapText="1"/>
    </xf>
    <xf numFmtId="167" fontId="6" fillId="7" borderId="0" applyAlignment="1" pivotButton="0" quotePrefix="0" xfId="0">
      <alignment vertical="center" wrapText="1"/>
    </xf>
    <xf numFmtId="1" fontId="6" fillId="7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7" fontId="8" fillId="8" borderId="0" applyAlignment="1" pivotButton="0" quotePrefix="0" xfId="0">
      <alignment vertical="center" wrapText="1"/>
    </xf>
    <xf numFmtId="0" fontId="6" fillId="7" borderId="5" applyAlignment="1" pivotButton="0" quotePrefix="0" xfId="0">
      <alignment vertical="center" wrapText="1"/>
    </xf>
    <xf numFmtId="168" fontId="6" fillId="7" borderId="5" applyAlignment="1" pivotButton="0" quotePrefix="0" xfId="0">
      <alignment vertical="center" wrapText="1"/>
    </xf>
    <xf numFmtId="167" fontId="10" fillId="8" borderId="0" applyAlignment="1" pivotButton="0" quotePrefix="0" xfId="0">
      <alignment vertical="center" wrapText="1"/>
    </xf>
    <xf numFmtId="169" fontId="6" fillId="7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3" fillId="6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2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vertical="center"/>
    </xf>
    <xf numFmtId="0" fontId="0" fillId="10" borderId="0" pivotButton="0" quotePrefix="0" xfId="0"/>
    <xf numFmtId="0" fontId="0" fillId="10" borderId="6" pivotButton="0" quotePrefix="0" xfId="0"/>
    <xf numFmtId="0" fontId="3" fillId="10" borderId="6" pivotButton="0" quotePrefix="0" xfId="0"/>
    <xf numFmtId="0" fontId="3" fillId="0" borderId="0" pivotButton="0" quotePrefix="0" xfId="0"/>
    <xf numFmtId="0" fontId="3" fillId="11" borderId="6" pivotButton="0" quotePrefix="0" xfId="0"/>
    <xf numFmtId="0" fontId="13" fillId="11" borderId="6" pivotButton="0" quotePrefix="0" xfId="0"/>
    <xf numFmtId="0" fontId="0" fillId="11" borderId="6" pivotButton="0" quotePrefix="0" xfId="0"/>
    <xf numFmtId="0" fontId="8" fillId="11" borderId="6" pivotButton="0" quotePrefix="0" xfId="0"/>
    <xf numFmtId="167" fontId="13" fillId="11" borderId="6" pivotButton="0" quotePrefix="0" xfId="0"/>
    <xf numFmtId="167" fontId="8" fillId="11" borderId="6" pivotButton="0" quotePrefix="0" xfId="0"/>
    <xf numFmtId="170" fontId="8" fillId="11" borderId="6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3" fillId="13" borderId="0" pivotButton="0" quotePrefix="0" xfId="0"/>
    <xf numFmtId="0" fontId="3" fillId="13" borderId="4" pivotButton="0" quotePrefix="0" xfId="0"/>
    <xf numFmtId="0" fontId="3" fillId="13" borderId="4" applyAlignment="1" pivotButton="0" quotePrefix="0" xfId="0">
      <alignment wrapText="1"/>
    </xf>
    <xf numFmtId="0" fontId="3" fillId="13" borderId="4" applyAlignment="1" pivotButton="0" quotePrefix="0" xfId="0">
      <alignment vertical="center" wrapText="1"/>
    </xf>
    <xf numFmtId="0" fontId="0" fillId="14" borderId="0" pivotButton="0" quotePrefix="0" xfId="0"/>
    <xf numFmtId="0" fontId="0" fillId="14" borderId="0" applyAlignment="1" pivotButton="0" quotePrefix="0" xfId="0">
      <alignment horizontal="center"/>
    </xf>
    <xf numFmtId="0" fontId="14" fillId="0" borderId="0" pivotButton="0" quotePrefix="0" xfId="0"/>
    <xf numFmtId="0" fontId="7" fillId="0" borderId="0" pivotButton="0" quotePrefix="0" xfId="0"/>
    <xf numFmtId="0" fontId="3" fillId="13" borderId="5" applyAlignment="1" pivotButton="0" quotePrefix="0" xfId="0">
      <alignment vertical="center" wrapText="1"/>
    </xf>
    <xf numFmtId="0" fontId="0" fillId="14" borderId="5" applyAlignment="1" pivotButton="0" quotePrefix="0" xfId="0">
      <alignment horizontal="center"/>
    </xf>
    <xf numFmtId="0" fontId="14" fillId="0" borderId="5" pivotButton="0" quotePrefix="0" xfId="0"/>
    <xf numFmtId="0" fontId="7" fillId="0" borderId="5" pivotButton="0" quotePrefix="0" xfId="0"/>
    <xf numFmtId="167" fontId="14" fillId="0" borderId="5" pivotButton="0" quotePrefix="0" xfId="0"/>
    <xf numFmtId="167" fontId="7" fillId="0" borderId="5" pivotButton="0" quotePrefix="0" xfId="0"/>
    <xf numFmtId="1" fontId="0" fillId="14" borderId="5" applyAlignment="1" pivotButton="0" quotePrefix="0" xfId="0">
      <alignment horizontal="center"/>
    </xf>
    <xf numFmtId="0" fontId="3" fillId="13" borderId="5" pivotButton="0" quotePrefix="0" xfId="0"/>
    <xf numFmtId="167" fontId="0" fillId="0" borderId="5" pivotButton="0" quotePrefix="0" xfId="0"/>
    <xf numFmtId="167" fontId="0" fillId="11" borderId="5" pivotButton="0" quotePrefix="0" xfId="0"/>
    <xf numFmtId="167" fontId="12" fillId="11" borderId="5" pivotButton="0" quotePrefix="0" xfId="0"/>
    <xf numFmtId="0" fontId="0" fillId="14" borderId="5" pivotButton="0" quotePrefix="0" xfId="0"/>
    <xf numFmtId="0" fontId="0" fillId="14" borderId="5" applyAlignment="1" pivotButton="0" quotePrefix="0" xfId="0">
      <alignment wrapText="1"/>
    </xf>
    <xf numFmtId="0" fontId="0" fillId="15" borderId="0" pivotButton="0" quotePrefix="0" xfId="0"/>
    <xf numFmtId="0" fontId="5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0" fontId="3" fillId="16" borderId="4" pivotButton="0" quotePrefix="0" xfId="0"/>
    <xf numFmtId="0" fontId="0" fillId="17" borderId="0" pivotButton="0" quotePrefix="0" xfId="0"/>
    <xf numFmtId="0" fontId="6" fillId="17" borderId="0" pivotButton="0" quotePrefix="0" xfId="0"/>
    <xf numFmtId="0" fontId="0" fillId="18" borderId="0" pivotButton="0" quotePrefix="0" xfId="0"/>
    <xf numFmtId="0" fontId="8" fillId="18" borderId="0" pivotButton="0" quotePrefix="0" xfId="0"/>
    <xf numFmtId="0" fontId="0" fillId="19" borderId="0" pivotButton="0" quotePrefix="0" xfId="0"/>
    <xf numFmtId="0" fontId="11" fillId="19" borderId="0" pivotButton="0" quotePrefix="0" xfId="0"/>
    <xf numFmtId="171" fontId="6" fillId="17" borderId="0" pivotButton="0" quotePrefix="0" xfId="0"/>
    <xf numFmtId="171" fontId="8" fillId="18" borderId="0" pivotButton="0" quotePrefix="0" xfId="0"/>
    <xf numFmtId="0" fontId="3" fillId="16" borderId="5" pivotButton="0" quotePrefix="0" xfId="0"/>
    <xf numFmtId="171" fontId="6" fillId="17" borderId="5" pivotButton="0" quotePrefix="0" xfId="0"/>
    <xf numFmtId="171" fontId="8" fillId="18" borderId="5" pivotButton="0" quotePrefix="0" xfId="0"/>
    <xf numFmtId="0" fontId="11" fillId="19" borderId="5" pivotButton="0" quotePrefix="0" xfId="0"/>
    <xf numFmtId="0" fontId="0" fillId="0" borderId="5" applyAlignment="1" pivotButton="0" quotePrefix="0" xfId="0">
      <alignment wrapText="1"/>
    </xf>
    <xf numFmtId="171" fontId="6" fillId="17" borderId="5" applyAlignment="1" pivotButton="0" quotePrefix="0" xfId="0">
      <alignment wrapText="1"/>
    </xf>
    <xf numFmtId="171" fontId="8" fillId="18" borderId="5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vertical="center"/>
    </xf>
    <xf numFmtId="0" fontId="0" fillId="18" borderId="5" applyAlignment="1" pivotButton="0" quotePrefix="0" xfId="0">
      <alignment wrapText="1"/>
    </xf>
    <xf numFmtId="0" fontId="8" fillId="18" borderId="5" applyAlignment="1" pivotButton="0" quotePrefix="0" xfId="0">
      <alignment wrapText="1"/>
    </xf>
    <xf numFmtId="0" fontId="13" fillId="18" borderId="5" applyAlignment="1" pivotButton="0" quotePrefix="0" xfId="0">
      <alignment wrapText="1"/>
    </xf>
    <xf numFmtId="167" fontId="8" fillId="18" borderId="5" applyAlignment="1" pivotButton="0" quotePrefix="0" xfId="0">
      <alignment wrapText="1"/>
    </xf>
    <xf numFmtId="171" fontId="13" fillId="18" borderId="5" applyAlignment="1" pivotButton="0" quotePrefix="0" xfId="0">
      <alignment wrapText="1"/>
    </xf>
    <xf numFmtId="167" fontId="13" fillId="18" borderId="5" applyAlignment="1" pivotButton="0" quotePrefix="0" xfId="0">
      <alignment wrapText="1"/>
    </xf>
    <xf numFmtId="172" fontId="13" fillId="18" borderId="5" applyAlignment="1" pivotButton="0" quotePrefix="0" xfId="0">
      <alignment wrapText="1"/>
    </xf>
    <xf numFmtId="173" fontId="8" fillId="18" borderId="5" applyAlignment="1" pivotButton="0" quotePrefix="0" xfId="0">
      <alignment wrapText="1"/>
    </xf>
    <xf numFmtId="0" fontId="3" fillId="16" borderId="4" applyAlignment="1" pivotButton="0" quotePrefix="0" xfId="0">
      <alignment wrapText="1"/>
    </xf>
    <xf numFmtId="0" fontId="3" fillId="16" borderId="5" applyAlignment="1" pivotButton="0" quotePrefix="0" xfId="0">
      <alignment wrapText="1"/>
    </xf>
    <xf numFmtId="1" fontId="14" fillId="0" borderId="5" pivotButton="0" quotePrefix="0" xfId="0"/>
    <xf numFmtId="174" fontId="0" fillId="0" borderId="5" pivotButton="0" quotePrefix="0" xfId="0"/>
    <xf numFmtId="171" fontId="0" fillId="0" borderId="5" pivotButton="0" quotePrefix="0" xfId="0"/>
    <xf numFmtId="0" fontId="0" fillId="18" borderId="5" pivotButton="0" quotePrefix="0" xfId="0"/>
    <xf numFmtId="0" fontId="12" fillId="18" borderId="5" pivotButton="0" quotePrefix="0" xfId="0"/>
    <xf numFmtId="0" fontId="12" fillId="18" borderId="5" applyAlignment="1" pivotButton="0" quotePrefix="0" xfId="0">
      <alignment horizontal="center"/>
    </xf>
    <xf numFmtId="171" fontId="0" fillId="0" borderId="0" pivotButton="0" quotePrefix="0" xfId="0"/>
    <xf numFmtId="171" fontId="0" fillId="19" borderId="0" pivotButton="0" quotePrefix="0" xfId="0"/>
    <xf numFmtId="0" fontId="0" fillId="19" borderId="5" pivotButton="0" quotePrefix="0" xfId="0"/>
    <xf numFmtId="171" fontId="0" fillId="19" borderId="5" pivotButton="0" quotePrefix="0" xfId="0"/>
    <xf numFmtId="0" fontId="0" fillId="19" borderId="5" applyAlignment="1" pivotButton="0" quotePrefix="0" xfId="0">
      <alignment wrapText="1"/>
    </xf>
    <xf numFmtId="171" fontId="0" fillId="19" borderId="5" applyAlignment="1" pivotButton="0" quotePrefix="0" xfId="0">
      <alignment wrapText="1"/>
    </xf>
    <xf numFmtId="173" fontId="8" fillId="8" borderId="5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vertical="center"/>
    </xf>
    <xf numFmtId="0" fontId="0" fillId="22" borderId="0" pivotButton="0" quotePrefix="0" xfId="0"/>
    <xf numFmtId="0" fontId="5" fillId="22" borderId="0" pivotButton="0" quotePrefix="0" xfId="0"/>
    <xf numFmtId="0" fontId="0" fillId="23" borderId="5" applyAlignment="1" pivotButton="0" quotePrefix="0" xfId="0">
      <alignment wrapText="1"/>
    </xf>
    <xf numFmtId="0" fontId="13" fillId="23" borderId="5" applyAlignment="1" pivotButton="0" quotePrefix="0" xfId="0">
      <alignment wrapText="1"/>
    </xf>
    <xf numFmtId="171" fontId="13" fillId="23" borderId="5" applyAlignment="1" pivotButton="0" quotePrefix="0" xfId="0">
      <alignment wrapText="1"/>
    </xf>
    <xf numFmtId="167" fontId="13" fillId="23" borderId="5" applyAlignment="1" pivotButton="0" quotePrefix="0" xfId="0">
      <alignment wrapText="1"/>
    </xf>
    <xf numFmtId="175" fontId="13" fillId="23" borderId="5" applyAlignment="1" pivotButton="0" quotePrefix="0" xfId="0">
      <alignment wrapText="1"/>
    </xf>
    <xf numFmtId="176" fontId="13" fillId="23" borderId="5" applyAlignment="1" pivotButton="0" quotePrefix="0" xfId="0">
      <alignment wrapText="1"/>
    </xf>
    <xf numFmtId="172" fontId="13" fillId="23" borderId="5" applyAlignment="1" pivotButton="0" quotePrefix="0" xfId="0">
      <alignment wrapText="1"/>
    </xf>
    <xf numFmtId="0" fontId="8" fillId="23" borderId="5" applyAlignment="1" pivotButton="0" quotePrefix="0" xfId="0">
      <alignment wrapText="1"/>
    </xf>
    <xf numFmtId="0" fontId="0" fillId="24" borderId="5" applyAlignment="1" pivotButton="0" quotePrefix="0" xfId="0">
      <alignment wrapText="1"/>
    </xf>
    <xf numFmtId="0" fontId="15" fillId="24" borderId="5" applyAlignment="1" pivotButton="0" quotePrefix="0" xfId="0">
      <alignment wrapText="1"/>
    </xf>
    <xf numFmtId="0" fontId="0" fillId="25" borderId="5" applyAlignment="1" pivotButton="0" quotePrefix="0" xfId="0">
      <alignment wrapText="1"/>
    </xf>
    <xf numFmtId="0" fontId="11" fillId="25" borderId="5" applyAlignment="1" pivotButton="0" quotePrefix="0" xfId="0">
      <alignment wrapText="1"/>
    </xf>
    <xf numFmtId="175" fontId="8" fillId="23" borderId="5" applyAlignment="1" pivotButton="0" quotePrefix="0" xfId="0">
      <alignment wrapText="1"/>
    </xf>
    <xf numFmtId="0" fontId="0" fillId="26" borderId="0" pivotButton="0" quotePrefix="0" xfId="0"/>
    <xf numFmtId="0" fontId="3" fillId="26" borderId="0" pivotButton="0" quotePrefix="0" xfId="0"/>
    <xf numFmtId="0" fontId="3" fillId="26" borderId="4" pivotButton="0" quotePrefix="0" xfId="0"/>
    <xf numFmtId="0" fontId="3" fillId="26" borderId="4" applyAlignment="1" pivotButton="0" quotePrefix="0" xfId="0">
      <alignment wrapText="1"/>
    </xf>
    <xf numFmtId="0" fontId="0" fillId="27" borderId="0" pivotButton="0" quotePrefix="0" xfId="0"/>
    <xf numFmtId="0" fontId="6" fillId="27" borderId="0" pivotButton="0" quotePrefix="0" xfId="0"/>
    <xf numFmtId="177" fontId="6" fillId="27" borderId="0" pivotButton="0" quotePrefix="0" xfId="0"/>
    <xf numFmtId="0" fontId="3" fillId="26" borderId="5" applyAlignment="1" pivotButton="0" quotePrefix="0" xfId="0">
      <alignment wrapText="1"/>
    </xf>
    <xf numFmtId="177" fontId="6" fillId="27" borderId="5" pivotButton="0" quotePrefix="0" xfId="0"/>
    <xf numFmtId="177" fontId="6" fillId="27" borderId="5" applyAlignment="1" pivotButton="0" quotePrefix="0" xfId="0">
      <alignment wrapText="1"/>
    </xf>
    <xf numFmtId="0" fontId="0" fillId="28" borderId="0" pivotButton="0" quotePrefix="0" xfId="0"/>
    <xf numFmtId="0" fontId="3" fillId="28" borderId="0" pivotButton="0" quotePrefix="0" xfId="0"/>
    <xf numFmtId="0" fontId="3" fillId="28" borderId="6" pivotButton="0" quotePrefix="0" xfId="0"/>
    <xf numFmtId="0" fontId="3" fillId="28" borderId="6" applyAlignment="1" pivotButton="0" quotePrefix="0" xfId="0">
      <alignment wrapText="1"/>
    </xf>
    <xf numFmtId="0" fontId="0" fillId="23" borderId="0" pivotButton="0" quotePrefix="0" xfId="0"/>
    <xf numFmtId="0" fontId="10" fillId="23" borderId="0" pivotButton="0" quotePrefix="0" xfId="0"/>
    <xf numFmtId="0" fontId="10" fillId="23" borderId="7" pivotButton="0" quotePrefix="0" xfId="0"/>
    <xf numFmtId="167" fontId="10" fillId="23" borderId="7" pivotButton="0" quotePrefix="0" xfId="0"/>
    <xf numFmtId="169" fontId="0" fillId="0" borderId="0" pivotButton="0" quotePrefix="0" xfId="0"/>
    <xf numFmtId="167" fontId="0" fillId="0" borderId="0" pivotButton="0" quotePrefix="0" xfId="0"/>
    <xf numFmtId="172" fontId="0" fillId="0" borderId="0" pivotButton="0" quotePrefix="0" xfId="0"/>
    <xf numFmtId="169" fontId="0" fillId="0" borderId="5" pivotButton="0" quotePrefix="0" xfId="0"/>
    <xf numFmtId="172" fontId="0" fillId="0" borderId="5" pivotButton="0" quotePrefix="0" xfId="0"/>
    <xf numFmtId="169" fontId="0" fillId="23" borderId="5" pivotButton="0" quotePrefix="0" xfId="0"/>
    <xf numFmtId="167" fontId="0" fillId="23" borderId="5" pivotButton="0" quotePrefix="0" xfId="0"/>
    <xf numFmtId="172" fontId="0" fillId="23" borderId="5" pivotButton="0" quotePrefix="0" xfId="0"/>
    <xf numFmtId="169" fontId="10" fillId="23" borderId="5" pivotButton="0" quotePrefix="0" xfId="0"/>
    <xf numFmtId="167" fontId="10" fillId="23" borderId="5" pivotButton="0" quotePrefix="0" xfId="0"/>
    <xf numFmtId="172" fontId="10" fillId="23" borderId="5" pivotButton="0" quotePrefix="0" xfId="0"/>
    <xf numFmtId="0" fontId="3" fillId="26" borderId="5" pivotButton="0" quotePrefix="0" xfId="0"/>
    <xf numFmtId="0" fontId="0" fillId="23" borderId="5" pivotButton="0" quotePrefix="0" xfId="0"/>
    <xf numFmtId="0" fontId="12" fillId="23" borderId="5" pivotButton="0" quotePrefix="0" xfId="0"/>
    <xf numFmtId="0" fontId="12" fillId="23" borderId="5" applyAlignment="1" pivotButton="0" quotePrefix="0" xfId="0">
      <alignment horizontal="center"/>
    </xf>
    <xf numFmtId="0" fontId="0" fillId="29" borderId="5" applyAlignment="1" pivotButton="0" quotePrefix="0" xfId="0">
      <alignment vertical="center" wrapText="1"/>
    </xf>
    <xf numFmtId="0" fontId="8" fillId="29" borderId="5" applyAlignment="1" pivotButton="0" quotePrefix="0" xfId="0">
      <alignment vertical="center" wrapText="1"/>
    </xf>
    <xf numFmtId="175" fontId="8" fillId="29" borderId="5" applyAlignment="1" pivotButton="0" quotePrefix="0" xfId="0">
      <alignment vertical="center" wrapText="1"/>
    </xf>
    <xf numFmtId="0" fontId="0" fillId="30" borderId="5" applyAlignment="1" pivotButton="0" quotePrefix="0" xfId="0">
      <alignment vertical="center" wrapText="1"/>
    </xf>
    <xf numFmtId="0" fontId="15" fillId="30" borderId="5" applyAlignment="1" pivotButton="0" quotePrefix="0" xfId="0">
      <alignment vertical="center" wrapText="1"/>
    </xf>
    <xf numFmtId="0" fontId="0" fillId="31" borderId="5" applyAlignment="1" pivotButton="0" quotePrefix="0" xfId="0">
      <alignment vertical="center" wrapText="1"/>
    </xf>
    <xf numFmtId="0" fontId="11" fillId="31" borderId="5" applyAlignment="1" pivotButton="0" quotePrefix="0" xfId="0">
      <alignment vertical="center" wrapText="1"/>
    </xf>
    <xf numFmtId="0" fontId="0" fillId="32" borderId="0" pivotButton="0" quotePrefix="0" xfId="0"/>
    <xf numFmtId="0" fontId="3" fillId="32" borderId="0" pivotButton="0" quotePrefix="0" xfId="0"/>
    <xf numFmtId="0" fontId="3" fillId="32" borderId="6" pivotButton="0" quotePrefix="0" xfId="0"/>
    <xf numFmtId="0" fontId="3" fillId="32" borderId="6" applyAlignment="1" pivotButton="0" quotePrefix="0" xfId="0">
      <alignment wrapText="1"/>
    </xf>
    <xf numFmtId="0" fontId="3" fillId="32" borderId="6" applyAlignment="1" pivotButton="0" quotePrefix="0" xfId="0">
      <alignment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vertical="center"/>
    </xf>
    <xf numFmtId="0" fontId="0" fillId="34" borderId="0" pivotButton="0" quotePrefix="0" xfId="0"/>
    <xf numFmtId="0" fontId="5" fillId="34" borderId="0" pivotButton="0" quotePrefix="0" xfId="0"/>
    <xf numFmtId="0" fontId="0" fillId="35" borderId="5" applyAlignment="1" pivotButton="0" quotePrefix="0" xfId="0">
      <alignment wrapText="1"/>
    </xf>
    <xf numFmtId="0" fontId="12" fillId="35" borderId="5" applyAlignment="1" pivotButton="0" quotePrefix="0" xfId="0">
      <alignment wrapText="1"/>
    </xf>
    <xf numFmtId="177" fontId="12" fillId="35" borderId="5" applyAlignment="1" pivotButton="0" quotePrefix="0" xfId="0">
      <alignment wrapText="1"/>
    </xf>
    <xf numFmtId="0" fontId="0" fillId="36" borderId="5" applyAlignment="1" pivotButton="0" quotePrefix="0" xfId="0">
      <alignment wrapText="1"/>
    </xf>
    <xf numFmtId="0" fontId="3" fillId="36" borderId="5" applyAlignment="1" pivotButton="0" quotePrefix="0" xfId="0">
      <alignment wrapText="1"/>
    </xf>
    <xf numFmtId="0" fontId="0" fillId="37" borderId="0" pivotButton="0" quotePrefix="0" xfId="0"/>
    <xf numFmtId="0" fontId="3" fillId="37" borderId="0" pivotButton="0" quotePrefix="0" xfId="0"/>
    <xf numFmtId="0" fontId="3" fillId="37" borderId="4" pivotButton="0" quotePrefix="0" xfId="0"/>
    <xf numFmtId="0" fontId="3" fillId="37" borderId="4" applyAlignment="1" pivotButton="0" quotePrefix="0" xfId="0">
      <alignment wrapText="1"/>
    </xf>
    <xf numFmtId="0" fontId="3" fillId="37" borderId="5" applyAlignment="1" pivotButton="0" quotePrefix="0" xfId="0">
      <alignment wrapText="1"/>
    </xf>
    <xf numFmtId="177" fontId="0" fillId="0" borderId="5" applyAlignment="1" pivotButton="0" quotePrefix="0" xfId="0">
      <alignment wrapText="1"/>
    </xf>
    <xf numFmtId="178" fontId="0" fillId="0" borderId="5" applyAlignment="1" pivotButton="0" quotePrefix="0" xfId="0">
      <alignment wrapText="1"/>
    </xf>
    <xf numFmtId="177" fontId="0" fillId="38" borderId="5" applyAlignment="1" pivotButton="0" quotePrefix="0" xfId="0">
      <alignment wrapText="1"/>
    </xf>
    <xf numFmtId="178" fontId="0" fillId="38" borderId="5" applyAlignment="1" pivotButton="0" quotePrefix="0" xfId="0">
      <alignment wrapText="1"/>
    </xf>
    <xf numFmtId="0" fontId="3" fillId="37" borderId="5" pivotButton="0" quotePrefix="0" xfId="0"/>
    <xf numFmtId="0" fontId="12" fillId="35" borderId="5" applyAlignment="1" pivotButton="0" quotePrefix="0" xfId="0">
      <alignment horizontal="center" wrapText="1"/>
    </xf>
    <xf numFmtId="0" fontId="3" fillId="37" borderId="0" applyAlignment="1" pivotButton="0" quotePrefix="0" xfId="0">
      <alignment wrapText="1"/>
    </xf>
    <xf numFmtId="0" fontId="0" fillId="39" borderId="0" pivotButton="0" quotePrefix="0" xfId="0"/>
    <xf numFmtId="0" fontId="3" fillId="39" borderId="0" pivotButton="0" quotePrefix="0" xfId="0"/>
    <xf numFmtId="0" fontId="0" fillId="36" borderId="0" pivotButton="0" quotePrefix="0" xfId="0"/>
    <xf numFmtId="0" fontId="16" fillId="36" borderId="0" pivotButton="0" quotePrefix="0" xfId="0"/>
    <xf numFmtId="0" fontId="16" fillId="36" borderId="6" pivotButton="0" quotePrefix="0" xfId="0"/>
    <xf numFmtId="0" fontId="16" fillId="36" borderId="6" applyAlignment="1" pivotButton="0" quotePrefix="0" xfId="0">
      <alignment wrapText="1"/>
    </xf>
    <xf numFmtId="0" fontId="16" fillId="36" borderId="6" applyAlignment="1" pivotButton="0" quotePrefix="0" xfId="0">
      <alignment vertical="top" wrapText="1"/>
    </xf>
    <xf numFmtId="0" fontId="0" fillId="40" borderId="0" pivotButton="0" quotePrefix="0" xfId="0"/>
    <xf numFmtId="0" fontId="4" fillId="40" borderId="0" pivotButton="0" quotePrefix="0" xfId="0"/>
    <xf numFmtId="0" fontId="4" fillId="40" borderId="0" applyAlignment="1" pivotButton="0" quotePrefix="0" xfId="0">
      <alignment wrapText="1"/>
    </xf>
    <xf numFmtId="0" fontId="16" fillId="41" borderId="6" applyAlignment="1" pivotButton="0" quotePrefix="0" xfId="0">
      <alignment vertical="top" wrapText="1"/>
    </xf>
    <xf numFmtId="0" fontId="0" fillId="42" borderId="0" pivotButton="0" quotePrefix="0" xfId="0"/>
    <xf numFmtId="0" fontId="1" fillId="42" borderId="0" pivotButton="0" quotePrefix="0" xfId="0"/>
    <xf numFmtId="0" fontId="1" fillId="42" borderId="0" applyAlignment="1" pivotButton="0" quotePrefix="0" xfId="0">
      <alignment vertical="center"/>
    </xf>
    <xf numFmtId="0" fontId="0" fillId="43" borderId="0" pivotButton="0" quotePrefix="0" xfId="0"/>
    <xf numFmtId="0" fontId="5" fillId="43" borderId="0" pivotButton="0" quotePrefix="0" xfId="0"/>
    <xf numFmtId="0" fontId="0" fillId="44" borderId="5" applyAlignment="1" pivotButton="0" quotePrefix="0" xfId="0">
      <alignment wrapText="1"/>
    </xf>
    <xf numFmtId="0" fontId="17" fillId="44" borderId="5" applyAlignment="1" pivotButton="0" quotePrefix="0" xfId="0">
      <alignment wrapText="1"/>
    </xf>
    <xf numFmtId="0" fontId="0" fillId="45" borderId="5" applyAlignment="1" pivotButton="0" quotePrefix="0" xfId="0">
      <alignment wrapText="1"/>
    </xf>
    <xf numFmtId="0" fontId="12" fillId="45" borderId="5" applyAlignment="1" pivotButton="0" quotePrefix="0" xfId="0">
      <alignment wrapText="1"/>
    </xf>
    <xf numFmtId="179" fontId="17" fillId="44" borderId="5" applyAlignment="1" pivotButton="0" quotePrefix="0" xfId="0">
      <alignment wrapText="1"/>
    </xf>
    <xf numFmtId="0" fontId="0" fillId="41" borderId="5" applyAlignment="1" pivotButton="0" quotePrefix="0" xfId="0">
      <alignment wrapText="1"/>
    </xf>
    <xf numFmtId="0" fontId="3" fillId="41" borderId="5" applyAlignment="1" pivotButton="0" quotePrefix="0" xfId="0">
      <alignment wrapText="1"/>
    </xf>
    <xf numFmtId="0" fontId="3" fillId="41" borderId="5" applyAlignment="1" pivotButton="0" quotePrefix="0" xfId="0">
      <alignment horizontal="center" wrapText="1"/>
    </xf>
    <xf numFmtId="0" fontId="0" fillId="46" borderId="0" pivotButton="0" quotePrefix="0" xfId="0"/>
    <xf numFmtId="0" fontId="3" fillId="46" borderId="0" pivotButton="0" quotePrefix="0" xfId="0"/>
    <xf numFmtId="0" fontId="3" fillId="46" borderId="4" pivotButton="0" quotePrefix="0" xfId="0"/>
    <xf numFmtId="0" fontId="3" fillId="46" borderId="4" applyAlignment="1" pivotButton="0" quotePrefix="0" xfId="0">
      <alignment wrapText="1"/>
    </xf>
    <xf numFmtId="0" fontId="3" fillId="46" borderId="5" applyAlignment="1" pivotButton="0" quotePrefix="0" xfId="0">
      <alignment wrapText="1"/>
    </xf>
    <xf numFmtId="179" fontId="0" fillId="0" borderId="5" applyAlignment="1" pivotButton="0" quotePrefix="0" xfId="0">
      <alignment wrapText="1"/>
    </xf>
    <xf numFmtId="169" fontId="0" fillId="0" borderId="5" applyAlignment="1" pivotButton="0" quotePrefix="0" xfId="0">
      <alignment wrapText="1"/>
    </xf>
    <xf numFmtId="0" fontId="18" fillId="44" borderId="5" applyAlignment="1" pivotButton="0" quotePrefix="0" xfId="0">
      <alignment wrapText="1"/>
    </xf>
    <xf numFmtId="179" fontId="0" fillId="0" borderId="0" pivotButton="0" quotePrefix="0" xfId="0"/>
    <xf numFmtId="0" fontId="0" fillId="44" borderId="0" pivotButton="0" quotePrefix="0" xfId="0"/>
    <xf numFmtId="0" fontId="6" fillId="44" borderId="0" pivotButton="0" quotePrefix="0" xfId="0"/>
    <xf numFmtId="0" fontId="3" fillId="46" borderId="8" pivotButton="0" quotePrefix="0" xfId="0"/>
    <xf numFmtId="179" fontId="0" fillId="0" borderId="8" pivotButton="0" quotePrefix="0" xfId="0"/>
    <xf numFmtId="0" fontId="6" fillId="44" borderId="8" pivotButton="0" quotePrefix="0" xfId="0"/>
    <xf numFmtId="171" fontId="0" fillId="0" borderId="8" pivotButton="0" quotePrefix="0" xfId="0"/>
    <xf numFmtId="0" fontId="3" fillId="46" borderId="5" pivotButton="0" quotePrefix="0" xfId="0"/>
    <xf numFmtId="0" fontId="12" fillId="45" borderId="5" applyAlignment="1" pivotButton="0" quotePrefix="0" xfId="0">
      <alignment horizontal="center" wrapText="1"/>
    </xf>
    <xf numFmtId="0" fontId="0" fillId="41" borderId="0" pivotButton="0" quotePrefix="0" xfId="0"/>
    <xf numFmtId="0" fontId="16" fillId="41" borderId="0" pivotButton="0" quotePrefix="0" xfId="0"/>
    <xf numFmtId="0" fontId="16" fillId="41" borderId="6" pivotButton="0" quotePrefix="0" xfId="0"/>
    <xf numFmtId="0" fontId="16" fillId="41" borderId="6" applyAlignment="1" pivotButton="0" quotePrefix="0" xfId="0">
      <alignment wrapText="1"/>
    </xf>
    <xf numFmtId="180" fontId="17" fillId="7" borderId="5" applyAlignment="1" pivotButton="0" quotePrefix="0" xfId="0">
      <alignment wrapText="1"/>
    </xf>
    <xf numFmtId="180" fontId="0" fillId="0" borderId="5" applyAlignment="1" pivotButton="0" quotePrefix="0" xfId="0">
      <alignment wrapText="1"/>
    </xf>
    <xf numFmtId="180" fontId="0" fillId="0" borderId="8" pivotButton="0" quotePrefix="0" xfId="0"/>
    <xf numFmtId="0" fontId="3" fillId="47" borderId="5" applyAlignment="1" pivotButton="0" quotePrefix="0" xfId="0">
      <alignment horizontal="center" wrapText="1"/>
    </xf>
    <xf numFmtId="0" fontId="0" fillId="47" borderId="5" applyAlignment="1" pivotButton="0" quotePrefix="0" xfId="0">
      <alignment wrapText="1"/>
    </xf>
    <xf numFmtId="0" fontId="3" fillId="47" borderId="5" applyAlignment="1" pivotButton="0" quotePrefix="0" xfId="0">
      <alignment wrapText="1"/>
    </xf>
    <xf numFmtId="0" fontId="3" fillId="47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16" fillId="48" borderId="6" applyAlignment="1" pivotButton="0" quotePrefix="0" xfId="0">
      <alignment vertical="top" wrapText="1"/>
    </xf>
    <xf numFmtId="0" fontId="0" fillId="49" borderId="0" pivotButton="0" quotePrefix="0" xfId="0"/>
    <xf numFmtId="0" fontId="1" fillId="49" borderId="0" pivotButton="0" quotePrefix="0" xfId="0"/>
    <xf numFmtId="0" fontId="1" fillId="49" borderId="0" applyAlignment="1" pivotButton="0" quotePrefix="0" xfId="0">
      <alignment vertical="center"/>
    </xf>
    <xf numFmtId="0" fontId="0" fillId="50" borderId="0" pivotButton="0" quotePrefix="0" xfId="0"/>
    <xf numFmtId="0" fontId="5" fillId="50" borderId="0" pivotButton="0" quotePrefix="0" xfId="0"/>
    <xf numFmtId="0" fontId="0" fillId="51" borderId="5" applyAlignment="1" pivotButton="0" quotePrefix="0" xfId="0">
      <alignment wrapText="1"/>
    </xf>
    <xf numFmtId="0" fontId="17" fillId="51" borderId="5" applyAlignment="1" pivotButton="0" quotePrefix="0" xfId="0">
      <alignment wrapText="1"/>
    </xf>
    <xf numFmtId="10" fontId="17" fillId="51" borderId="5" applyAlignment="1" pivotButton="0" quotePrefix="0" xfId="0">
      <alignment wrapText="1"/>
    </xf>
    <xf numFmtId="0" fontId="0" fillId="52" borderId="0" pivotButton="0" quotePrefix="0" xfId="0"/>
    <xf numFmtId="0" fontId="3" fillId="52" borderId="0" pivotButton="0" quotePrefix="0" xfId="0"/>
    <xf numFmtId="0" fontId="3" fillId="52" borderId="5" pivotButton="0" quotePrefix="0" xfId="0"/>
    <xf numFmtId="0" fontId="0" fillId="53" borderId="0" pivotButton="0" quotePrefix="0" xfId="0"/>
    <xf numFmtId="0" fontId="3" fillId="53" borderId="0" pivotButton="0" quotePrefix="0" xfId="0"/>
    <xf numFmtId="0" fontId="3" fillId="53" borderId="4" pivotButton="0" quotePrefix="0" xfId="0"/>
    <xf numFmtId="0" fontId="3" fillId="53" borderId="4" applyAlignment="1" pivotButton="0" quotePrefix="0" xfId="0">
      <alignment wrapText="1"/>
    </xf>
    <xf numFmtId="0" fontId="3" fillId="53" borderId="5" applyAlignment="1" pivotButton="0" quotePrefix="0" xfId="0">
      <alignment wrapText="1"/>
    </xf>
    <xf numFmtId="169" fontId="17" fillId="51" borderId="5" applyAlignment="1" pivotButton="0" quotePrefix="0" xfId="0">
      <alignment wrapText="1"/>
    </xf>
    <xf numFmtId="0" fontId="3" fillId="53" borderId="5" pivotButton="0" quotePrefix="0" xfId="0"/>
    <xf numFmtId="0" fontId="0" fillId="54" borderId="5" applyAlignment="1" pivotButton="0" quotePrefix="0" xfId="0">
      <alignment wrapText="1"/>
    </xf>
    <xf numFmtId="0" fontId="12" fillId="54" borderId="5" applyAlignment="1" pivotButton="0" quotePrefix="0" xfId="0">
      <alignment wrapText="1"/>
    </xf>
    <xf numFmtId="0" fontId="12" fillId="54" borderId="5" applyAlignment="1" pivotButton="0" quotePrefix="0" xfId="0">
      <alignment horizontal="center" wrapText="1"/>
    </xf>
    <xf numFmtId="0" fontId="16" fillId="52" borderId="0" pivotButton="0" quotePrefix="0" xfId="0"/>
    <xf numFmtId="0" fontId="16" fillId="52" borderId="6" pivotButton="0" quotePrefix="0" xfId="0"/>
    <xf numFmtId="0" fontId="16" fillId="52" borderId="6" applyAlignment="1" pivotButton="0" quotePrefix="0" xfId="0">
      <alignment wrapText="1"/>
    </xf>
    <xf numFmtId="0" fontId="16" fillId="52" borderId="6" applyAlignment="1" pivotButton="0" quotePrefix="0" xfId="0">
      <alignment vertical="top" wrapText="1"/>
    </xf>
    <xf numFmtId="0" fontId="0" fillId="55" borderId="0" pivotButton="0" quotePrefix="0" xfId="0"/>
    <xf numFmtId="0" fontId="16" fillId="55" borderId="0" pivotButton="0" quotePrefix="0" xfId="0"/>
    <xf numFmtId="0" fontId="16" fillId="55" borderId="9" pivotButton="0" quotePrefix="0" xfId="0"/>
    <xf numFmtId="0" fontId="16" fillId="55" borderId="9" applyAlignment="1" pivotButton="0" quotePrefix="0" xfId="0">
      <alignment wrapText="1"/>
    </xf>
    <xf numFmtId="0" fontId="16" fillId="55" borderId="9" applyAlignment="1" pivotButton="0" quotePrefix="0" xfId="0">
      <alignment vertical="top" wrapText="1"/>
    </xf>
    <xf numFmtId="169" fontId="17" fillId="7" borderId="5" applyAlignment="1" pivotButton="0" quotePrefix="0" xfId="0">
      <alignment wrapText="1"/>
    </xf>
    <xf numFmtId="181" fontId="17" fillId="7" borderId="5" applyAlignment="1" pivotButton="0" quotePrefix="0" xfId="0">
      <alignment wrapText="1"/>
    </xf>
    <xf numFmtId="172" fontId="17" fillId="7" borderId="5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vertical="center"/>
    </xf>
    <xf numFmtId="0" fontId="0" fillId="57" borderId="0" pivotButton="0" quotePrefix="0" xfId="0"/>
    <xf numFmtId="0" fontId="5" fillId="57" borderId="0" pivotButton="0" quotePrefix="0" xfId="0"/>
    <xf numFmtId="0" fontId="0" fillId="58" borderId="5" applyAlignment="1" pivotButton="0" quotePrefix="0" xfId="0">
      <alignment wrapText="1"/>
    </xf>
    <xf numFmtId="0" fontId="12" fillId="58" borderId="5" applyAlignment="1" pivotButton="0" quotePrefix="0" xfId="0">
      <alignment wrapText="1"/>
    </xf>
    <xf numFmtId="0" fontId="0" fillId="59" borderId="5" applyAlignment="1" pivotButton="0" quotePrefix="0" xfId="0">
      <alignment wrapText="1"/>
    </xf>
    <xf numFmtId="0" fontId="3" fillId="59" borderId="5" applyAlignment="1" pivotButton="0" quotePrefix="0" xfId="0">
      <alignment wrapText="1"/>
    </xf>
    <xf numFmtId="169" fontId="3" fillId="59" borderId="5" applyAlignment="1" pivotButton="0" quotePrefix="0" xfId="0">
      <alignment wrapText="1"/>
    </xf>
    <xf numFmtId="0" fontId="0" fillId="59" borderId="0" pivotButton="0" quotePrefix="0" xfId="0"/>
    <xf numFmtId="0" fontId="3" fillId="59" borderId="0" pivotButton="0" quotePrefix="0" xfId="0"/>
    <xf numFmtId="0" fontId="3" fillId="59" borderId="5" pivotButton="0" quotePrefix="0" xfId="0"/>
    <xf numFmtId="0" fontId="0" fillId="60" borderId="0" pivotButton="0" quotePrefix="0" xfId="0"/>
    <xf numFmtId="0" fontId="3" fillId="60" borderId="0" pivotButton="0" quotePrefix="0" xfId="0"/>
    <xf numFmtId="0" fontId="3" fillId="60" borderId="4" pivotButton="0" quotePrefix="0" xfId="0"/>
    <xf numFmtId="0" fontId="3" fillId="60" borderId="4" applyAlignment="1" pivotButton="0" quotePrefix="0" xfId="0">
      <alignment wrapText="1"/>
    </xf>
    <xf numFmtId="182" fontId="0" fillId="0" borderId="0" pivotButton="0" quotePrefix="0" xfId="0"/>
    <xf numFmtId="182" fontId="0" fillId="60" borderId="0" pivotButton="0" quotePrefix="0" xfId="0"/>
    <xf numFmtId="182" fontId="3" fillId="60" borderId="0" pivotButton="0" quotePrefix="0" xfId="0"/>
    <xf numFmtId="180" fontId="0" fillId="0" borderId="0" pivotButton="0" quotePrefix="0" xfId="0"/>
    <xf numFmtId="10" fontId="12" fillId="58" borderId="5" applyAlignment="1" pivotButton="0" quotePrefix="0" xfId="0">
      <alignment wrapText="1"/>
    </xf>
    <xf numFmtId="10" fontId="0" fillId="0" borderId="0" pivotButton="0" quotePrefix="0" xfId="0"/>
    <xf numFmtId="0" fontId="3" fillId="60" borderId="8" applyAlignment="1" pivotButton="0" quotePrefix="0" xfId="0">
      <alignment wrapText="1"/>
    </xf>
    <xf numFmtId="0" fontId="0" fillId="0" borderId="8" pivotButton="0" quotePrefix="0" xfId="0"/>
    <xf numFmtId="10" fontId="0" fillId="0" borderId="8" pivotButton="0" quotePrefix="0" xfId="0"/>
    <xf numFmtId="169" fontId="0" fillId="0" borderId="8" pivotButton="0" quotePrefix="0" xfId="0"/>
    <xf numFmtId="180" fontId="0" fillId="57" borderId="8" pivotButton="0" quotePrefix="0" xfId="0"/>
    <xf numFmtId="0" fontId="0" fillId="57" borderId="8" pivotButton="0" quotePrefix="0" xfId="0"/>
    <xf numFmtId="10" fontId="0" fillId="57" borderId="8" pivotButton="0" quotePrefix="0" xfId="0"/>
    <xf numFmtId="180" fontId="5" fillId="57" borderId="8" pivotButton="0" quotePrefix="0" xfId="0"/>
    <xf numFmtId="0" fontId="5" fillId="57" borderId="8" pivotButton="0" quotePrefix="0" xfId="0"/>
    <xf numFmtId="10" fontId="5" fillId="57" borderId="8" pivotButton="0" quotePrefix="0" xfId="0"/>
    <xf numFmtId="180" fontId="0" fillId="59" borderId="8" pivotButton="0" quotePrefix="0" xfId="0"/>
    <xf numFmtId="0" fontId="0" fillId="59" borderId="8" pivotButton="0" quotePrefix="0" xfId="0"/>
    <xf numFmtId="10" fontId="0" fillId="59" borderId="8" pivotButton="0" quotePrefix="0" xfId="0"/>
    <xf numFmtId="180" fontId="16" fillId="59" borderId="8" pivotButton="0" quotePrefix="0" xfId="0"/>
    <xf numFmtId="0" fontId="16" fillId="59" borderId="8" pivotButton="0" quotePrefix="0" xfId="0"/>
    <xf numFmtId="10" fontId="16" fillId="59" borderId="8" pivotButton="0" quotePrefix="0" xfId="0"/>
    <xf numFmtId="180" fontId="16" fillId="59" borderId="8" applyAlignment="1" pivotButton="0" quotePrefix="0" xfId="0">
      <alignment wrapText="1"/>
    </xf>
    <xf numFmtId="0" fontId="16" fillId="59" borderId="8" applyAlignment="1" pivotButton="0" quotePrefix="0" xfId="0">
      <alignment wrapText="1"/>
    </xf>
    <xf numFmtId="10" fontId="16" fillId="59" borderId="8" applyAlignment="1" pivotButton="0" quotePrefix="0" xfId="0">
      <alignment wrapText="1"/>
    </xf>
    <xf numFmtId="180" fontId="16" fillId="59" borderId="8" applyAlignment="1" pivotButton="0" quotePrefix="0" xfId="0">
      <alignment vertical="top" wrapText="1"/>
    </xf>
    <xf numFmtId="0" fontId="16" fillId="59" borderId="8" applyAlignment="1" pivotButton="0" quotePrefix="0" xfId="0">
      <alignment vertical="top" wrapText="1"/>
    </xf>
    <xf numFmtId="10" fontId="16" fillId="59" borderId="8" applyAlignment="1" pivotButton="0" quotePrefix="0" xfId="0">
      <alignment vertical="top" wrapText="1"/>
    </xf>
    <xf numFmtId="0" fontId="0" fillId="61" borderId="0" pivotButton="0" quotePrefix="0" xfId="0"/>
    <xf numFmtId="0" fontId="3" fillId="61" borderId="0" pivotButton="0" quotePrefix="0" xfId="0"/>
    <xf numFmtId="0" fontId="3" fillId="61" borderId="4" pivotButton="0" quotePrefix="0" xfId="0"/>
    <xf numFmtId="0" fontId="3" fillId="61" borderId="4" applyAlignment="1" pivotButton="0" quotePrefix="0" xfId="0">
      <alignment wrapText="1"/>
    </xf>
    <xf numFmtId="10" fontId="12" fillId="8" borderId="5" applyAlignment="1" pivotButton="0" quotePrefix="0" xfId="0">
      <alignment wrapText="1"/>
    </xf>
    <xf numFmtId="172" fontId="12" fillId="8" borderId="5" applyAlignment="1" pivotButton="0" quotePrefix="0" xfId="0">
      <alignment wrapText="1"/>
    </xf>
    <xf numFmtId="0" fontId="0" fillId="62" borderId="0" pivotButton="0" quotePrefix="0" xfId="0"/>
    <xf numFmtId="0" fontId="1" fillId="62" borderId="0" pivotButton="0" quotePrefix="0" xfId="0"/>
    <xf numFmtId="0" fontId="1" fillId="62" borderId="0" applyAlignment="1" pivotButton="0" quotePrefix="0" xfId="0">
      <alignment vertical="center"/>
    </xf>
    <xf numFmtId="0" fontId="0" fillId="63" borderId="0" pivotButton="0" quotePrefix="0" xfId="0"/>
    <xf numFmtId="0" fontId="5" fillId="63" borderId="0" pivotButton="0" quotePrefix="0" xfId="0"/>
    <xf numFmtId="0" fontId="0" fillId="64" borderId="5" applyAlignment="1" pivotButton="0" quotePrefix="0" xfId="0">
      <alignment wrapText="1"/>
    </xf>
    <xf numFmtId="0" fontId="12" fillId="64" borderId="5" applyAlignment="1" pivotButton="0" quotePrefix="0" xfId="0">
      <alignment wrapText="1"/>
    </xf>
    <xf numFmtId="0" fontId="0" fillId="65" borderId="5" applyAlignment="1" pivotButton="0" quotePrefix="0" xfId="0">
      <alignment wrapText="1"/>
    </xf>
    <xf numFmtId="0" fontId="18" fillId="65" borderId="5" applyAlignment="1" pivotButton="0" quotePrefix="0" xfId="0">
      <alignment wrapText="1"/>
    </xf>
    <xf numFmtId="180" fontId="12" fillId="64" borderId="5" applyAlignment="1" pivotButton="0" quotePrefix="0" xfId="0">
      <alignment wrapText="1"/>
    </xf>
    <xf numFmtId="0" fontId="0" fillId="66" borderId="0" pivotButton="0" quotePrefix="0" xfId="0"/>
    <xf numFmtId="0" fontId="16" fillId="66" borderId="0" pivotButton="0" quotePrefix="0" xfId="0"/>
    <xf numFmtId="0" fontId="16" fillId="66" borderId="6" pivotButton="0" quotePrefix="0" xfId="0"/>
    <xf numFmtId="0" fontId="16" fillId="66" borderId="6" applyAlignment="1" pivotButton="0" quotePrefix="0" xfId="0">
      <alignment wrapText="1"/>
    </xf>
    <xf numFmtId="0" fontId="16" fillId="66" borderId="6" applyAlignment="1" pivotButton="0" quotePrefix="0" xfId="0">
      <alignment vertical="top" wrapText="1"/>
    </xf>
    <xf numFmtId="0" fontId="0" fillId="67" borderId="0" pivotButton="0" quotePrefix="0" xfId="0"/>
    <xf numFmtId="0" fontId="3" fillId="67" borderId="0" pivotButton="0" quotePrefix="0" xfId="0"/>
    <xf numFmtId="0" fontId="3" fillId="67" borderId="4" pivotButton="0" quotePrefix="0" xfId="0"/>
    <xf numFmtId="0" fontId="3" fillId="67" borderId="4" applyAlignment="1" pivotButton="0" quotePrefix="0" xfId="0">
      <alignment wrapText="1"/>
    </xf>
    <xf numFmtId="0" fontId="3" fillId="67" borderId="5" applyAlignment="1" pivotButton="0" quotePrefix="0" xfId="0">
      <alignment wrapText="1"/>
    </xf>
    <xf numFmtId="10" fontId="0" fillId="0" borderId="5" pivotButton="0" quotePrefix="0" xfId="0"/>
    <xf numFmtId="0" fontId="3" fillId="67" borderId="8" pivotButton="0" quotePrefix="0" xfId="0"/>
    <xf numFmtId="0" fontId="3" fillId="67" borderId="5" pivotButton="0" quotePrefix="0" xfId="0"/>
    <xf numFmtId="0" fontId="12" fillId="64" borderId="5" applyAlignment="1" pivotButton="0" quotePrefix="0" xfId="0">
      <alignment horizontal="center" wrapText="1"/>
    </xf>
    <xf numFmtId="0" fontId="0" fillId="68" borderId="0" pivotButton="0" quotePrefix="0" xfId="0"/>
    <xf numFmtId="0" fontId="16" fillId="68" borderId="0" pivotButton="0" quotePrefix="0" xfId="0"/>
    <xf numFmtId="0" fontId="16" fillId="68" borderId="9" pivotButton="0" quotePrefix="0" xfId="0"/>
    <xf numFmtId="0" fontId="16" fillId="68" borderId="9" applyAlignment="1" pivotButton="0" quotePrefix="0" xfId="0">
      <alignment wrapText="1"/>
    </xf>
    <xf numFmtId="0" fontId="16" fillId="68" borderId="9" applyAlignment="1" pivotButton="0" quotePrefix="0" xfId="0">
      <alignment vertical="top" wrapText="1"/>
    </xf>
    <xf numFmtId="0" fontId="1" fillId="2" borderId="7" applyAlignment="1" pivotButton="0" quotePrefix="0" xfId="0">
      <alignment vertical="center"/>
    </xf>
    <xf numFmtId="0" fontId="0" fillId="0" borderId="7" pivotButton="0" quotePrefix="0" xfId="0"/>
    <xf numFmtId="0" fontId="2" fillId="0" borderId="7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4" borderId="7" pivotButton="0" quotePrefix="0" xfId="0"/>
    <xf numFmtId="0" fontId="5" fillId="5" borderId="7" applyAlignment="1" pivotButton="0" quotePrefix="0" xfId="0">
      <alignment vertical="center"/>
    </xf>
    <xf numFmtId="164" fontId="6" fillId="7" borderId="0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165" fontId="6" fillId="7" borderId="0" applyAlignment="1" pivotButton="0" quotePrefix="0" xfId="0">
      <alignment vertical="center" wrapText="1"/>
    </xf>
    <xf numFmtId="165" fontId="7" fillId="8" borderId="0" applyAlignment="1" pivotButton="0" quotePrefix="0" xfId="0">
      <alignment vertical="center" wrapText="1"/>
    </xf>
    <xf numFmtId="166" fontId="7" fillId="8" borderId="0" applyAlignment="1" pivotButton="0" quotePrefix="0" xfId="0">
      <alignment vertical="center" wrapText="1"/>
    </xf>
    <xf numFmtId="167" fontId="6" fillId="7" borderId="0" applyAlignment="1" pivotButton="0" quotePrefix="0" xfId="0">
      <alignment vertical="center" wrapText="1"/>
    </xf>
    <xf numFmtId="1" fontId="6" fillId="7" borderId="0" applyAlignment="1" pivotButton="0" quotePrefix="0" xfId="0">
      <alignment vertical="center" wrapText="1"/>
    </xf>
    <xf numFmtId="167" fontId="8" fillId="8" borderId="0" applyAlignment="1" pivotButton="0" quotePrefix="0" xfId="0">
      <alignment vertical="center" wrapText="1"/>
    </xf>
    <xf numFmtId="168" fontId="6" fillId="7" borderId="5" applyAlignment="1" pivotButton="0" quotePrefix="0" xfId="0">
      <alignment vertical="center" wrapText="1"/>
    </xf>
    <xf numFmtId="167" fontId="7" fillId="8" borderId="5" pivotButton="0" quotePrefix="0" xfId="0"/>
    <xf numFmtId="167" fontId="10" fillId="8" borderId="0" applyAlignment="1" pivotButton="0" quotePrefix="0" xfId="0">
      <alignment vertical="center" wrapText="1"/>
    </xf>
    <xf numFmtId="169" fontId="6" fillId="7" borderId="0" applyAlignment="1" pivotButton="0" quotePrefix="0" xfId="0">
      <alignment vertical="center" wrapText="1"/>
    </xf>
    <xf numFmtId="0" fontId="5" fillId="15" borderId="7" pivotButton="0" quotePrefix="0" xfId="0"/>
    <xf numFmtId="171" fontId="6" fillId="17" borderId="5" applyAlignment="1" pivotButton="0" quotePrefix="0" xfId="0">
      <alignment wrapText="1"/>
    </xf>
    <xf numFmtId="171" fontId="8" fillId="18" borderId="5" applyAlignment="1" pivotButton="0" quotePrefix="0" xfId="0">
      <alignment wrapText="1"/>
    </xf>
    <xf numFmtId="0" fontId="1" fillId="9" borderId="7" applyAlignment="1" pivotButton="0" quotePrefix="0" xfId="0">
      <alignment vertical="center"/>
    </xf>
    <xf numFmtId="167" fontId="13" fillId="11" borderId="6" pivotButton="0" quotePrefix="0" xfId="0"/>
    <xf numFmtId="167" fontId="8" fillId="11" borderId="6" pivotButton="0" quotePrefix="0" xfId="0"/>
    <xf numFmtId="170" fontId="8" fillId="11" borderId="6" pivotButton="0" quotePrefix="0" xfId="0"/>
    <xf numFmtId="0" fontId="5" fillId="12" borderId="7" pivotButton="0" quotePrefix="0" xfId="0"/>
    <xf numFmtId="1" fontId="0" fillId="14" borderId="5" applyAlignment="1" pivotButton="0" quotePrefix="0" xfId="0">
      <alignment horizontal="center"/>
    </xf>
    <xf numFmtId="167" fontId="14" fillId="0" borderId="5" pivotButton="0" quotePrefix="0" xfId="0"/>
    <xf numFmtId="167" fontId="7" fillId="0" borderId="5" pivotButton="0" quotePrefix="0" xfId="0"/>
    <xf numFmtId="167" fontId="12" fillId="11" borderId="5" pivotButton="0" quotePrefix="0" xfId="0"/>
    <xf numFmtId="0" fontId="1" fillId="20" borderId="7" applyAlignment="1" pivotButton="0" quotePrefix="0" xfId="0">
      <alignment vertical="center"/>
    </xf>
    <xf numFmtId="171" fontId="13" fillId="18" borderId="5" applyAlignment="1" pivotButton="0" quotePrefix="0" xfId="0">
      <alignment wrapText="1"/>
    </xf>
    <xf numFmtId="167" fontId="8" fillId="18" borderId="5" applyAlignment="1" pivotButton="0" quotePrefix="0" xfId="0">
      <alignment wrapText="1"/>
    </xf>
    <xf numFmtId="167" fontId="13" fillId="18" borderId="5" applyAlignment="1" pivotButton="0" quotePrefix="0" xfId="0">
      <alignment wrapText="1"/>
    </xf>
    <xf numFmtId="174" fontId="0" fillId="0" borderId="5" pivotButton="0" quotePrefix="0" xfId="0"/>
    <xf numFmtId="172" fontId="13" fillId="18" borderId="5" applyAlignment="1" pivotButton="0" quotePrefix="0" xfId="0">
      <alignment wrapText="1"/>
    </xf>
    <xf numFmtId="171" fontId="0" fillId="0" borderId="5" pivotButton="0" quotePrefix="0" xfId="0"/>
    <xf numFmtId="171" fontId="0" fillId="19" borderId="5" applyAlignment="1" pivotButton="0" quotePrefix="0" xfId="0">
      <alignment wrapText="1"/>
    </xf>
    <xf numFmtId="173" fontId="8" fillId="8" borderId="5" applyAlignment="1" pivotButton="0" quotePrefix="0" xfId="0">
      <alignment wrapText="1"/>
    </xf>
    <xf numFmtId="1" fontId="14" fillId="0" borderId="5" pivotButton="0" quotePrefix="0" xfId="0"/>
    <xf numFmtId="167" fontId="0" fillId="0" borderId="5" pivotButton="0" quotePrefix="0" xfId="0"/>
    <xf numFmtId="0" fontId="1" fillId="21" borderId="7" applyAlignment="1" pivotButton="0" quotePrefix="0" xfId="0">
      <alignment vertical="center"/>
    </xf>
    <xf numFmtId="0" fontId="5" fillId="22" borderId="7" pivotButton="0" quotePrefix="0" xfId="0"/>
    <xf numFmtId="171" fontId="13" fillId="23" borderId="5" applyAlignment="1" pivotButton="0" quotePrefix="0" xfId="0">
      <alignment wrapText="1"/>
    </xf>
    <xf numFmtId="175" fontId="8" fillId="29" borderId="5" applyAlignment="1" pivotButton="0" quotePrefix="0" xfId="0">
      <alignment vertical="center" wrapText="1"/>
    </xf>
    <xf numFmtId="167" fontId="13" fillId="23" borderId="5" applyAlignment="1" pivotButton="0" quotePrefix="0" xfId="0">
      <alignment wrapText="1"/>
    </xf>
    <xf numFmtId="175" fontId="13" fillId="23" borderId="5" applyAlignment="1" pivotButton="0" quotePrefix="0" xfId="0">
      <alignment wrapText="1"/>
    </xf>
    <xf numFmtId="176" fontId="13" fillId="23" borderId="5" applyAlignment="1" pivotButton="0" quotePrefix="0" xfId="0">
      <alignment wrapText="1"/>
    </xf>
    <xf numFmtId="172" fontId="13" fillId="23" borderId="5" applyAlignment="1" pivotButton="0" quotePrefix="0" xfId="0">
      <alignment wrapText="1"/>
    </xf>
    <xf numFmtId="177" fontId="6" fillId="27" borderId="5" applyAlignment="1" pivotButton="0" quotePrefix="0" xfId="0">
      <alignment wrapText="1"/>
    </xf>
    <xf numFmtId="169" fontId="0" fillId="0" borderId="5" pivotButton="0" quotePrefix="0" xfId="0"/>
    <xf numFmtId="172" fontId="0" fillId="0" borderId="5" pivotButton="0" quotePrefix="0" xfId="0"/>
    <xf numFmtId="169" fontId="10" fillId="23" borderId="5" pivotButton="0" quotePrefix="0" xfId="0"/>
    <xf numFmtId="167" fontId="10" fillId="23" borderId="5" pivotButton="0" quotePrefix="0" xfId="0"/>
    <xf numFmtId="172" fontId="10" fillId="23" borderId="5" pivotButton="0" quotePrefix="0" xfId="0"/>
    <xf numFmtId="177" fontId="6" fillId="65" borderId="5" applyAlignment="1" pivotButton="0" quotePrefix="0" xfId="0">
      <alignment wrapText="1"/>
    </xf>
    <xf numFmtId="167" fontId="10" fillId="23" borderId="7" pivotButton="0" quotePrefix="0" xfId="0"/>
    <xf numFmtId="0" fontId="1" fillId="33" borderId="7" applyAlignment="1" pivotButton="0" quotePrefix="0" xfId="0">
      <alignment vertical="center"/>
    </xf>
    <xf numFmtId="0" fontId="5" fillId="34" borderId="7" pivotButton="0" quotePrefix="0" xfId="0"/>
    <xf numFmtId="177" fontId="12" fillId="35" borderId="5" applyAlignment="1" pivotButton="0" quotePrefix="0" xfId="0">
      <alignment wrapText="1"/>
    </xf>
    <xf numFmtId="177" fontId="0" fillId="38" borderId="5" applyAlignment="1" pivotButton="0" quotePrefix="0" xfId="0">
      <alignment wrapText="1"/>
    </xf>
    <xf numFmtId="178" fontId="0" fillId="38" borderId="5" applyAlignment="1" pivotButton="0" quotePrefix="0" xfId="0">
      <alignment wrapText="1"/>
    </xf>
    <xf numFmtId="0" fontId="3" fillId="39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40" borderId="7" applyAlignment="1" pivotButton="0" quotePrefix="0" xfId="0">
      <alignment wrapText="1"/>
    </xf>
    <xf numFmtId="0" fontId="1" fillId="42" borderId="7" applyAlignment="1" pivotButton="0" quotePrefix="0" xfId="0">
      <alignment vertical="center"/>
    </xf>
    <xf numFmtId="0" fontId="5" fillId="43" borderId="7" pivotButton="0" quotePrefix="0" xfId="0"/>
    <xf numFmtId="180" fontId="17" fillId="7" borderId="5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180" fontId="0" fillId="0" borderId="5" applyAlignment="1" pivotButton="0" quotePrefix="0" xfId="0">
      <alignment wrapText="1"/>
    </xf>
    <xf numFmtId="169" fontId="0" fillId="0" borderId="5" applyAlignment="1" pivotButton="0" quotePrefix="0" xfId="0">
      <alignment wrapText="1"/>
    </xf>
    <xf numFmtId="180" fontId="0" fillId="0" borderId="8" pivotButton="0" quotePrefix="0" xfId="0"/>
    <xf numFmtId="171" fontId="0" fillId="0" borderId="8" pivotButton="0" quotePrefix="0" xfId="0"/>
    <xf numFmtId="0" fontId="1" fillId="49" borderId="7" applyAlignment="1" pivotButton="0" quotePrefix="0" xfId="0">
      <alignment vertical="center"/>
    </xf>
    <xf numFmtId="0" fontId="5" fillId="50" borderId="7" pivotButton="0" quotePrefix="0" xfId="0"/>
    <xf numFmtId="10" fontId="17" fillId="51" borderId="5" applyAlignment="1" pivotButton="0" quotePrefix="0" xfId="0">
      <alignment wrapText="1"/>
    </xf>
    <xf numFmtId="169" fontId="17" fillId="7" borderId="5" applyAlignment="1" pivotButton="0" quotePrefix="0" xfId="0">
      <alignment wrapText="1"/>
    </xf>
    <xf numFmtId="181" fontId="17" fillId="7" borderId="5" applyAlignment="1" pivotButton="0" quotePrefix="0" xfId="0">
      <alignment wrapText="1"/>
    </xf>
    <xf numFmtId="172" fontId="17" fillId="7" borderId="5" applyAlignment="1" pivotButton="0" quotePrefix="0" xfId="0">
      <alignment wrapText="1"/>
    </xf>
    <xf numFmtId="0" fontId="0" fillId="0" borderId="21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1" fillId="56" borderId="7" applyAlignment="1" pivotButton="0" quotePrefix="0" xfId="0">
      <alignment vertical="center"/>
    </xf>
    <xf numFmtId="0" fontId="5" fillId="57" borderId="7" pivotButton="0" quotePrefix="0" xfId="0"/>
    <xf numFmtId="10" fontId="12" fillId="58" borderId="5" applyAlignment="1" pivotButton="0" quotePrefix="0" xfId="0">
      <alignment wrapText="1"/>
    </xf>
    <xf numFmtId="169" fontId="3" fillId="59" borderId="5" applyAlignment="1" pivotButton="0" quotePrefix="0" xfId="0">
      <alignment wrapText="1"/>
    </xf>
    <xf numFmtId="10" fontId="12" fillId="8" borderId="5" applyAlignment="1" pivotButton="0" quotePrefix="0" xfId="0">
      <alignment wrapText="1"/>
    </xf>
    <xf numFmtId="172" fontId="12" fillId="8" borderId="5" applyAlignment="1" pivotButton="0" quotePrefix="0" xfId="0">
      <alignment wrapText="1"/>
    </xf>
    <xf numFmtId="10" fontId="0" fillId="0" borderId="8" pivotButton="0" quotePrefix="0" xfId="0"/>
    <xf numFmtId="169" fontId="0" fillId="0" borderId="8" pivotButton="0" quotePrefix="0" xfId="0"/>
    <xf numFmtId="10" fontId="0" fillId="0" borderId="0" pivotButton="0" quotePrefix="0" xfId="0"/>
    <xf numFmtId="180" fontId="5" fillId="57" borderId="8" pivotButton="0" quotePrefix="0" xfId="0"/>
    <xf numFmtId="0" fontId="0" fillId="0" borderId="30" pivotButton="0" quotePrefix="0" xfId="0"/>
    <xf numFmtId="0" fontId="0" fillId="0" borderId="31" pivotButton="0" quotePrefix="0" xfId="0"/>
    <xf numFmtId="180" fontId="16" fillId="59" borderId="8" applyAlignment="1" pivotButton="0" quotePrefix="0" xfId="0">
      <alignment vertical="top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182" fontId="3" fillId="60" borderId="0" pivotButton="0" quotePrefix="0" xfId="0"/>
    <xf numFmtId="182" fontId="0" fillId="0" borderId="0" pivotButton="0" quotePrefix="0" xfId="0"/>
    <xf numFmtId="0" fontId="1" fillId="62" borderId="7" applyAlignment="1" pivotButton="0" quotePrefix="0" xfId="0">
      <alignment vertical="center"/>
    </xf>
    <xf numFmtId="0" fontId="5" fillId="63" borderId="7" pivotButton="0" quotePrefix="0" xfId="0"/>
    <xf numFmtId="180" fontId="12" fillId="64" borderId="5" applyAlignment="1" pivotButton="0" quotePrefix="0" xfId="0">
      <alignment wrapText="1"/>
    </xf>
    <xf numFmtId="10" fontId="0" fillId="0" borderId="5" pivotButton="0" quotePrefix="0" xfId="0"/>
    <xf numFmtId="181" fontId="14" fillId="0" borderId="0" pivotButton="0" quotePrefix="0" xfId="0"/>
    <xf numFmtId="181" fontId="7" fillId="0" borderId="0" pivotButton="0" quotePrefix="0" xfId="0"/>
    <xf numFmtId="10" fontId="6" fillId="65" borderId="0" pivotButton="0" quotePrefix="0" xfId="0"/>
    <xf numFmtId="2" fontId="14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0" fontId="7" fillId="0" borderId="0" pivotButton="0" quotePrefix="0" xfId="0"/>
    <xf numFmtId="183" fontId="7" fillId="0" borderId="0" pivotButton="0" quotePrefix="0" xfId="0"/>
    <xf numFmtId="10" fontId="14" fillId="0" borderId="0" pivotButton="0" quotePrefix="0" xfId="0"/>
    <xf numFmtId="184" fontId="7" fillId="0" borderId="0" pivotButton="0" quotePrefix="0" xfId="0"/>
    <xf numFmtId="0" fontId="5" fillId="63" borderId="7" applyAlignment="1" pivotButton="0" quotePrefix="0" xfId="0">
      <alignment vertical="center" wrapText="1"/>
    </xf>
    <xf numFmtId="169" fontId="6" fillId="65" borderId="0" pivotButton="0" quotePrefix="0" xfId="0"/>
    <xf numFmtId="181" fontId="6" fillId="65" borderId="0" pivotButton="0" quotePrefix="0" xfId="0"/>
    <xf numFmtId="169" fontId="17" fillId="65" borderId="0" pivotButton="0" quotePrefix="0" xfId="0"/>
    <xf numFmtId="185" fontId="6" fillId="65" borderId="0" pivotButton="0" quotePrefix="0" xfId="0"/>
    <xf numFmtId="185" fontId="6" fillId="69" borderId="0" pivotButton="0" quotePrefix="0" xfId="0"/>
    <xf numFmtId="181" fontId="6" fillId="69" borderId="0" pivotButton="0" quotePrefix="0" xfId="0"/>
    <xf numFmtId="169" fontId="6" fillId="69" borderId="0" pivotButton="0" quotePrefix="0" xfId="0"/>
    <xf numFmtId="0" fontId="19" fillId="0" borderId="7" pivotButton="0" quotePrefix="0" xfId="0"/>
  </cellXfs>
  <cellStyles count="1">
    <cellStyle name="Normal" xfId="0"/>
  </cellStyles>
  <dxfs count="12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C2:L73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26" customWidth="1" min="3" max="3"/>
    <col width="20" customWidth="1" min="4" max="4"/>
    <col width="17" customWidth="1" min="5" max="5"/>
    <col width="18" customWidth="1" min="6" max="6"/>
    <col width="18" customWidth="1" min="7" max="7"/>
    <col width="19" customWidth="1" min="8" max="8"/>
    <col width="12" customWidth="1" min="9" max="9"/>
    <col width="19" customWidth="1" min="10" max="10"/>
    <col width="19" customWidth="1" min="11" max="11"/>
    <col width="42" customWidth="1" min="12" max="12"/>
  </cols>
  <sheetData>
    <row r="2" ht="30" customHeight="1">
      <c r="C2" s="424" t="inlineStr">
        <is>
          <t>MODELO NEXUM - INPUTS DEL MANDATO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Moneda funcional USD. Los porcentajes de cartera serán resultados del optimizador.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7" t="inlineStr">
        <is>
          <t>Estado de la hoja</t>
        </is>
      </c>
      <c r="D5" s="9">
        <f>IF(AND(D17&gt;0,D18&gt;0,D24&gt;0,D25&gt;=0,D26&gt;0,COUNTBLANK(E33:E36)=0),"COMPLETA PARA 01_FLUJOS","REVISAR INPUTS")</f>
        <v/>
      </c>
      <c r="E5" s="427" t="n"/>
      <c r="F5" s="428" t="n"/>
    </row>
    <row r="7">
      <c r="C7" s="429" t="inlineStr">
        <is>
          <t>Convención: amarillo = input editable; verde = fórmula; gris = política o dato descriptivo.</t>
        </is>
      </c>
      <c r="D7" s="425" t="n"/>
      <c r="E7" s="425" t="n"/>
      <c r="F7" s="425" t="n"/>
      <c r="G7" s="425" t="n"/>
      <c r="H7" s="425" t="n"/>
      <c r="I7" s="425" t="n"/>
      <c r="J7" s="425" t="n"/>
      <c r="K7" s="425" t="n"/>
      <c r="L7" s="425" t="n"/>
    </row>
    <row r="9" ht="22" customHeight="1">
      <c r="C9" s="430" t="inlineStr">
        <is>
          <t>1. CONFIGURACIÓN DEL MODELO</t>
        </is>
      </c>
      <c r="D9" s="425" t="n"/>
      <c r="E9" s="425" t="n"/>
      <c r="F9" s="425" t="n"/>
      <c r="G9" s="425" t="n"/>
      <c r="H9" s="425" t="n"/>
      <c r="I9" s="425" t="n"/>
      <c r="J9" s="425" t="n"/>
      <c r="K9" s="425" t="n"/>
      <c r="L9" s="425" t="n"/>
    </row>
    <row r="10">
      <c r="C10" s="19" t="inlineStr">
        <is>
          <t>Parámetro</t>
        </is>
      </c>
      <c r="D10" s="19" t="inlineStr">
        <is>
          <t>Valor</t>
        </is>
      </c>
      <c r="E10" s="19" t="inlineStr">
        <is>
          <t>Unidad</t>
        </is>
      </c>
      <c r="F10" s="19" t="inlineStr">
        <is>
          <t>Clasificación</t>
        </is>
      </c>
      <c r="G10" s="19" t="inlineStr">
        <is>
          <t>Fuente</t>
        </is>
      </c>
      <c r="H10" s="19" t="inlineStr">
        <is>
          <t>Tratamiento</t>
        </is>
      </c>
    </row>
    <row r="11" ht="28" customHeight="1">
      <c r="C11" s="67" t="inlineStr">
        <is>
          <t>Moneda funcional</t>
        </is>
      </c>
      <c r="D11" s="67" t="inlineStr">
        <is>
          <t>USD</t>
        </is>
      </c>
      <c r="E11" s="67" t="inlineStr">
        <is>
          <t>Moneda</t>
        </is>
      </c>
      <c r="F11" s="67" t="inlineStr">
        <is>
          <t>Política</t>
        </is>
      </c>
      <c r="G11" s="67" t="inlineStr">
        <is>
          <t>Informe Estrategia de Inversión, Grupo 11</t>
        </is>
      </c>
      <c r="H11" s="67" t="inlineStr">
        <is>
          <t>Todos los cálculos se expresarán en USD</t>
        </is>
      </c>
    </row>
    <row r="12" ht="28" customHeight="1">
      <c r="C12" s="67" t="inlineStr">
        <is>
          <t>Fecha de corte</t>
        </is>
      </c>
      <c r="D12" s="431" t="n">
        <v>46245</v>
      </c>
      <c r="E12" s="67" t="inlineStr">
        <is>
          <t>Fecha</t>
        </is>
      </c>
      <c r="F12" s="67" t="inlineStr">
        <is>
          <t>Input</t>
        </is>
      </c>
      <c r="G12" s="67" t="inlineStr">
        <is>
          <t>Confirmado por el usuario</t>
        </is>
      </c>
      <c r="H12" s="67" t="inlineStr">
        <is>
          <t>Fecha asociada a los tipos de cambio iniciales</t>
        </is>
      </c>
    </row>
    <row r="13" ht="28" customHeight="1">
      <c r="C13" s="67" t="inlineStr">
        <is>
          <t>Escenario central</t>
        </is>
      </c>
      <c r="D13" s="67" t="inlineStr">
        <is>
          <t>Base contractual</t>
        </is>
      </c>
      <c r="E13" s="67" t="inlineStr">
        <is>
          <t>Escenario</t>
        </is>
      </c>
      <c r="F13" s="67" t="inlineStr">
        <is>
          <t>Política</t>
        </is>
      </c>
      <c r="G13" s="67" t="inlineStr">
        <is>
          <t>Caso e IPS</t>
        </is>
      </c>
      <c r="H13" s="67" t="inlineStr">
        <is>
          <t>19 aportes; objetivos en dinero de hoy</t>
        </is>
      </c>
    </row>
    <row r="14" ht="28" customHeight="1">
      <c r="C14" s="67" t="inlineStr">
        <is>
          <t>Base de medición</t>
        </is>
      </c>
      <c r="D14" s="67" t="inlineStr">
        <is>
          <t>USD reales</t>
        </is>
      </c>
      <c r="E14" s="67" t="inlineStr">
        <is>
          <t>Unidad</t>
        </is>
      </c>
      <c r="F14" s="67" t="inlineStr">
        <is>
          <t>Política</t>
        </is>
      </c>
      <c r="G14" s="67" t="inlineStr">
        <is>
          <t>Informe Estrategia de Inversión, Grupo 11</t>
        </is>
      </c>
      <c r="H14" s="67" t="inlineStr">
        <is>
          <t>Dólares de la fecha de corte</t>
        </is>
      </c>
    </row>
    <row r="15" ht="22" customHeight="1">
      <c r="C15" s="432" t="inlineStr">
        <is>
          <t>2. TIPOS DE CAMBIO</t>
        </is>
      </c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</row>
    <row r="16">
      <c r="C16" s="19" t="inlineStr">
        <is>
          <t>Parámetro</t>
        </is>
      </c>
      <c r="D16" s="19" t="inlineStr">
        <is>
          <t>Valor</t>
        </is>
      </c>
      <c r="E16" s="19" t="inlineStr">
        <is>
          <t>Unidad</t>
        </is>
      </c>
      <c r="F16" s="19" t="inlineStr">
        <is>
          <t>Clasificación</t>
        </is>
      </c>
      <c r="G16" s="19" t="inlineStr">
        <is>
          <t>Fuente</t>
        </is>
      </c>
      <c r="H16" s="19" t="inlineStr">
        <is>
          <t>Fórmula / tratamiento</t>
        </is>
      </c>
    </row>
    <row r="17">
      <c r="C17" s="67" t="inlineStr">
        <is>
          <t>USD/CLP</t>
        </is>
      </c>
      <c r="D17" s="433" t="n">
        <v>911.77</v>
      </c>
      <c r="E17" s="67" t="inlineStr">
        <is>
          <t>CLP por USD</t>
        </is>
      </c>
      <c r="F17" s="67" t="inlineStr">
        <is>
          <t>Input</t>
        </is>
      </c>
      <c r="G17" s="67" t="inlineStr">
        <is>
          <t>Valor confirmado por el usuario</t>
        </is>
      </c>
      <c r="H17" s="67" t="inlineStr">
        <is>
          <t>Celda actualizable</t>
        </is>
      </c>
    </row>
    <row r="18">
      <c r="C18" s="67" t="inlineStr">
        <is>
          <t>UF/CLP</t>
        </is>
      </c>
      <c r="D18" s="433" t="n">
        <v>40846</v>
      </c>
      <c r="E18" s="67" t="inlineStr">
        <is>
          <t>CLP por UF</t>
        </is>
      </c>
      <c r="F18" s="67" t="inlineStr">
        <is>
          <t>Input</t>
        </is>
      </c>
      <c r="G18" s="67" t="inlineStr">
        <is>
          <t>Valor confirmado por el usuario</t>
        </is>
      </c>
      <c r="H18" s="67" t="inlineStr">
        <is>
          <t>Celda actualizable</t>
        </is>
      </c>
    </row>
    <row r="19">
      <c r="C19" s="67" t="inlineStr">
        <is>
          <t>USD por UF</t>
        </is>
      </c>
      <c r="D19" s="434">
        <f>D18/D17</f>
        <v/>
      </c>
      <c r="E19" s="67" t="inlineStr">
        <is>
          <t>USD por UF</t>
        </is>
      </c>
      <c r="F19" s="67" t="inlineStr">
        <is>
          <t>Calculado</t>
        </is>
      </c>
      <c r="G19" s="67" t="inlineStr">
        <is>
          <t>Derivado de tipos de cambio</t>
        </is>
      </c>
      <c r="H19" s="67" t="inlineStr">
        <is>
          <t>UF/CLP dividido por USD/CLP</t>
        </is>
      </c>
    </row>
    <row r="20">
      <c r="C20" s="67" t="inlineStr">
        <is>
          <t>USD por CLP</t>
        </is>
      </c>
      <c r="D20" s="435">
        <f>1/D17</f>
        <v/>
      </c>
      <c r="E20" s="67" t="inlineStr">
        <is>
          <t>USD por CLP</t>
        </is>
      </c>
      <c r="F20" s="67" t="inlineStr">
        <is>
          <t>Calculado</t>
        </is>
      </c>
      <c r="G20" s="67" t="inlineStr">
        <is>
          <t>Derivado de USD/CLP</t>
        </is>
      </c>
      <c r="H20" s="67" t="inlineStr">
        <is>
          <t>Inverso de USD/CLP</t>
        </is>
      </c>
    </row>
    <row r="21">
      <c r="C21" s="67" t="n"/>
      <c r="D21" s="67" t="n"/>
      <c r="E21" s="67" t="n"/>
      <c r="F21" s="67" t="n"/>
      <c r="G21" s="67" t="n"/>
      <c r="H21" s="67" t="n"/>
    </row>
    <row r="22" ht="22" customHeight="1">
      <c r="C22" s="432" t="inlineStr">
        <is>
          <t>3. CAPITAL Y APORTES</t>
        </is>
      </c>
      <c r="D22" s="425" t="n"/>
      <c r="E22" s="425" t="n"/>
      <c r="F22" s="425" t="n"/>
      <c r="G22" s="425" t="n"/>
      <c r="H22" s="425" t="n"/>
      <c r="I22" s="425" t="n"/>
      <c r="J22" s="425" t="n"/>
      <c r="K22" s="425" t="n"/>
      <c r="L22" s="425" t="n"/>
    </row>
    <row r="23">
      <c r="C23" s="19" t="inlineStr">
        <is>
          <t>Parámetro</t>
        </is>
      </c>
      <c r="D23" s="19" t="inlineStr">
        <is>
          <t>Valor</t>
        </is>
      </c>
      <c r="E23" s="19" t="inlineStr">
        <is>
          <t>Unidad</t>
        </is>
      </c>
      <c r="F23" s="19" t="inlineStr">
        <is>
          <t>Clasificación</t>
        </is>
      </c>
      <c r="G23" s="19" t="inlineStr">
        <is>
          <t>Fuente</t>
        </is>
      </c>
      <c r="H23" s="19" t="inlineStr">
        <is>
          <t>Tratamiento</t>
        </is>
      </c>
    </row>
    <row r="24">
      <c r="C24" s="67" t="inlineStr">
        <is>
          <t>Capital inicial</t>
        </is>
      </c>
      <c r="D24" s="436" t="n">
        <v>150000</v>
      </c>
      <c r="E24" s="67" t="inlineStr">
        <is>
          <t>USD</t>
        </is>
      </c>
      <c r="F24" s="67" t="inlineStr">
        <is>
          <t>Dato del caso</t>
        </is>
      </c>
      <c r="G24" s="67" t="inlineStr">
        <is>
          <t>IPS, sección Perfil del Cliente</t>
        </is>
      </c>
      <c r="H24" s="67" t="inlineStr">
        <is>
          <t>Entrada en el año 0</t>
        </is>
      </c>
    </row>
    <row r="25">
      <c r="C25" s="67" t="inlineStr">
        <is>
          <t>Aporte anual de Tomás</t>
        </is>
      </c>
      <c r="D25" s="436" t="n">
        <v>10000</v>
      </c>
      <c r="E25" s="67" t="inlineStr">
        <is>
          <t>USD</t>
        </is>
      </c>
      <c r="F25" s="67" t="inlineStr">
        <is>
          <t>Dato del caso</t>
        </is>
      </c>
      <c r="G25" s="67" t="inlineStr">
        <is>
          <t>IPS, sección Perfil del Cliente</t>
        </is>
      </c>
      <c r="H25" s="67" t="inlineStr">
        <is>
          <t>Aporte en abril de cada año</t>
        </is>
      </c>
    </row>
    <row r="26">
      <c r="C26" s="67" t="inlineStr">
        <is>
          <t>Cantidad de aportes</t>
        </is>
      </c>
      <c r="D26" s="437" t="n">
        <v>19</v>
      </c>
      <c r="E26" s="67" t="inlineStr">
        <is>
          <t>Años</t>
        </is>
      </c>
      <c r="F26" s="67" t="inlineStr">
        <is>
          <t>Dato del caso</t>
        </is>
      </c>
      <c r="G26" s="67" t="inlineStr">
        <is>
          <t>IPS, sección Perfil del Cliente</t>
        </is>
      </c>
      <c r="H26" s="67" t="inlineStr">
        <is>
          <t>Escenario central contractual</t>
        </is>
      </c>
    </row>
    <row r="27">
      <c r="C27" s="67" t="inlineStr">
        <is>
          <t>Primer año de aporte</t>
        </is>
      </c>
      <c r="D27" s="437" t="n">
        <v>1</v>
      </c>
      <c r="E27" s="67" t="inlineStr">
        <is>
          <t>Año</t>
        </is>
      </c>
      <c r="F27" s="67" t="inlineStr">
        <is>
          <t>Supuesto temporal</t>
        </is>
      </c>
      <c r="G27" s="67" t="inlineStr">
        <is>
          <t>Metodología del modelo</t>
        </is>
      </c>
      <c r="H27" s="67" t="inlineStr">
        <is>
          <t>Primer aporte posterior al capital inicial</t>
        </is>
      </c>
    </row>
    <row r="28">
      <c r="C28" s="67" t="inlineStr">
        <is>
          <t>Mes del aporte</t>
        </is>
      </c>
      <c r="D28" s="75" t="inlineStr">
        <is>
          <t>Abril</t>
        </is>
      </c>
      <c r="E28" s="67" t="inlineStr">
        <is>
          <t>Mes</t>
        </is>
      </c>
      <c r="F28" s="67" t="inlineStr">
        <is>
          <t>Dato del caso</t>
        </is>
      </c>
      <c r="G28" s="67" t="inlineStr">
        <is>
          <t>IPS, sección Perfil del Cliente</t>
        </is>
      </c>
      <c r="H28" s="67" t="inlineStr">
        <is>
          <t>Se detallará al usar fechas exactas</t>
        </is>
      </c>
    </row>
    <row r="29">
      <c r="C29" s="67" t="inlineStr">
        <is>
          <t>Aportes futuros sin capitalizar</t>
        </is>
      </c>
      <c r="D29" s="438">
        <f>D25*D26</f>
        <v/>
      </c>
      <c r="E29" s="67" t="inlineStr">
        <is>
          <t>USD</t>
        </is>
      </c>
      <c r="F29" s="67" t="inlineStr">
        <is>
          <t>Calculado</t>
        </is>
      </c>
      <c r="G29" s="67" t="inlineStr">
        <is>
          <t>Capital y aportes</t>
        </is>
      </c>
      <c r="H29" s="67" t="inlineStr">
        <is>
          <t>Aporte anual por cantidad de aportes</t>
        </is>
      </c>
    </row>
    <row r="30">
      <c r="C30" s="67" t="n"/>
      <c r="D30" s="67" t="n"/>
      <c r="E30" s="67" t="n"/>
      <c r="F30" s="67" t="n"/>
      <c r="G30" s="67" t="n"/>
      <c r="H30" s="67" t="n"/>
    </row>
    <row r="31" ht="22" customHeight="1">
      <c r="C31" s="432" t="inlineStr">
        <is>
          <t>4. OBJETIVOS FINANCIEROS</t>
        </is>
      </c>
      <c r="D31" s="425" t="n"/>
      <c r="E31" s="425" t="n"/>
      <c r="F31" s="425" t="n"/>
      <c r="G31" s="425" t="n"/>
      <c r="H31" s="425" t="n"/>
      <c r="I31" s="425" t="n"/>
      <c r="J31" s="425" t="n"/>
      <c r="K31" s="425" t="n"/>
      <c r="L31" s="425" t="n"/>
    </row>
    <row r="32" ht="33" customHeight="1">
      <c r="C32" s="19" t="inlineStr">
        <is>
          <t>Prioridad</t>
        </is>
      </c>
      <c r="D32" s="19" t="inlineStr">
        <is>
          <t>Objetivo</t>
        </is>
      </c>
      <c r="E32" s="19" t="inlineStr">
        <is>
          <t>Monto original</t>
        </is>
      </c>
      <c r="F32" s="19" t="inlineStr">
        <is>
          <t>Moneda</t>
        </is>
      </c>
      <c r="G32" s="19" t="inlineStr">
        <is>
          <t>Primer año</t>
        </is>
      </c>
      <c r="H32" s="19" t="inlineStr">
        <is>
          <t>Último año</t>
        </is>
      </c>
      <c r="I32" s="19" t="inlineStr">
        <is>
          <t>N° pagos</t>
        </is>
      </c>
      <c r="J32" s="19" t="inlineStr">
        <is>
          <t>Total en USD</t>
        </is>
      </c>
      <c r="K32" s="19" t="inlineStr">
        <is>
          <t>Pago por evento USD</t>
        </is>
      </c>
      <c r="L32" s="19" t="inlineStr">
        <is>
          <t>Fuente / tratamiento</t>
        </is>
      </c>
    </row>
    <row r="33" ht="33" customHeight="1">
      <c r="C33" s="77" t="n">
        <v>1</v>
      </c>
      <c r="D33" s="77" t="inlineStr">
        <is>
          <t>Educación Vicente</t>
        </is>
      </c>
      <c r="E33" s="439" t="n">
        <v>65000000</v>
      </c>
      <c r="F33" s="77" t="inlineStr">
        <is>
          <t>CLP</t>
        </is>
      </c>
      <c r="G33" s="77" t="n">
        <v>14</v>
      </c>
      <c r="H33" s="77" t="n">
        <v>18</v>
      </c>
      <c r="I33" s="32" t="n">
        <v>5</v>
      </c>
      <c r="J33" s="440">
        <f>E33/$D$17</f>
        <v/>
      </c>
      <c r="K33" s="440">
        <f>J33/I33</f>
        <v/>
      </c>
      <c r="L33" s="36" t="inlineStr">
        <is>
          <t>IPS: CLP 65 millones en dinero de hoy</t>
        </is>
      </c>
    </row>
    <row r="34" ht="33" customHeight="1">
      <c r="C34" s="77" t="n">
        <v>1</v>
      </c>
      <c r="D34" s="77" t="inlineStr">
        <is>
          <t>Educación Emilia</t>
        </is>
      </c>
      <c r="E34" s="439" t="n">
        <v>65000000</v>
      </c>
      <c r="F34" s="77" t="inlineStr">
        <is>
          <t>CLP</t>
        </is>
      </c>
      <c r="G34" s="77" t="n">
        <v>16</v>
      </c>
      <c r="H34" s="77" t="n">
        <v>20</v>
      </c>
      <c r="I34" s="32" t="n">
        <v>5</v>
      </c>
      <c r="J34" s="440">
        <f>E34/$D$17</f>
        <v/>
      </c>
      <c r="K34" s="440">
        <f>J34/I34</f>
        <v/>
      </c>
      <c r="L34" s="36" t="inlineStr">
        <is>
          <t>IPS: CLP 65 millones en dinero de hoy</t>
        </is>
      </c>
    </row>
    <row r="35" ht="33" customHeight="1">
      <c r="C35" s="77" t="n">
        <v>2</v>
      </c>
      <c r="D35" s="77" t="inlineStr">
        <is>
          <t>Propiedad en Villarrica</t>
        </is>
      </c>
      <c r="E35" s="439" t="n">
        <v>10500</v>
      </c>
      <c r="F35" s="77" t="inlineStr">
        <is>
          <t>UF</t>
        </is>
      </c>
      <c r="G35" s="77" t="n">
        <v>25</v>
      </c>
      <c r="H35" s="77" t="n">
        <v>25</v>
      </c>
      <c r="I35" s="32" t="n">
        <v>1</v>
      </c>
      <c r="J35" s="440">
        <f>E35*$D$19</f>
        <v/>
      </c>
      <c r="K35" s="440">
        <f>J35/I35</f>
        <v/>
      </c>
      <c r="L35" s="36" t="inlineStr">
        <is>
          <t>Desembolso adicional; el resto se financia con venta de la casa</t>
        </is>
      </c>
    </row>
    <row r="36" ht="33" customHeight="1">
      <c r="C36" s="77" t="n">
        <v>3</v>
      </c>
      <c r="D36" s="77" t="inlineStr">
        <is>
          <t>Herencia familiar</t>
        </is>
      </c>
      <c r="E36" s="439" t="n">
        <v>500000</v>
      </c>
      <c r="F36" s="77" t="inlineStr">
        <is>
          <t>USD</t>
        </is>
      </c>
      <c r="G36" s="77" t="n">
        <v>50</v>
      </c>
      <c r="H36" s="77" t="n">
        <v>50</v>
      </c>
      <c r="I36" s="32" t="n">
        <v>1</v>
      </c>
      <c r="J36" s="440">
        <f>E36</f>
        <v/>
      </c>
      <c r="K36" s="440">
        <f>J36/I36</f>
        <v/>
      </c>
      <c r="L36" s="36" t="inlineStr">
        <is>
          <t>USD 250.000 por hijo</t>
        </is>
      </c>
    </row>
    <row r="37">
      <c r="C37" s="67" t="n"/>
      <c r="D37" s="67" t="n"/>
      <c r="E37" s="67" t="n"/>
      <c r="F37" s="67" t="n"/>
      <c r="G37" s="67" t="n"/>
      <c r="H37" s="67" t="n"/>
    </row>
    <row r="38">
      <c r="C38" s="19" t="inlineStr">
        <is>
          <t>Resumen sin descuento</t>
        </is>
      </c>
      <c r="D38" s="19" t="inlineStr">
        <is>
          <t>Valor</t>
        </is>
      </c>
      <c r="E38" s="19" t="inlineStr">
        <is>
          <t>Unidad</t>
        </is>
      </c>
      <c r="F38" s="19" t="inlineStr">
        <is>
          <t>Interpretación</t>
        </is>
      </c>
      <c r="G38" s="67" t="n"/>
      <c r="H38" s="67" t="n"/>
    </row>
    <row r="39">
      <c r="C39" s="67" t="inlineStr">
        <is>
          <t>Educación total</t>
        </is>
      </c>
      <c r="D39" s="441">
        <f>SUM(J33:J34)</f>
        <v/>
      </c>
      <c r="E39" s="67" t="inlineStr">
        <is>
          <t>USD</t>
        </is>
      </c>
      <c r="F39" s="67" t="inlineStr">
        <is>
          <t>Dos carreras completas</t>
        </is>
      </c>
      <c r="G39" s="67" t="n"/>
      <c r="H39" s="67" t="n"/>
    </row>
    <row r="40">
      <c r="C40" s="67" t="inlineStr">
        <is>
          <t>Objetivos totales</t>
        </is>
      </c>
      <c r="D40" s="441">
        <f>SUM(J33:J36)</f>
        <v/>
      </c>
      <c r="E40" s="67" t="inlineStr">
        <is>
          <t>USD</t>
        </is>
      </c>
      <c r="F40" s="67" t="inlineStr">
        <is>
          <t>Suma nominal real; no incorpora tiempos</t>
        </is>
      </c>
      <c r="G40" s="67" t="n"/>
      <c r="H40" s="67" t="n"/>
    </row>
    <row r="41">
      <c r="C41" s="67" t="inlineStr">
        <is>
          <t>Capital más aportes</t>
        </is>
      </c>
      <c r="D41" s="441">
        <f>D24+D29</f>
        <v/>
      </c>
      <c r="E41" s="67" t="inlineStr">
        <is>
          <t>USD</t>
        </is>
      </c>
      <c r="F41" s="67" t="inlineStr">
        <is>
          <t>Suma sin capitalización; no mide suficiencia</t>
        </is>
      </c>
      <c r="G41" s="67" t="n"/>
      <c r="H41" s="67" t="n"/>
    </row>
    <row r="42">
      <c r="C42" s="67" t="n"/>
      <c r="D42" s="67" t="n"/>
      <c r="E42" s="67" t="n"/>
      <c r="F42" s="67" t="n"/>
      <c r="G42" s="67" t="n"/>
      <c r="H42" s="67" t="n"/>
    </row>
    <row r="43" ht="22" customHeight="1">
      <c r="C43" s="432" t="inlineStr">
        <is>
          <t>5. RESTRICCIONES Y POLÍTICAS DEL IPS</t>
        </is>
      </c>
      <c r="D43" s="425" t="n"/>
      <c r="E43" s="425" t="n"/>
      <c r="F43" s="425" t="n"/>
      <c r="G43" s="425" t="n"/>
      <c r="H43" s="425" t="n"/>
      <c r="I43" s="425" t="n"/>
      <c r="J43" s="425" t="n"/>
      <c r="K43" s="425" t="n"/>
      <c r="L43" s="425" t="n"/>
    </row>
    <row r="44">
      <c r="C44" s="19" t="inlineStr">
        <is>
          <t>Restricción</t>
        </is>
      </c>
      <c r="D44" s="19" t="inlineStr">
        <is>
          <t>Valor</t>
        </is>
      </c>
      <c r="E44" s="19" t="inlineStr">
        <is>
          <t>Unidad</t>
        </is>
      </c>
      <c r="F44" s="19" t="inlineStr">
        <is>
          <t>Uso futuro</t>
        </is>
      </c>
      <c r="G44" s="19" t="inlineStr">
        <is>
          <t>Fuente</t>
        </is>
      </c>
      <c r="H44" s="19" t="inlineStr">
        <is>
          <t>Observación</t>
        </is>
      </c>
    </row>
    <row r="45">
      <c r="C45" s="67" t="inlineStr">
        <is>
          <t>Tracking Error máximo cartera activa</t>
        </is>
      </c>
      <c r="D45" s="442" t="n">
        <v>0.04</v>
      </c>
      <c r="E45" s="67" t="inlineStr">
        <is>
          <t>% anual</t>
        </is>
      </c>
      <c r="F45" s="67" t="inlineStr">
        <is>
          <t>Optimizer / control</t>
        </is>
      </c>
      <c r="G45" s="67" t="inlineStr">
        <is>
          <t>IPS, Métricas de riesgo</t>
        </is>
      </c>
      <c r="H45" s="67" t="inlineStr">
        <is>
          <t>Se validará empíricamente</t>
        </is>
      </c>
    </row>
    <row r="46">
      <c r="C46" s="67" t="inlineStr">
        <is>
          <t>Fondo de emergencia dentro del mandato</t>
        </is>
      </c>
      <c r="D46" s="81" t="inlineStr">
        <is>
          <t>No</t>
        </is>
      </c>
      <c r="E46" s="67" t="inlineStr">
        <is>
          <t>Política</t>
        </is>
      </c>
      <c r="F46" s="67" t="inlineStr">
        <is>
          <t>Flujos</t>
        </is>
      </c>
      <c r="G46" s="67" t="inlineStr">
        <is>
          <t>IPS, Escenarios de estrés</t>
        </is>
      </c>
      <c r="H46" s="67" t="inlineStr">
        <is>
          <t>La caja interna será liquidez operativa</t>
        </is>
      </c>
    </row>
    <row r="47">
      <c r="C47" s="67" t="inlineStr">
        <is>
          <t>Instrumentos compatibles con StockTrak</t>
        </is>
      </c>
      <c r="D47" s="81" t="inlineStr">
        <is>
          <t>Sí</t>
        </is>
      </c>
      <c r="E47" s="67" t="inlineStr">
        <is>
          <t>Política</t>
        </is>
      </c>
      <c r="F47" s="67" t="inlineStr">
        <is>
          <t>Universo de activos</t>
        </is>
      </c>
      <c r="G47" s="67" t="inlineStr">
        <is>
          <t>IPS, Restricciones</t>
        </is>
      </c>
      <c r="H47" s="67" t="inlineStr">
        <is>
          <t>Condición de elegibilidad</t>
        </is>
      </c>
    </row>
    <row r="48">
      <c r="C48" s="67" t="inlineStr">
        <is>
          <t>Uso puramente especulativo</t>
        </is>
      </c>
      <c r="D48" s="81" t="inlineStr">
        <is>
          <t>No permitido</t>
        </is>
      </c>
      <c r="E48" s="67" t="inlineStr">
        <is>
          <t>Política</t>
        </is>
      </c>
      <c r="F48" s="67" t="inlineStr">
        <is>
          <t>Universo de activos</t>
        </is>
      </c>
      <c r="G48" s="67" t="inlineStr">
        <is>
          <t>IPS, Restricciones</t>
        </is>
      </c>
      <c r="H48" s="67" t="inlineStr">
        <is>
          <t>Aplica a cortos, margen y derivados</t>
        </is>
      </c>
    </row>
    <row r="49">
      <c r="C49" s="67" t="inlineStr">
        <is>
          <t>Prioridad 1</t>
        </is>
      </c>
      <c r="D49" s="81" t="inlineStr">
        <is>
          <t>Educación</t>
        </is>
      </c>
      <c r="E49" s="67" t="inlineStr">
        <is>
          <t>Objetivo</t>
        </is>
      </c>
      <c r="F49" s="67" t="inlineStr">
        <is>
          <t>Monte Carlo</t>
        </is>
      </c>
      <c r="G49" s="67" t="inlineStr">
        <is>
          <t>IPS</t>
        </is>
      </c>
      <c r="H49" s="67" t="inlineStr">
        <is>
          <t>Objetivo crítico</t>
        </is>
      </c>
    </row>
    <row r="50">
      <c r="C50" s="67" t="inlineStr">
        <is>
          <t>Prioridad 2</t>
        </is>
      </c>
      <c r="D50" s="81" t="inlineStr">
        <is>
          <t>Propiedad</t>
        </is>
      </c>
      <c r="E50" s="67" t="inlineStr">
        <is>
          <t>Objetivo</t>
        </is>
      </c>
      <c r="F50" s="67" t="inlineStr">
        <is>
          <t>Monte Carlo</t>
        </is>
      </c>
      <c r="G50" s="67" t="inlineStr">
        <is>
          <t>Caso y estrategia corregida</t>
        </is>
      </c>
      <c r="H50" s="67" t="inlineStr">
        <is>
          <t>Admite ajuste antes que educación</t>
        </is>
      </c>
    </row>
    <row r="51">
      <c r="C51" s="67" t="inlineStr">
        <is>
          <t>Prioridad 3</t>
        </is>
      </c>
      <c r="D51" s="81" t="inlineStr">
        <is>
          <t>Herencia</t>
        </is>
      </c>
      <c r="E51" s="67" t="inlineStr">
        <is>
          <t>Objetivo</t>
        </is>
      </c>
      <c r="F51" s="67" t="inlineStr">
        <is>
          <t>Monte Carlo</t>
        </is>
      </c>
      <c r="G51" s="67" t="inlineStr">
        <is>
          <t>Caso y estrategia corregida</t>
        </is>
      </c>
      <c r="H51" s="67" t="inlineStr">
        <is>
          <t>Objetivo flexible</t>
        </is>
      </c>
    </row>
    <row r="52">
      <c r="C52" s="67" t="n"/>
      <c r="D52" s="67" t="n"/>
      <c r="E52" s="67" t="n"/>
      <c r="F52" s="67" t="n"/>
      <c r="G52" s="67" t="n"/>
      <c r="H52" s="67" t="n"/>
    </row>
    <row r="53" ht="22" customHeight="1">
      <c r="C53" s="432" t="inlineStr">
        <is>
          <t>6. SUPUESTOS PROVISIONALES PARA SENSIBILIDAD</t>
        </is>
      </c>
      <c r="D53" s="425" t="n"/>
      <c r="E53" s="425" t="n"/>
      <c r="F53" s="425" t="n"/>
      <c r="G53" s="425" t="n"/>
      <c r="H53" s="425" t="n"/>
      <c r="I53" s="425" t="n"/>
      <c r="J53" s="425" t="n"/>
      <c r="K53" s="425" t="n"/>
      <c r="L53" s="425" t="n"/>
    </row>
    <row r="54">
      <c r="C54" s="19" t="inlineStr">
        <is>
          <t>Supuesto</t>
        </is>
      </c>
      <c r="D54" s="19" t="inlineStr">
        <is>
          <t>Caso central</t>
        </is>
      </c>
      <c r="E54" s="19" t="inlineStr">
        <is>
          <t>Unidad</t>
        </is>
      </c>
      <c r="F54" s="19" t="inlineStr">
        <is>
          <t>Estado</t>
        </is>
      </c>
      <c r="G54" s="19" t="inlineStr">
        <is>
          <t>Uso futuro</t>
        </is>
      </c>
      <c r="H54" s="19" t="inlineStr">
        <is>
          <t>Observación</t>
        </is>
      </c>
    </row>
    <row r="55">
      <c r="C55" s="67" t="inlineStr">
        <is>
          <t>Crecimiento real adicional de educación</t>
        </is>
      </c>
      <c r="D55" s="442" t="n">
        <v>0</v>
      </c>
      <c r="E55" s="67" t="inlineStr">
        <is>
          <t>% anual</t>
        </is>
      </c>
      <c r="F55" s="67" t="inlineStr">
        <is>
          <t>Provisional</t>
        </is>
      </c>
      <c r="G55" s="67" t="inlineStr">
        <is>
          <t>Flujos / sensibilidad</t>
        </is>
      </c>
      <c r="H55" s="67" t="inlineStr">
        <is>
          <t>Caso central en dinero de hoy</t>
        </is>
      </c>
    </row>
    <row r="56">
      <c r="C56" s="67" t="inlineStr">
        <is>
          <t>Interrupción de aportes</t>
        </is>
      </c>
      <c r="D56" s="75" t="n">
        <v>0</v>
      </c>
      <c r="E56" s="67" t="inlineStr">
        <is>
          <t>Años omitidos</t>
        </is>
      </c>
      <c r="F56" s="67" t="inlineStr">
        <is>
          <t>Solo estrés</t>
        </is>
      </c>
      <c r="G56" s="67" t="inlineStr">
        <is>
          <t>Stress testing</t>
        </is>
      </c>
      <c r="H56" s="67" t="inlineStr">
        <is>
          <t>El caso central conserva 19 aportes</t>
        </is>
      </c>
    </row>
    <row r="57">
      <c r="C57" s="67" t="inlineStr">
        <is>
          <t>Pesos de cartera</t>
        </is>
      </c>
      <c r="D57" s="82" t="inlineStr">
        <is>
          <t>No definidos</t>
        </is>
      </c>
      <c r="E57" s="67" t="inlineStr">
        <is>
          <t>Resultado</t>
        </is>
      </c>
      <c r="F57" s="67" t="inlineStr">
        <is>
          <t>Borrador disponible en 09_Optimizador_Cartera (Solver)</t>
        </is>
      </c>
      <c r="G57" s="67" t="inlineStr">
        <is>
          <t>Optimizer</t>
        </is>
      </c>
      <c r="H57" s="67" t="inlineStr">
        <is>
          <t>D57 se mantiene "No definidos": los pesos siguen siendo un output a validar, nunca un input del modelo</t>
        </is>
      </c>
    </row>
    <row r="58">
      <c r="C58" s="67" t="n"/>
      <c r="D58" s="67" t="n"/>
      <c r="E58" s="67" t="n"/>
      <c r="F58" s="67" t="n"/>
      <c r="G58" s="67" t="n"/>
      <c r="H58" s="67" t="n"/>
    </row>
    <row r="59" ht="22" customHeight="1">
      <c r="C59" s="432" t="inlineStr">
        <is>
          <t>7. CONTROLES DE INTEGRIDAD</t>
        </is>
      </c>
      <c r="D59" s="425" t="n"/>
      <c r="E59" s="425" t="n"/>
      <c r="F59" s="425" t="n"/>
      <c r="G59" s="425" t="n"/>
      <c r="H59" s="425" t="n"/>
      <c r="I59" s="425" t="n"/>
      <c r="J59" s="425" t="n"/>
      <c r="K59" s="425" t="n"/>
      <c r="L59" s="425" t="n"/>
    </row>
    <row r="60">
      <c r="C60" s="83" t="inlineStr">
        <is>
          <t>Control</t>
        </is>
      </c>
      <c r="D60" s="83" t="inlineStr">
        <is>
          <t>Resultado</t>
        </is>
      </c>
      <c r="E60" s="83" t="inlineStr">
        <is>
          <t>Tolerancia / condición</t>
        </is>
      </c>
      <c r="F60" s="83" t="inlineStr">
        <is>
          <t>Interpretación</t>
        </is>
      </c>
      <c r="G60" s="67" t="n"/>
      <c r="H60" s="67" t="n"/>
    </row>
    <row r="61">
      <c r="C61" s="84" t="inlineStr">
        <is>
          <t>Conversión UF a USD</t>
        </is>
      </c>
      <c r="D61" s="85">
        <f>IF(ABS(D19-D18/D17)&lt;0.000001,"OK","ERROR")</f>
        <v/>
      </c>
      <c r="E61" s="84" t="inlineStr">
        <is>
          <t>0,000001</t>
        </is>
      </c>
      <c r="F61" s="84" t="inlineStr">
        <is>
          <t>UF/CLP dividido por USD/CLP</t>
        </is>
      </c>
      <c r="G61" s="67" t="n"/>
      <c r="H61" s="67" t="n"/>
    </row>
    <row r="62">
      <c r="C62" s="84" t="inlineStr">
        <is>
          <t>Horizonte pagos educación</t>
        </is>
      </c>
      <c r="D62" s="85">
        <f>IF(AND(H33-G33+1=I33,H34-G34+1=I34),"OK","ERROR")</f>
        <v/>
      </c>
      <c r="E62" s="84" t="inlineStr">
        <is>
          <t>5 pagos por hijo</t>
        </is>
      </c>
      <c r="F62" s="84" t="inlineStr">
        <is>
          <t>Primer y último año consistentes</t>
        </is>
      </c>
      <c r="G62" s="67" t="n"/>
      <c r="H62" s="67" t="n"/>
    </row>
    <row r="63">
      <c r="C63" s="84" t="inlineStr">
        <is>
          <t>Aportes contractuales</t>
        </is>
      </c>
      <c r="D63" s="85">
        <f>IF(AND(D26=19,D29=D25*D26),"OK","ERROR")</f>
        <v/>
      </c>
      <c r="E63" s="84" t="inlineStr">
        <is>
          <t>19 aportes</t>
        </is>
      </c>
      <c r="F63" s="84" t="inlineStr">
        <is>
          <t>USD 10.000 anuales</t>
        </is>
      </c>
      <c r="G63" s="67" t="n"/>
      <c r="H63" s="67" t="n"/>
    </row>
    <row r="64">
      <c r="C64" s="84" t="inlineStr">
        <is>
          <t>Propiedad sin doble conteo</t>
        </is>
      </c>
      <c r="D64" s="85" t="inlineStr">
        <is>
          <t>OK</t>
        </is>
      </c>
      <c r="E64" s="84" t="inlineStr">
        <is>
          <t>Casa fuera de los inflows</t>
        </is>
      </c>
      <c r="F64" s="84" t="inlineStr">
        <is>
          <t>Las 10.500 UF son el desembolso adicional</t>
        </is>
      </c>
      <c r="G64" s="67" t="n"/>
      <c r="H64" s="67" t="n"/>
    </row>
    <row r="65">
      <c r="C65" s="84" t="inlineStr">
        <is>
          <t>Pesos no prefijados</t>
        </is>
      </c>
      <c r="D65" s="85">
        <f>IF(D57="No definidos","OK","ERROR")</f>
        <v/>
      </c>
      <c r="E65" s="84" t="inlineStr">
        <is>
          <t>Sin porcentajes</t>
        </is>
      </c>
      <c r="F65" s="84" t="inlineStr">
        <is>
          <t>Se determinarán con el modelo</t>
        </is>
      </c>
      <c r="G65" s="67" t="n"/>
      <c r="H65" s="67" t="n"/>
    </row>
    <row r="68">
      <c r="C68" s="443" t="inlineStr">
        <is>
          <t>8. REFERENCIA PROVISIONAL PARA VALORIZAR PASIVOS</t>
        </is>
      </c>
      <c r="D68" s="425" t="n"/>
      <c r="E68" s="425" t="n"/>
      <c r="F68" s="425" t="n"/>
      <c r="G68" s="425" t="n"/>
      <c r="H68" s="425" t="n"/>
      <c r="I68" s="425" t="n"/>
      <c r="J68" s="425" t="n"/>
      <c r="K68" s="425" t="n"/>
      <c r="L68" s="425" t="n"/>
    </row>
    <row r="69">
      <c r="C69" s="137" t="inlineStr">
        <is>
          <t>Parámetro</t>
        </is>
      </c>
      <c r="D69" s="137" t="inlineStr">
        <is>
          <t>Valor</t>
        </is>
      </c>
      <c r="E69" s="137" t="inlineStr">
        <is>
          <t>Unidad</t>
        </is>
      </c>
      <c r="F69" s="137" t="inlineStr">
        <is>
          <t>Clasificación</t>
        </is>
      </c>
      <c r="G69" s="137" t="inlineStr">
        <is>
          <t>Fuente</t>
        </is>
      </c>
      <c r="H69" s="137" t="inlineStr">
        <is>
          <t>Tratamiento</t>
        </is>
      </c>
    </row>
    <row r="70">
      <c r="C70" s="141" t="inlineStr">
        <is>
          <t>Treasury 10 años nominal</t>
        </is>
      </c>
      <c r="D70" s="444" t="n">
        <v>0.04619</v>
      </c>
      <c r="E70" s="141" t="inlineStr">
        <is>
          <t>% anual</t>
        </is>
      </c>
      <c r="F70" s="141" t="inlineStr">
        <is>
          <t>Input provisional</t>
        </is>
      </c>
      <c r="G70" s="141" t="inlineStr">
        <is>
          <t>Informe Estrategia de Inversión, Grupo 11</t>
        </is>
      </c>
      <c r="H70" s="141" t="inlineStr">
        <is>
          <t>Proxy hasta construir curva LDI</t>
        </is>
      </c>
    </row>
    <row r="71">
      <c r="C71" s="141" t="inlineStr">
        <is>
          <t>Inflación de largo plazo</t>
        </is>
      </c>
      <c r="D71" s="444" t="n">
        <v>0.02</v>
      </c>
      <c r="E71" s="141" t="inlineStr">
        <is>
          <t>% anual</t>
        </is>
      </c>
      <c r="F71" s="141" t="inlineStr">
        <is>
          <t>Input provisional</t>
        </is>
      </c>
      <c r="G71" s="141" t="inlineStr">
        <is>
          <t>Informe Estrategia de Inversión, Grupo 11</t>
        </is>
      </c>
      <c r="H71" s="141" t="inlineStr">
        <is>
          <t>Supuesto de inflación</t>
        </is>
      </c>
    </row>
    <row r="72">
      <c r="C72" s="141" t="inlineStr">
        <is>
          <t>Tasa real LDI de referencia</t>
        </is>
      </c>
      <c r="D72" s="445">
        <f>(1+D70)/(1+D71)-1</f>
        <v/>
      </c>
      <c r="E72" s="141" t="inlineStr">
        <is>
          <t>% anual real</t>
        </is>
      </c>
      <c r="F72" s="141" t="inlineStr">
        <is>
          <t>Calculado</t>
        </is>
      </c>
      <c r="G72" s="141" t="inlineStr">
        <is>
          <t>Ecuación de Fisher</t>
        </is>
      </c>
      <c r="H72" s="141" t="inlineStr">
        <is>
          <t>(1 + tasa nominal) / (1 + inflación) - 1</t>
        </is>
      </c>
    </row>
    <row r="73">
      <c r="C73" s="141" t="inlineStr">
        <is>
          <t>Estado del supuesto</t>
        </is>
      </c>
      <c r="D73" s="144" t="inlineStr">
        <is>
          <t>Provisional</t>
        </is>
      </c>
      <c r="E73" s="141" t="inlineStr">
        <is>
          <t>Estado</t>
        </is>
      </c>
      <c r="F73" s="141" t="inlineStr">
        <is>
          <t>Control</t>
        </is>
      </c>
      <c r="G73" s="141" t="inlineStr">
        <is>
          <t>Metodología</t>
        </is>
      </c>
      <c r="H73" s="141" t="inlineStr">
        <is>
          <t>Se validará en 03_LDI</t>
        </is>
      </c>
    </row>
  </sheetData>
  <mergeCells count="12">
    <mergeCell ref="C53:L53"/>
    <mergeCell ref="C31:L31"/>
    <mergeCell ref="D5:F5"/>
    <mergeCell ref="C22:L22"/>
    <mergeCell ref="C9:L9"/>
    <mergeCell ref="C3:L3"/>
    <mergeCell ref="C7:L7"/>
    <mergeCell ref="C59:L59"/>
    <mergeCell ref="C43:L43"/>
    <mergeCell ref="C15:L15"/>
    <mergeCell ref="C68:L68"/>
    <mergeCell ref="C2:L2"/>
  </mergeCells>
  <conditionalFormatting sqref="D61:D65">
    <cfRule type="containsText" priority="1" operator="containsText" dxfId="0" text="ERROR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C2:Q60"/>
  <sheetViews>
    <sheetView showGridLines="0" workbookViewId="0">
      <pane xSplit="3" ySplit="9" topLeftCell="D10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8" customWidth="1" min="12" max="12"/>
    <col width="3" customWidth="1" min="13" max="13"/>
    <col width="21" customWidth="1" min="14" max="14"/>
    <col width="18" customWidth="1" min="15" max="15"/>
    <col width="18" customWidth="1" min="16" max="16"/>
    <col width="38" customWidth="1" min="17" max="17"/>
  </cols>
  <sheetData>
    <row r="2" ht="30" customHeight="1">
      <c r="C2" s="446" t="inlineStr">
        <is>
          <t>MODELO NEXUM - CALENDARIO DE FLUJOS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Convención: entradas positivas; desembolsos negativos. Flujos anuales en USD reales.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91" t="inlineStr">
        <is>
          <t>Total entradas</t>
        </is>
      </c>
      <c r="D5" s="447">
        <f>SUM(D10:E60)</f>
        <v/>
      </c>
      <c r="E5" s="92" t="n"/>
      <c r="F5" s="91" t="inlineStr">
        <is>
          <t>Total desembolsos</t>
        </is>
      </c>
      <c r="G5" s="447">
        <f>-SUM(F10:I60)</f>
        <v/>
      </c>
      <c r="H5" s="92" t="n"/>
      <c r="I5" s="91" t="inlineStr">
        <is>
          <t>Flujo neto sin descuento</t>
        </is>
      </c>
      <c r="J5" s="448">
        <f>SUM(J10:J60)</f>
        <v/>
      </c>
    </row>
    <row r="6">
      <c r="C6" s="91" t="inlineStr">
        <is>
          <t>Capital + aportes</t>
        </is>
      </c>
      <c r="D6" s="447">
        <f>'00_Inputs'!D41</f>
        <v/>
      </c>
      <c r="E6" s="92" t="n"/>
      <c r="F6" s="91" t="inlineStr">
        <is>
          <t>Objetivos sin descuento</t>
        </is>
      </c>
      <c r="G6" s="447">
        <f>'00_Inputs'!D40</f>
        <v/>
      </c>
      <c r="H6" s="92" t="n"/>
      <c r="I6" s="91" t="inlineStr">
        <is>
          <t>Horizonte</t>
        </is>
      </c>
      <c r="J6" s="449" t="n">
        <v>50</v>
      </c>
    </row>
    <row r="8">
      <c r="C8" s="450" t="inlineStr">
        <is>
          <t>FLUJOS DEL ESCENARIO CENTRAL</t>
        </is>
      </c>
      <c r="D8" s="425" t="n"/>
      <c r="E8" s="425" t="n"/>
      <c r="F8" s="425" t="n"/>
      <c r="G8" s="425" t="n"/>
      <c r="H8" s="425" t="n"/>
      <c r="I8" s="425" t="n"/>
      <c r="J8" s="425" t="n"/>
      <c r="K8" s="425" t="n"/>
      <c r="L8" s="425" t="n"/>
      <c r="N8" s="450" t="inlineStr">
        <is>
          <t>CONTROLES DE RECONCILIACIÓN</t>
        </is>
      </c>
      <c r="O8" s="425" t="n"/>
      <c r="P8" s="425" t="n"/>
      <c r="Q8" s="425" t="n"/>
    </row>
    <row r="9" ht="32" customHeight="1">
      <c r="C9" s="111" t="inlineStr">
        <is>
          <t>Año</t>
        </is>
      </c>
      <c r="D9" s="111" t="inlineStr">
        <is>
          <t>Capital inicial</t>
        </is>
      </c>
      <c r="E9" s="111" t="inlineStr">
        <is>
          <t>Aporte anual</t>
        </is>
      </c>
      <c r="F9" s="111" t="inlineStr">
        <is>
          <t>Educación Vicente</t>
        </is>
      </c>
      <c r="G9" s="111" t="inlineStr">
        <is>
          <t>Educación Emilia</t>
        </is>
      </c>
      <c r="H9" s="111" t="inlineStr">
        <is>
          <t>Propiedad Villarrica</t>
        </is>
      </c>
      <c r="I9" s="111" t="inlineStr">
        <is>
          <t>Herencia</t>
        </is>
      </c>
      <c r="J9" s="111" t="inlineStr">
        <is>
          <t>Flujo neto</t>
        </is>
      </c>
      <c r="K9" s="111" t="inlineStr">
        <is>
          <t>Acumulado sin retorno</t>
        </is>
      </c>
      <c r="L9" s="111" t="inlineStr">
        <is>
          <t>Evento principal</t>
        </is>
      </c>
      <c r="N9" s="118" t="inlineStr">
        <is>
          <t>Control</t>
        </is>
      </c>
      <c r="O9" s="118" t="inlineStr">
        <is>
          <t>Flujos</t>
        </is>
      </c>
      <c r="P9" s="118" t="inlineStr">
        <is>
          <t>Inputs</t>
        </is>
      </c>
      <c r="Q9" s="118" t="inlineStr">
        <is>
          <t>Diferencia</t>
        </is>
      </c>
    </row>
    <row r="10">
      <c r="C10" s="451" t="n">
        <v>0</v>
      </c>
      <c r="D10" s="452">
        <f>IF(C10=0,'00_Inputs'!$D$24,0)</f>
        <v/>
      </c>
      <c r="E10" s="452">
        <f>IF(AND(C10&gt;='00_Inputs'!$D$27,C10&lt;'00_Inputs'!$D$27+'00_Inputs'!$D$26),'00_Inputs'!$D$25,0)</f>
        <v/>
      </c>
      <c r="F10" s="452">
        <f>IF(AND(C10&gt;='00_Inputs'!$G$33,C10&lt;='00_Inputs'!$H$33),-'00_Inputs'!$K$33*(1+'00_Inputs'!$D$55)^C10,0)</f>
        <v/>
      </c>
      <c r="G10" s="452">
        <f>IF(AND(C10&gt;='00_Inputs'!$G$34,C10&lt;='00_Inputs'!$H$34),-'00_Inputs'!$K$34*(1+'00_Inputs'!$D$55)^C10,0)</f>
        <v/>
      </c>
      <c r="H10" s="452">
        <f>IF(C10='00_Inputs'!$G$35,-'00_Inputs'!$J$35,0)</f>
        <v/>
      </c>
      <c r="I10" s="452">
        <f>IF(C10='00_Inputs'!$G$36,-'00_Inputs'!$J$36,0)</f>
        <v/>
      </c>
      <c r="J10" s="453">
        <f>SUM(D10:I10)</f>
        <v/>
      </c>
      <c r="K10" s="453">
        <f>J10</f>
        <v/>
      </c>
      <c r="L10" s="114">
        <f>IF(C10=0,"Capital inicial",IF(AND(F10&lt;0,G10&lt;0),"Educación de ambos hijos",IF(F10&lt;0,"Educación Vicente",IF(G10&lt;0,"Educación Emilia",IF(H10&lt;0,"Compra Villarrica",IF(I10&lt;0,"Pago herencia",IF(E10&gt;0,"Aporte anual","")))))))</f>
        <v/>
      </c>
      <c r="N10" s="46" t="inlineStr">
        <is>
          <t>Capital inicial</t>
        </is>
      </c>
      <c r="O10" s="453">
        <f>SUM(D10:D60)</f>
        <v/>
      </c>
      <c r="P10" s="452">
        <f>'00_Inputs'!D24</f>
        <v/>
      </c>
      <c r="Q10" s="454">
        <f>O10-P10</f>
        <v/>
      </c>
    </row>
    <row r="11">
      <c r="C11" s="451" t="n">
        <v>1</v>
      </c>
      <c r="D11" s="452">
        <f>IF(C11=0,'00_Inputs'!$D$24,0)</f>
        <v/>
      </c>
      <c r="E11" s="452">
        <f>IF(AND(C11&gt;='00_Inputs'!$D$27,C11&lt;'00_Inputs'!$D$27+'00_Inputs'!$D$26),'00_Inputs'!$D$25,0)</f>
        <v/>
      </c>
      <c r="F11" s="452">
        <f>IF(AND(C11&gt;='00_Inputs'!$G$33,C11&lt;='00_Inputs'!$H$33),-'00_Inputs'!$K$33*(1+'00_Inputs'!$D$55)^C11,0)</f>
        <v/>
      </c>
      <c r="G11" s="452">
        <f>IF(AND(C11&gt;='00_Inputs'!$G$34,C11&lt;='00_Inputs'!$H$34),-'00_Inputs'!$K$34*(1+'00_Inputs'!$D$55)^C11,0)</f>
        <v/>
      </c>
      <c r="H11" s="452">
        <f>IF(C11='00_Inputs'!$G$35,-'00_Inputs'!$J$35,0)</f>
        <v/>
      </c>
      <c r="I11" s="452">
        <f>IF(C11='00_Inputs'!$G$36,-'00_Inputs'!$J$36,0)</f>
        <v/>
      </c>
      <c r="J11" s="453">
        <f>SUM(D11:I11)</f>
        <v/>
      </c>
      <c r="K11" s="453">
        <f>K10+J11</f>
        <v/>
      </c>
      <c r="L11" s="114">
        <f>IF(C11=0,"Capital inicial",IF(AND(F11&lt;0,G11&lt;0),"Educación de ambos hijos",IF(F11&lt;0,"Educación Vicente",IF(G11&lt;0,"Educación Emilia",IF(H11&lt;0,"Compra Villarrica",IF(I11&lt;0,"Pago herencia",IF(E11&gt;0,"Aporte anual","")))))))</f>
        <v/>
      </c>
      <c r="N11" s="46" t="inlineStr">
        <is>
          <t>Aportes</t>
        </is>
      </c>
      <c r="O11" s="453">
        <f>SUM(E10:E60)</f>
        <v/>
      </c>
      <c r="P11" s="452">
        <f>'00_Inputs'!D29</f>
        <v/>
      </c>
      <c r="Q11" s="454">
        <f>O11-P11</f>
        <v/>
      </c>
    </row>
    <row r="12">
      <c r="C12" s="451" t="n">
        <v>2</v>
      </c>
      <c r="D12" s="452">
        <f>IF(C12=0,'00_Inputs'!$D$24,0)</f>
        <v/>
      </c>
      <c r="E12" s="452">
        <f>IF(AND(C12&gt;='00_Inputs'!$D$27,C12&lt;'00_Inputs'!$D$27+'00_Inputs'!$D$26),'00_Inputs'!$D$25,0)</f>
        <v/>
      </c>
      <c r="F12" s="452">
        <f>IF(AND(C12&gt;='00_Inputs'!$G$33,C12&lt;='00_Inputs'!$H$33),-'00_Inputs'!$K$33*(1+'00_Inputs'!$D$55)^C12,0)</f>
        <v/>
      </c>
      <c r="G12" s="452">
        <f>IF(AND(C12&gt;='00_Inputs'!$G$34,C12&lt;='00_Inputs'!$H$34),-'00_Inputs'!$K$34*(1+'00_Inputs'!$D$55)^C12,0)</f>
        <v/>
      </c>
      <c r="H12" s="452">
        <f>IF(C12='00_Inputs'!$G$35,-'00_Inputs'!$J$35,0)</f>
        <v/>
      </c>
      <c r="I12" s="452">
        <f>IF(C12='00_Inputs'!$G$36,-'00_Inputs'!$J$36,0)</f>
        <v/>
      </c>
      <c r="J12" s="453">
        <f>SUM(D12:I12)</f>
        <v/>
      </c>
      <c r="K12" s="453">
        <f>K11+J12</f>
        <v/>
      </c>
      <c r="L12" s="114">
        <f>IF(C12=0,"Capital inicial",IF(AND(F12&lt;0,G12&lt;0),"Educación de ambos hijos",IF(F12&lt;0,"Educación Vicente",IF(G12&lt;0,"Educación Emilia",IF(H12&lt;0,"Compra Villarrica",IF(I12&lt;0,"Pago herencia",IF(E12&gt;0,"Aporte anual","")))))))</f>
        <v/>
      </c>
      <c r="N12" s="46" t="inlineStr">
        <is>
          <t>Educación</t>
        </is>
      </c>
      <c r="O12" s="453">
        <f>-SUM(F10:G60)</f>
        <v/>
      </c>
      <c r="P12" s="452">
        <f>'00_Inputs'!D39</f>
        <v/>
      </c>
      <c r="Q12" s="454">
        <f>O12-P12</f>
        <v/>
      </c>
    </row>
    <row r="13">
      <c r="C13" s="451" t="n">
        <v>3</v>
      </c>
      <c r="D13" s="452">
        <f>IF(C13=0,'00_Inputs'!$D$24,0)</f>
        <v/>
      </c>
      <c r="E13" s="452">
        <f>IF(AND(C13&gt;='00_Inputs'!$D$27,C13&lt;'00_Inputs'!$D$27+'00_Inputs'!$D$26),'00_Inputs'!$D$25,0)</f>
        <v/>
      </c>
      <c r="F13" s="452">
        <f>IF(AND(C13&gt;='00_Inputs'!$G$33,C13&lt;='00_Inputs'!$H$33),-'00_Inputs'!$K$33*(1+'00_Inputs'!$D$55)^C13,0)</f>
        <v/>
      </c>
      <c r="G13" s="452">
        <f>IF(AND(C13&gt;='00_Inputs'!$G$34,C13&lt;='00_Inputs'!$H$34),-'00_Inputs'!$K$34*(1+'00_Inputs'!$D$55)^C13,0)</f>
        <v/>
      </c>
      <c r="H13" s="452">
        <f>IF(C13='00_Inputs'!$G$35,-'00_Inputs'!$J$35,0)</f>
        <v/>
      </c>
      <c r="I13" s="452">
        <f>IF(C13='00_Inputs'!$G$36,-'00_Inputs'!$J$36,0)</f>
        <v/>
      </c>
      <c r="J13" s="453">
        <f>SUM(D13:I13)</f>
        <v/>
      </c>
      <c r="K13" s="453">
        <f>K12+J13</f>
        <v/>
      </c>
      <c r="L13" s="114">
        <f>IF(C13=0,"Capital inicial",IF(AND(F13&lt;0,G13&lt;0),"Educación de ambos hijos",IF(F13&lt;0,"Educación Vicente",IF(G13&lt;0,"Educación Emilia",IF(H13&lt;0,"Compra Villarrica",IF(I13&lt;0,"Pago herencia",IF(E13&gt;0,"Aporte anual","")))))))</f>
        <v/>
      </c>
      <c r="N13" s="46" t="inlineStr">
        <is>
          <t>Propiedad</t>
        </is>
      </c>
      <c r="O13" s="453">
        <f>-SUM(H10:H60)</f>
        <v/>
      </c>
      <c r="P13" s="452">
        <f>'00_Inputs'!J35</f>
        <v/>
      </c>
      <c r="Q13" s="454">
        <f>O13-P13</f>
        <v/>
      </c>
    </row>
    <row r="14">
      <c r="C14" s="451" t="n">
        <v>4</v>
      </c>
      <c r="D14" s="452">
        <f>IF(C14=0,'00_Inputs'!$D$24,0)</f>
        <v/>
      </c>
      <c r="E14" s="452">
        <f>IF(AND(C14&gt;='00_Inputs'!$D$27,C14&lt;'00_Inputs'!$D$27+'00_Inputs'!$D$26),'00_Inputs'!$D$25,0)</f>
        <v/>
      </c>
      <c r="F14" s="452">
        <f>IF(AND(C14&gt;='00_Inputs'!$G$33,C14&lt;='00_Inputs'!$H$33),-'00_Inputs'!$K$33*(1+'00_Inputs'!$D$55)^C14,0)</f>
        <v/>
      </c>
      <c r="G14" s="452">
        <f>IF(AND(C14&gt;='00_Inputs'!$G$34,C14&lt;='00_Inputs'!$H$34),-'00_Inputs'!$K$34*(1+'00_Inputs'!$D$55)^C14,0)</f>
        <v/>
      </c>
      <c r="H14" s="452">
        <f>IF(C14='00_Inputs'!$G$35,-'00_Inputs'!$J$35,0)</f>
        <v/>
      </c>
      <c r="I14" s="452">
        <f>IF(C14='00_Inputs'!$G$36,-'00_Inputs'!$J$36,0)</f>
        <v/>
      </c>
      <c r="J14" s="453">
        <f>SUM(D14:I14)</f>
        <v/>
      </c>
      <c r="K14" s="453">
        <f>K13+J14</f>
        <v/>
      </c>
      <c r="L14" s="114">
        <f>IF(C14=0,"Capital inicial",IF(AND(F14&lt;0,G14&lt;0),"Educación de ambos hijos",IF(F14&lt;0,"Educación Vicente",IF(G14&lt;0,"Educación Emilia",IF(H14&lt;0,"Compra Villarrica",IF(I14&lt;0,"Pago herencia",IF(E14&gt;0,"Aporte anual","")))))))</f>
        <v/>
      </c>
      <c r="N14" s="46" t="inlineStr">
        <is>
          <t>Herencia</t>
        </is>
      </c>
      <c r="O14" s="453">
        <f>-SUM(I10:I60)</f>
        <v/>
      </c>
      <c r="P14" s="452">
        <f>'00_Inputs'!J36</f>
        <v/>
      </c>
      <c r="Q14" s="454">
        <f>O14-P14</f>
        <v/>
      </c>
    </row>
    <row r="15">
      <c r="C15" s="451" t="n">
        <v>5</v>
      </c>
      <c r="D15" s="452">
        <f>IF(C15=0,'00_Inputs'!$D$24,0)</f>
        <v/>
      </c>
      <c r="E15" s="452">
        <f>IF(AND(C15&gt;='00_Inputs'!$D$27,C15&lt;'00_Inputs'!$D$27+'00_Inputs'!$D$26),'00_Inputs'!$D$25,0)</f>
        <v/>
      </c>
      <c r="F15" s="452">
        <f>IF(AND(C15&gt;='00_Inputs'!$G$33,C15&lt;='00_Inputs'!$H$33),-'00_Inputs'!$K$33*(1+'00_Inputs'!$D$55)^C15,0)</f>
        <v/>
      </c>
      <c r="G15" s="452">
        <f>IF(AND(C15&gt;='00_Inputs'!$G$34,C15&lt;='00_Inputs'!$H$34),-'00_Inputs'!$K$34*(1+'00_Inputs'!$D$55)^C15,0)</f>
        <v/>
      </c>
      <c r="H15" s="452">
        <f>IF(C15='00_Inputs'!$G$35,-'00_Inputs'!$J$35,0)</f>
        <v/>
      </c>
      <c r="I15" s="452">
        <f>IF(C15='00_Inputs'!$G$36,-'00_Inputs'!$J$36,0)</f>
        <v/>
      </c>
      <c r="J15" s="453">
        <f>SUM(D15:I15)</f>
        <v/>
      </c>
      <c r="K15" s="453">
        <f>K14+J15</f>
        <v/>
      </c>
      <c r="L15" s="114">
        <f>IF(C15=0,"Capital inicial",IF(AND(F15&lt;0,G15&lt;0),"Educación de ambos hijos",IF(F15&lt;0,"Educación Vicente",IF(G15&lt;0,"Educación Emilia",IF(H15&lt;0,"Compra Villarrica",IF(I15&lt;0,"Pago herencia",IF(E15&gt;0,"Aporte anual","")))))))</f>
        <v/>
      </c>
      <c r="N15" s="46" t="inlineStr">
        <is>
          <t>Flujo neto</t>
        </is>
      </c>
      <c r="O15" s="453">
        <f>SUM(J10:J60)</f>
        <v/>
      </c>
      <c r="P15" s="452">
        <f>SUM(D10:I60)</f>
        <v/>
      </c>
      <c r="Q15" s="454">
        <f>O15-P15</f>
        <v/>
      </c>
    </row>
    <row r="16">
      <c r="C16" s="451" t="n">
        <v>6</v>
      </c>
      <c r="D16" s="452">
        <f>IF(C16=0,'00_Inputs'!$D$24,0)</f>
        <v/>
      </c>
      <c r="E16" s="452">
        <f>IF(AND(C16&gt;='00_Inputs'!$D$27,C16&lt;'00_Inputs'!$D$27+'00_Inputs'!$D$26),'00_Inputs'!$D$25,0)</f>
        <v/>
      </c>
      <c r="F16" s="452">
        <f>IF(AND(C16&gt;='00_Inputs'!$G$33,C16&lt;='00_Inputs'!$H$33),-'00_Inputs'!$K$33*(1+'00_Inputs'!$D$55)^C16,0)</f>
        <v/>
      </c>
      <c r="G16" s="452">
        <f>IF(AND(C16&gt;='00_Inputs'!$G$34,C16&lt;='00_Inputs'!$H$34),-'00_Inputs'!$K$34*(1+'00_Inputs'!$D$55)^C16,0)</f>
        <v/>
      </c>
      <c r="H16" s="452">
        <f>IF(C16='00_Inputs'!$G$35,-'00_Inputs'!$J$35,0)</f>
        <v/>
      </c>
      <c r="I16" s="452">
        <f>IF(C16='00_Inputs'!$G$36,-'00_Inputs'!$J$36,0)</f>
        <v/>
      </c>
      <c r="J16" s="453">
        <f>SUM(D16:I16)</f>
        <v/>
      </c>
      <c r="K16" s="453">
        <f>K15+J16</f>
        <v/>
      </c>
      <c r="L16" s="114">
        <f>IF(C16=0,"Capital inicial",IF(AND(F16&lt;0,G16&lt;0),"Educación de ambos hijos",IF(F16&lt;0,"Educación Vicente",IF(G16&lt;0,"Educación Emilia",IF(H16&lt;0,"Compra Villarrica",IF(I16&lt;0,"Pago herencia",IF(E16&gt;0,"Aporte anual","")))))))</f>
        <v/>
      </c>
    </row>
    <row r="17">
      <c r="C17" s="451" t="n">
        <v>7</v>
      </c>
      <c r="D17" s="452">
        <f>IF(C17=0,'00_Inputs'!$D$24,0)</f>
        <v/>
      </c>
      <c r="E17" s="452">
        <f>IF(AND(C17&gt;='00_Inputs'!$D$27,C17&lt;'00_Inputs'!$D$27+'00_Inputs'!$D$26),'00_Inputs'!$D$25,0)</f>
        <v/>
      </c>
      <c r="F17" s="452">
        <f>IF(AND(C17&gt;='00_Inputs'!$G$33,C17&lt;='00_Inputs'!$H$33),-'00_Inputs'!$K$33*(1+'00_Inputs'!$D$55)^C17,0)</f>
        <v/>
      </c>
      <c r="G17" s="452">
        <f>IF(AND(C17&gt;='00_Inputs'!$G$34,C17&lt;='00_Inputs'!$H$34),-'00_Inputs'!$K$34*(1+'00_Inputs'!$D$55)^C17,0)</f>
        <v/>
      </c>
      <c r="H17" s="452">
        <f>IF(C17='00_Inputs'!$G$35,-'00_Inputs'!$J$35,0)</f>
        <v/>
      </c>
      <c r="I17" s="452">
        <f>IF(C17='00_Inputs'!$G$36,-'00_Inputs'!$J$36,0)</f>
        <v/>
      </c>
      <c r="J17" s="453">
        <f>SUM(D17:I17)</f>
        <v/>
      </c>
      <c r="K17" s="453">
        <f>K16+J17</f>
        <v/>
      </c>
      <c r="L17" s="114">
        <f>IF(C17=0,"Capital inicial",IF(AND(F17&lt;0,G17&lt;0),"Educación de ambos hijos",IF(F17&lt;0,"Educación Vicente",IF(G17&lt;0,"Educación Emilia",IF(H17&lt;0,"Compra Villarrica",IF(I17&lt;0,"Pago herencia",IF(E17&gt;0,"Aporte anual","")))))))</f>
        <v/>
      </c>
    </row>
    <row r="18">
      <c r="C18" s="451" t="n">
        <v>8</v>
      </c>
      <c r="D18" s="452">
        <f>IF(C18=0,'00_Inputs'!$D$24,0)</f>
        <v/>
      </c>
      <c r="E18" s="452">
        <f>IF(AND(C18&gt;='00_Inputs'!$D$27,C18&lt;'00_Inputs'!$D$27+'00_Inputs'!$D$26),'00_Inputs'!$D$25,0)</f>
        <v/>
      </c>
      <c r="F18" s="452">
        <f>IF(AND(C18&gt;='00_Inputs'!$G$33,C18&lt;='00_Inputs'!$H$33),-'00_Inputs'!$K$33*(1+'00_Inputs'!$D$55)^C18,0)</f>
        <v/>
      </c>
      <c r="G18" s="452">
        <f>IF(AND(C18&gt;='00_Inputs'!$G$34,C18&lt;='00_Inputs'!$H$34),-'00_Inputs'!$K$34*(1+'00_Inputs'!$D$55)^C18,0)</f>
        <v/>
      </c>
      <c r="H18" s="452">
        <f>IF(C18='00_Inputs'!$G$35,-'00_Inputs'!$J$35,0)</f>
        <v/>
      </c>
      <c r="I18" s="452">
        <f>IF(C18='00_Inputs'!$G$36,-'00_Inputs'!$J$36,0)</f>
        <v/>
      </c>
      <c r="J18" s="453">
        <f>SUM(D18:I18)</f>
        <v/>
      </c>
      <c r="K18" s="453">
        <f>K17+J18</f>
        <v/>
      </c>
      <c r="L18" s="114">
        <f>IF(C18=0,"Capital inicial",IF(AND(F18&lt;0,G18&lt;0),"Educación de ambos hijos",IF(F18&lt;0,"Educación Vicente",IF(G18&lt;0,"Educación Emilia",IF(H18&lt;0,"Compra Villarrica",IF(I18&lt;0,"Pago herencia",IF(E18&gt;0,"Aporte anual","")))))))</f>
        <v/>
      </c>
      <c r="N18" s="450" t="inlineStr">
        <is>
          <t>SUPUESTOS DE TEMPORIZACIÓN</t>
        </is>
      </c>
      <c r="O18" s="425" t="n"/>
      <c r="P18" s="425" t="n"/>
      <c r="Q18" s="425" t="n"/>
    </row>
    <row r="19">
      <c r="C19" s="451" t="n">
        <v>9</v>
      </c>
      <c r="D19" s="452">
        <f>IF(C19=0,'00_Inputs'!$D$24,0)</f>
        <v/>
      </c>
      <c r="E19" s="452">
        <f>IF(AND(C19&gt;='00_Inputs'!$D$27,C19&lt;'00_Inputs'!$D$27+'00_Inputs'!$D$26),'00_Inputs'!$D$25,0)</f>
        <v/>
      </c>
      <c r="F19" s="452">
        <f>IF(AND(C19&gt;='00_Inputs'!$G$33,C19&lt;='00_Inputs'!$H$33),-'00_Inputs'!$K$33*(1+'00_Inputs'!$D$55)^C19,0)</f>
        <v/>
      </c>
      <c r="G19" s="452">
        <f>IF(AND(C19&gt;='00_Inputs'!$G$34,C19&lt;='00_Inputs'!$H$34),-'00_Inputs'!$K$34*(1+'00_Inputs'!$D$55)^C19,0)</f>
        <v/>
      </c>
      <c r="H19" s="452">
        <f>IF(C19='00_Inputs'!$G$35,-'00_Inputs'!$J$35,0)</f>
        <v/>
      </c>
      <c r="I19" s="452">
        <f>IF(C19='00_Inputs'!$G$36,-'00_Inputs'!$J$36,0)</f>
        <v/>
      </c>
      <c r="J19" s="453">
        <f>SUM(D19:I19)</f>
        <v/>
      </c>
      <c r="K19" s="453">
        <f>K18+J19</f>
        <v/>
      </c>
      <c r="L19" s="114">
        <f>IF(C19=0,"Capital inicial",IF(AND(F19&lt;0,G19&lt;0),"Educación de ambos hijos",IF(F19&lt;0,"Educación Vicente",IF(G19&lt;0,"Educación Emilia",IF(H19&lt;0,"Compra Villarrica",IF(I19&lt;0,"Pago herencia",IF(E19&gt;0,"Aporte anual","")))))))</f>
        <v/>
      </c>
      <c r="N19" s="123" t="inlineStr">
        <is>
          <t>Frecuencia</t>
        </is>
      </c>
      <c r="O19" s="123" t="inlineStr">
        <is>
          <t>Anual</t>
        </is>
      </c>
      <c r="P19" s="123" t="n"/>
      <c r="Q19" s="123" t="inlineStr">
        <is>
          <t>Misma convención que el Banco de Información</t>
        </is>
      </c>
    </row>
    <row r="20">
      <c r="C20" s="451" t="n">
        <v>10</v>
      </c>
      <c r="D20" s="452">
        <f>IF(C20=0,'00_Inputs'!$D$24,0)</f>
        <v/>
      </c>
      <c r="E20" s="452">
        <f>IF(AND(C20&gt;='00_Inputs'!$D$27,C20&lt;'00_Inputs'!$D$27+'00_Inputs'!$D$26),'00_Inputs'!$D$25,0)</f>
        <v/>
      </c>
      <c r="F20" s="452">
        <f>IF(AND(C20&gt;='00_Inputs'!$G$33,C20&lt;='00_Inputs'!$H$33),-'00_Inputs'!$K$33*(1+'00_Inputs'!$D$55)^C20,0)</f>
        <v/>
      </c>
      <c r="G20" s="452">
        <f>IF(AND(C20&gt;='00_Inputs'!$G$34,C20&lt;='00_Inputs'!$H$34),-'00_Inputs'!$K$34*(1+'00_Inputs'!$D$55)^C20,0)</f>
        <v/>
      </c>
      <c r="H20" s="452">
        <f>IF(C20='00_Inputs'!$G$35,-'00_Inputs'!$J$35,0)</f>
        <v/>
      </c>
      <c r="I20" s="452">
        <f>IF(C20='00_Inputs'!$G$36,-'00_Inputs'!$J$36,0)</f>
        <v/>
      </c>
      <c r="J20" s="453">
        <f>SUM(D20:I20)</f>
        <v/>
      </c>
      <c r="K20" s="453">
        <f>K19+J20</f>
        <v/>
      </c>
      <c r="L20" s="114">
        <f>IF(C20=0,"Capital inicial",IF(AND(F20&lt;0,G20&lt;0),"Educación de ambos hijos",IF(F20&lt;0,"Educación Vicente",IF(G20&lt;0,"Educación Emilia",IF(H20&lt;0,"Compra Villarrica",IF(I20&lt;0,"Pago herencia",IF(E20&gt;0,"Aporte anual","")))))))</f>
        <v/>
      </c>
      <c r="N20" s="123" t="inlineStr">
        <is>
          <t>Momento del flujo</t>
        </is>
      </c>
      <c r="O20" s="123" t="inlineStr">
        <is>
          <t>Fin de año</t>
        </is>
      </c>
      <c r="P20" s="123" t="n"/>
      <c r="Q20" s="123" t="inlineStr">
        <is>
          <t>Se usará IRR sobre años 0 a 50</t>
        </is>
      </c>
    </row>
    <row r="21">
      <c r="C21" s="451" t="n">
        <v>11</v>
      </c>
      <c r="D21" s="452">
        <f>IF(C21=0,'00_Inputs'!$D$24,0)</f>
        <v/>
      </c>
      <c r="E21" s="452">
        <f>IF(AND(C21&gt;='00_Inputs'!$D$27,C21&lt;'00_Inputs'!$D$27+'00_Inputs'!$D$26),'00_Inputs'!$D$25,0)</f>
        <v/>
      </c>
      <c r="F21" s="452">
        <f>IF(AND(C21&gt;='00_Inputs'!$G$33,C21&lt;='00_Inputs'!$H$33),-'00_Inputs'!$K$33*(1+'00_Inputs'!$D$55)^C21,0)</f>
        <v/>
      </c>
      <c r="G21" s="452">
        <f>IF(AND(C21&gt;='00_Inputs'!$G$34,C21&lt;='00_Inputs'!$H$34),-'00_Inputs'!$K$34*(1+'00_Inputs'!$D$55)^C21,0)</f>
        <v/>
      </c>
      <c r="H21" s="452">
        <f>IF(C21='00_Inputs'!$G$35,-'00_Inputs'!$J$35,0)</f>
        <v/>
      </c>
      <c r="I21" s="452">
        <f>IF(C21='00_Inputs'!$G$36,-'00_Inputs'!$J$36,0)</f>
        <v/>
      </c>
      <c r="J21" s="453">
        <f>SUM(D21:I21)</f>
        <v/>
      </c>
      <c r="K21" s="453">
        <f>K20+J21</f>
        <v/>
      </c>
      <c r="L21" s="114">
        <f>IF(C21=0,"Capital inicial",IF(AND(F21&lt;0,G21&lt;0),"Educación de ambos hijos",IF(F21&lt;0,"Educación Vicente",IF(G21&lt;0,"Educación Emilia",IF(H21&lt;0,"Compra Villarrica",IF(I21&lt;0,"Pago herencia",IF(E21&gt;0,"Aporte anual","")))))))</f>
        <v/>
      </c>
      <c r="N21" s="123" t="inlineStr">
        <is>
          <t>Aportes</t>
        </is>
      </c>
      <c r="O21" s="123" t="inlineStr">
        <is>
          <t>Años 1 a 19</t>
        </is>
      </c>
      <c r="P21" s="123" t="n"/>
      <c r="Q21" s="123" t="inlineStr">
        <is>
          <t>USD 10.000 por año</t>
        </is>
      </c>
    </row>
    <row r="22">
      <c r="C22" s="451" t="n">
        <v>12</v>
      </c>
      <c r="D22" s="452">
        <f>IF(C22=0,'00_Inputs'!$D$24,0)</f>
        <v/>
      </c>
      <c r="E22" s="452">
        <f>IF(AND(C22&gt;='00_Inputs'!$D$27,C22&lt;'00_Inputs'!$D$27+'00_Inputs'!$D$26),'00_Inputs'!$D$25,0)</f>
        <v/>
      </c>
      <c r="F22" s="452">
        <f>IF(AND(C22&gt;='00_Inputs'!$G$33,C22&lt;='00_Inputs'!$H$33),-'00_Inputs'!$K$33*(1+'00_Inputs'!$D$55)^C22,0)</f>
        <v/>
      </c>
      <c r="G22" s="452">
        <f>IF(AND(C22&gt;='00_Inputs'!$G$34,C22&lt;='00_Inputs'!$H$34),-'00_Inputs'!$K$34*(1+'00_Inputs'!$D$55)^C22,0)</f>
        <v/>
      </c>
      <c r="H22" s="452">
        <f>IF(C22='00_Inputs'!$G$35,-'00_Inputs'!$J$35,0)</f>
        <v/>
      </c>
      <c r="I22" s="452">
        <f>IF(C22='00_Inputs'!$G$36,-'00_Inputs'!$J$36,0)</f>
        <v/>
      </c>
      <c r="J22" s="453">
        <f>SUM(D22:I22)</f>
        <v/>
      </c>
      <c r="K22" s="453">
        <f>K21+J22</f>
        <v/>
      </c>
      <c r="L22" s="114">
        <f>IF(C22=0,"Capital inicial",IF(AND(F22&lt;0,G22&lt;0),"Educación de ambos hijos",IF(F22&lt;0,"Educación Vicente",IF(G22&lt;0,"Educación Emilia",IF(H22&lt;0,"Compra Villarrica",IF(I22&lt;0,"Pago herencia",IF(E22&gt;0,"Aporte anual","")))))))</f>
        <v/>
      </c>
      <c r="N22" s="123" t="inlineStr">
        <is>
          <t>Educación</t>
        </is>
      </c>
      <c r="O22" s="123" t="inlineStr">
        <is>
          <t>5 pagos por hijo</t>
        </is>
      </c>
      <c r="P22" s="123" t="n"/>
      <c r="Q22" s="123" t="inlineStr">
        <is>
          <t>Vicente 14-18; Emilia 16-20</t>
        </is>
      </c>
    </row>
    <row r="23">
      <c r="C23" s="451" t="n">
        <v>13</v>
      </c>
      <c r="D23" s="452">
        <f>IF(C23=0,'00_Inputs'!$D$24,0)</f>
        <v/>
      </c>
      <c r="E23" s="452">
        <f>IF(AND(C23&gt;='00_Inputs'!$D$27,C23&lt;'00_Inputs'!$D$27+'00_Inputs'!$D$26),'00_Inputs'!$D$25,0)</f>
        <v/>
      </c>
      <c r="F23" s="452">
        <f>IF(AND(C23&gt;='00_Inputs'!$G$33,C23&lt;='00_Inputs'!$H$33),-'00_Inputs'!$K$33*(1+'00_Inputs'!$D$55)^C23,0)</f>
        <v/>
      </c>
      <c r="G23" s="452">
        <f>IF(AND(C23&gt;='00_Inputs'!$G$34,C23&lt;='00_Inputs'!$H$34),-'00_Inputs'!$K$34*(1+'00_Inputs'!$D$55)^C23,0)</f>
        <v/>
      </c>
      <c r="H23" s="452">
        <f>IF(C23='00_Inputs'!$G$35,-'00_Inputs'!$J$35,0)</f>
        <v/>
      </c>
      <c r="I23" s="452">
        <f>IF(C23='00_Inputs'!$G$36,-'00_Inputs'!$J$36,0)</f>
        <v/>
      </c>
      <c r="J23" s="453">
        <f>SUM(D23:I23)</f>
        <v/>
      </c>
      <c r="K23" s="453">
        <f>K22+J23</f>
        <v/>
      </c>
      <c r="L23" s="114">
        <f>IF(C23=0,"Capital inicial",IF(AND(F23&lt;0,G23&lt;0),"Educación de ambos hijos",IF(F23&lt;0,"Educación Vicente",IF(G23&lt;0,"Educación Emilia",IF(H23&lt;0,"Compra Villarrica",IF(I23&lt;0,"Pago herencia",IF(E23&gt;0,"Aporte anual","")))))))</f>
        <v/>
      </c>
    </row>
    <row r="24">
      <c r="C24" s="451" t="n">
        <v>14</v>
      </c>
      <c r="D24" s="452">
        <f>IF(C24=0,'00_Inputs'!$D$24,0)</f>
        <v/>
      </c>
      <c r="E24" s="452">
        <f>IF(AND(C24&gt;='00_Inputs'!$D$27,C24&lt;'00_Inputs'!$D$27+'00_Inputs'!$D$26),'00_Inputs'!$D$25,0)</f>
        <v/>
      </c>
      <c r="F24" s="452">
        <f>IF(AND(C24&gt;='00_Inputs'!$G$33,C24&lt;='00_Inputs'!$H$33),-'00_Inputs'!$K$33*(1+'00_Inputs'!$D$55)^C24,0)</f>
        <v/>
      </c>
      <c r="G24" s="452">
        <f>IF(AND(C24&gt;='00_Inputs'!$G$34,C24&lt;='00_Inputs'!$H$34),-'00_Inputs'!$K$34*(1+'00_Inputs'!$D$55)^C24,0)</f>
        <v/>
      </c>
      <c r="H24" s="452">
        <f>IF(C24='00_Inputs'!$G$35,-'00_Inputs'!$J$35,0)</f>
        <v/>
      </c>
      <c r="I24" s="452">
        <f>IF(C24='00_Inputs'!$G$36,-'00_Inputs'!$J$36,0)</f>
        <v/>
      </c>
      <c r="J24" s="453">
        <f>SUM(D24:I24)</f>
        <v/>
      </c>
      <c r="K24" s="453">
        <f>K23+J24</f>
        <v/>
      </c>
      <c r="L24" s="114">
        <f>IF(C24=0,"Capital inicial",IF(AND(F24&lt;0,G24&lt;0),"Educación de ambos hijos",IF(F24&lt;0,"Educación Vicente",IF(G24&lt;0,"Educación Emilia",IF(H24&lt;0,"Compra Villarrica",IF(I24&lt;0,"Pago herencia",IF(E24&gt;0,"Aporte anual","")))))))</f>
        <v/>
      </c>
    </row>
    <row r="25">
      <c r="C25" s="451" t="n">
        <v>15</v>
      </c>
      <c r="D25" s="452">
        <f>IF(C25=0,'00_Inputs'!$D$24,0)</f>
        <v/>
      </c>
      <c r="E25" s="452">
        <f>IF(AND(C25&gt;='00_Inputs'!$D$27,C25&lt;'00_Inputs'!$D$27+'00_Inputs'!$D$26),'00_Inputs'!$D$25,0)</f>
        <v/>
      </c>
      <c r="F25" s="452">
        <f>IF(AND(C25&gt;='00_Inputs'!$G$33,C25&lt;='00_Inputs'!$H$33),-'00_Inputs'!$K$33*(1+'00_Inputs'!$D$55)^C25,0)</f>
        <v/>
      </c>
      <c r="G25" s="452">
        <f>IF(AND(C25&gt;='00_Inputs'!$G$34,C25&lt;='00_Inputs'!$H$34),-'00_Inputs'!$K$34*(1+'00_Inputs'!$D$55)^C25,0)</f>
        <v/>
      </c>
      <c r="H25" s="452">
        <f>IF(C25='00_Inputs'!$G$35,-'00_Inputs'!$J$35,0)</f>
        <v/>
      </c>
      <c r="I25" s="452">
        <f>IF(C25='00_Inputs'!$G$36,-'00_Inputs'!$J$36,0)</f>
        <v/>
      </c>
      <c r="J25" s="453">
        <f>SUM(D25:I25)</f>
        <v/>
      </c>
      <c r="K25" s="453">
        <f>K24+J25</f>
        <v/>
      </c>
      <c r="L25" s="114">
        <f>IF(C25=0,"Capital inicial",IF(AND(F25&lt;0,G25&lt;0),"Educación de ambos hijos",IF(F25&lt;0,"Educación Vicente",IF(G25&lt;0,"Educación Emilia",IF(H25&lt;0,"Compra Villarrica",IF(I25&lt;0,"Pago herencia",IF(E25&gt;0,"Aporte anual","")))))))</f>
        <v/>
      </c>
    </row>
    <row r="26">
      <c r="C26" s="451" t="n">
        <v>16</v>
      </c>
      <c r="D26" s="452">
        <f>IF(C26=0,'00_Inputs'!$D$24,0)</f>
        <v/>
      </c>
      <c r="E26" s="452">
        <f>IF(AND(C26&gt;='00_Inputs'!$D$27,C26&lt;'00_Inputs'!$D$27+'00_Inputs'!$D$26),'00_Inputs'!$D$25,0)</f>
        <v/>
      </c>
      <c r="F26" s="452">
        <f>IF(AND(C26&gt;='00_Inputs'!$G$33,C26&lt;='00_Inputs'!$H$33),-'00_Inputs'!$K$33*(1+'00_Inputs'!$D$55)^C26,0)</f>
        <v/>
      </c>
      <c r="G26" s="452">
        <f>IF(AND(C26&gt;='00_Inputs'!$G$34,C26&lt;='00_Inputs'!$H$34),-'00_Inputs'!$K$34*(1+'00_Inputs'!$D$55)^C26,0)</f>
        <v/>
      </c>
      <c r="H26" s="452">
        <f>IF(C26='00_Inputs'!$G$35,-'00_Inputs'!$J$35,0)</f>
        <v/>
      </c>
      <c r="I26" s="452">
        <f>IF(C26='00_Inputs'!$G$36,-'00_Inputs'!$J$36,0)</f>
        <v/>
      </c>
      <c r="J26" s="453">
        <f>SUM(D26:I26)</f>
        <v/>
      </c>
      <c r="K26" s="453">
        <f>K25+J26</f>
        <v/>
      </c>
      <c r="L26" s="114">
        <f>IF(C26=0,"Capital inicial",IF(AND(F26&lt;0,G26&lt;0),"Educación de ambos hijos",IF(F26&lt;0,"Educación Vicente",IF(G26&lt;0,"Educación Emilia",IF(H26&lt;0,"Compra Villarrica",IF(I26&lt;0,"Pago herencia",IF(E26&gt;0,"Aporte anual","")))))))</f>
        <v/>
      </c>
    </row>
    <row r="27">
      <c r="C27" s="451" t="n">
        <v>17</v>
      </c>
      <c r="D27" s="452">
        <f>IF(C27=0,'00_Inputs'!$D$24,0)</f>
        <v/>
      </c>
      <c r="E27" s="452">
        <f>IF(AND(C27&gt;='00_Inputs'!$D$27,C27&lt;'00_Inputs'!$D$27+'00_Inputs'!$D$26),'00_Inputs'!$D$25,0)</f>
        <v/>
      </c>
      <c r="F27" s="452">
        <f>IF(AND(C27&gt;='00_Inputs'!$G$33,C27&lt;='00_Inputs'!$H$33),-'00_Inputs'!$K$33*(1+'00_Inputs'!$D$55)^C27,0)</f>
        <v/>
      </c>
      <c r="G27" s="452">
        <f>IF(AND(C27&gt;='00_Inputs'!$G$34,C27&lt;='00_Inputs'!$H$34),-'00_Inputs'!$K$34*(1+'00_Inputs'!$D$55)^C27,0)</f>
        <v/>
      </c>
      <c r="H27" s="452">
        <f>IF(C27='00_Inputs'!$G$35,-'00_Inputs'!$J$35,0)</f>
        <v/>
      </c>
      <c r="I27" s="452">
        <f>IF(C27='00_Inputs'!$G$36,-'00_Inputs'!$J$36,0)</f>
        <v/>
      </c>
      <c r="J27" s="453">
        <f>SUM(D27:I27)</f>
        <v/>
      </c>
      <c r="K27" s="453">
        <f>K26+J27</f>
        <v/>
      </c>
      <c r="L27" s="114">
        <f>IF(C27=0,"Capital inicial",IF(AND(F27&lt;0,G27&lt;0),"Educación de ambos hijos",IF(F27&lt;0,"Educación Vicente",IF(G27&lt;0,"Educación Emilia",IF(H27&lt;0,"Compra Villarrica",IF(I27&lt;0,"Pago herencia",IF(E27&gt;0,"Aporte anual","")))))))</f>
        <v/>
      </c>
    </row>
    <row r="28">
      <c r="C28" s="451" t="n">
        <v>18</v>
      </c>
      <c r="D28" s="452">
        <f>IF(C28=0,'00_Inputs'!$D$24,0)</f>
        <v/>
      </c>
      <c r="E28" s="452">
        <f>IF(AND(C28&gt;='00_Inputs'!$D$27,C28&lt;'00_Inputs'!$D$27+'00_Inputs'!$D$26),'00_Inputs'!$D$25,0)</f>
        <v/>
      </c>
      <c r="F28" s="452">
        <f>IF(AND(C28&gt;='00_Inputs'!$G$33,C28&lt;='00_Inputs'!$H$33),-'00_Inputs'!$K$33*(1+'00_Inputs'!$D$55)^C28,0)</f>
        <v/>
      </c>
      <c r="G28" s="452">
        <f>IF(AND(C28&gt;='00_Inputs'!$G$34,C28&lt;='00_Inputs'!$H$34),-'00_Inputs'!$K$34*(1+'00_Inputs'!$D$55)^C28,0)</f>
        <v/>
      </c>
      <c r="H28" s="452">
        <f>IF(C28='00_Inputs'!$G$35,-'00_Inputs'!$J$35,0)</f>
        <v/>
      </c>
      <c r="I28" s="452">
        <f>IF(C28='00_Inputs'!$G$36,-'00_Inputs'!$J$36,0)</f>
        <v/>
      </c>
      <c r="J28" s="453">
        <f>SUM(D28:I28)</f>
        <v/>
      </c>
      <c r="K28" s="453">
        <f>K27+J28</f>
        <v/>
      </c>
      <c r="L28" s="114">
        <f>IF(C28=0,"Capital inicial",IF(AND(F28&lt;0,G28&lt;0),"Educación de ambos hijos",IF(F28&lt;0,"Educación Vicente",IF(G28&lt;0,"Educación Emilia",IF(H28&lt;0,"Compra Villarrica",IF(I28&lt;0,"Pago herencia",IF(E28&gt;0,"Aporte anual","")))))))</f>
        <v/>
      </c>
    </row>
    <row r="29">
      <c r="C29" s="451" t="n">
        <v>19</v>
      </c>
      <c r="D29" s="452">
        <f>IF(C29=0,'00_Inputs'!$D$24,0)</f>
        <v/>
      </c>
      <c r="E29" s="452">
        <f>IF(AND(C29&gt;='00_Inputs'!$D$27,C29&lt;'00_Inputs'!$D$27+'00_Inputs'!$D$26),'00_Inputs'!$D$25,0)</f>
        <v/>
      </c>
      <c r="F29" s="452">
        <f>IF(AND(C29&gt;='00_Inputs'!$G$33,C29&lt;='00_Inputs'!$H$33),-'00_Inputs'!$K$33*(1+'00_Inputs'!$D$55)^C29,0)</f>
        <v/>
      </c>
      <c r="G29" s="452">
        <f>IF(AND(C29&gt;='00_Inputs'!$G$34,C29&lt;='00_Inputs'!$H$34),-'00_Inputs'!$K$34*(1+'00_Inputs'!$D$55)^C29,0)</f>
        <v/>
      </c>
      <c r="H29" s="452">
        <f>IF(C29='00_Inputs'!$G$35,-'00_Inputs'!$J$35,0)</f>
        <v/>
      </c>
      <c r="I29" s="452">
        <f>IF(C29='00_Inputs'!$G$36,-'00_Inputs'!$J$36,0)</f>
        <v/>
      </c>
      <c r="J29" s="453">
        <f>SUM(D29:I29)</f>
        <v/>
      </c>
      <c r="K29" s="453">
        <f>K28+J29</f>
        <v/>
      </c>
      <c r="L29" s="114">
        <f>IF(C29=0,"Capital inicial",IF(AND(F29&lt;0,G29&lt;0),"Educación de ambos hijos",IF(F29&lt;0,"Educación Vicente",IF(G29&lt;0,"Educación Emilia",IF(H29&lt;0,"Compra Villarrica",IF(I29&lt;0,"Pago herencia",IF(E29&gt;0,"Aporte anual","")))))))</f>
        <v/>
      </c>
    </row>
    <row r="30">
      <c r="C30" s="451" t="n">
        <v>20</v>
      </c>
      <c r="D30" s="452">
        <f>IF(C30=0,'00_Inputs'!$D$24,0)</f>
        <v/>
      </c>
      <c r="E30" s="452">
        <f>IF(AND(C30&gt;='00_Inputs'!$D$27,C30&lt;'00_Inputs'!$D$27+'00_Inputs'!$D$26),'00_Inputs'!$D$25,0)</f>
        <v/>
      </c>
      <c r="F30" s="452">
        <f>IF(AND(C30&gt;='00_Inputs'!$G$33,C30&lt;='00_Inputs'!$H$33),-'00_Inputs'!$K$33*(1+'00_Inputs'!$D$55)^C30,0)</f>
        <v/>
      </c>
      <c r="G30" s="452">
        <f>IF(AND(C30&gt;='00_Inputs'!$G$34,C30&lt;='00_Inputs'!$H$34),-'00_Inputs'!$K$34*(1+'00_Inputs'!$D$55)^C30,0)</f>
        <v/>
      </c>
      <c r="H30" s="452">
        <f>IF(C30='00_Inputs'!$G$35,-'00_Inputs'!$J$35,0)</f>
        <v/>
      </c>
      <c r="I30" s="452">
        <f>IF(C30='00_Inputs'!$G$36,-'00_Inputs'!$J$36,0)</f>
        <v/>
      </c>
      <c r="J30" s="453">
        <f>SUM(D30:I30)</f>
        <v/>
      </c>
      <c r="K30" s="453">
        <f>K29+J30</f>
        <v/>
      </c>
      <c r="L30" s="114">
        <f>IF(C30=0,"Capital inicial",IF(AND(F30&lt;0,G30&lt;0),"Educación de ambos hijos",IF(F30&lt;0,"Educación Vicente",IF(G30&lt;0,"Educación Emilia",IF(H30&lt;0,"Compra Villarrica",IF(I30&lt;0,"Pago herencia",IF(E30&gt;0,"Aporte anual","")))))))</f>
        <v/>
      </c>
    </row>
    <row r="31">
      <c r="C31" s="451" t="n">
        <v>21</v>
      </c>
      <c r="D31" s="452">
        <f>IF(C31=0,'00_Inputs'!$D$24,0)</f>
        <v/>
      </c>
      <c r="E31" s="452">
        <f>IF(AND(C31&gt;='00_Inputs'!$D$27,C31&lt;'00_Inputs'!$D$27+'00_Inputs'!$D$26),'00_Inputs'!$D$25,0)</f>
        <v/>
      </c>
      <c r="F31" s="452">
        <f>IF(AND(C31&gt;='00_Inputs'!$G$33,C31&lt;='00_Inputs'!$H$33),-'00_Inputs'!$K$33*(1+'00_Inputs'!$D$55)^C31,0)</f>
        <v/>
      </c>
      <c r="G31" s="452">
        <f>IF(AND(C31&gt;='00_Inputs'!$G$34,C31&lt;='00_Inputs'!$H$34),-'00_Inputs'!$K$34*(1+'00_Inputs'!$D$55)^C31,0)</f>
        <v/>
      </c>
      <c r="H31" s="452">
        <f>IF(C31='00_Inputs'!$G$35,-'00_Inputs'!$J$35,0)</f>
        <v/>
      </c>
      <c r="I31" s="452">
        <f>IF(C31='00_Inputs'!$G$36,-'00_Inputs'!$J$36,0)</f>
        <v/>
      </c>
      <c r="J31" s="453">
        <f>SUM(D31:I31)</f>
        <v/>
      </c>
      <c r="K31" s="453">
        <f>K30+J31</f>
        <v/>
      </c>
      <c r="L31" s="114">
        <f>IF(C31=0,"Capital inicial",IF(AND(F31&lt;0,G31&lt;0),"Educación de ambos hijos",IF(F31&lt;0,"Educación Vicente",IF(G31&lt;0,"Educación Emilia",IF(H31&lt;0,"Compra Villarrica",IF(I31&lt;0,"Pago herencia",IF(E31&gt;0,"Aporte anual","")))))))</f>
        <v/>
      </c>
    </row>
    <row r="32">
      <c r="C32" s="451" t="n">
        <v>22</v>
      </c>
      <c r="D32" s="452">
        <f>IF(C32=0,'00_Inputs'!$D$24,0)</f>
        <v/>
      </c>
      <c r="E32" s="452">
        <f>IF(AND(C32&gt;='00_Inputs'!$D$27,C32&lt;'00_Inputs'!$D$27+'00_Inputs'!$D$26),'00_Inputs'!$D$25,0)</f>
        <v/>
      </c>
      <c r="F32" s="452">
        <f>IF(AND(C32&gt;='00_Inputs'!$G$33,C32&lt;='00_Inputs'!$H$33),-'00_Inputs'!$K$33*(1+'00_Inputs'!$D$55)^C32,0)</f>
        <v/>
      </c>
      <c r="G32" s="452">
        <f>IF(AND(C32&gt;='00_Inputs'!$G$34,C32&lt;='00_Inputs'!$H$34),-'00_Inputs'!$K$34*(1+'00_Inputs'!$D$55)^C32,0)</f>
        <v/>
      </c>
      <c r="H32" s="452">
        <f>IF(C32='00_Inputs'!$G$35,-'00_Inputs'!$J$35,0)</f>
        <v/>
      </c>
      <c r="I32" s="452">
        <f>IF(C32='00_Inputs'!$G$36,-'00_Inputs'!$J$36,0)</f>
        <v/>
      </c>
      <c r="J32" s="453">
        <f>SUM(D32:I32)</f>
        <v/>
      </c>
      <c r="K32" s="453">
        <f>K31+J32</f>
        <v/>
      </c>
      <c r="L32" s="114">
        <f>IF(C32=0,"Capital inicial",IF(AND(F32&lt;0,G32&lt;0),"Educación de ambos hijos",IF(F32&lt;0,"Educación Vicente",IF(G32&lt;0,"Educación Emilia",IF(H32&lt;0,"Compra Villarrica",IF(I32&lt;0,"Pago herencia",IF(E32&gt;0,"Aporte anual","")))))))</f>
        <v/>
      </c>
    </row>
    <row r="33">
      <c r="C33" s="451" t="n">
        <v>23</v>
      </c>
      <c r="D33" s="452">
        <f>IF(C33=0,'00_Inputs'!$D$24,0)</f>
        <v/>
      </c>
      <c r="E33" s="452">
        <f>IF(AND(C33&gt;='00_Inputs'!$D$27,C33&lt;'00_Inputs'!$D$27+'00_Inputs'!$D$26),'00_Inputs'!$D$25,0)</f>
        <v/>
      </c>
      <c r="F33" s="452">
        <f>IF(AND(C33&gt;='00_Inputs'!$G$33,C33&lt;='00_Inputs'!$H$33),-'00_Inputs'!$K$33*(1+'00_Inputs'!$D$55)^C33,0)</f>
        <v/>
      </c>
      <c r="G33" s="452">
        <f>IF(AND(C33&gt;='00_Inputs'!$G$34,C33&lt;='00_Inputs'!$H$34),-'00_Inputs'!$K$34*(1+'00_Inputs'!$D$55)^C33,0)</f>
        <v/>
      </c>
      <c r="H33" s="452">
        <f>IF(C33='00_Inputs'!$G$35,-'00_Inputs'!$J$35,0)</f>
        <v/>
      </c>
      <c r="I33" s="452">
        <f>IF(C33='00_Inputs'!$G$36,-'00_Inputs'!$J$36,0)</f>
        <v/>
      </c>
      <c r="J33" s="453">
        <f>SUM(D33:I33)</f>
        <v/>
      </c>
      <c r="K33" s="453">
        <f>K32+J33</f>
        <v/>
      </c>
      <c r="L33" s="114">
        <f>IF(C33=0,"Capital inicial",IF(AND(F33&lt;0,G33&lt;0),"Educación de ambos hijos",IF(F33&lt;0,"Educación Vicente",IF(G33&lt;0,"Educación Emilia",IF(H33&lt;0,"Compra Villarrica",IF(I33&lt;0,"Pago herencia",IF(E33&gt;0,"Aporte anual","")))))))</f>
        <v/>
      </c>
    </row>
    <row r="34">
      <c r="C34" s="451" t="n">
        <v>24</v>
      </c>
      <c r="D34" s="452">
        <f>IF(C34=0,'00_Inputs'!$D$24,0)</f>
        <v/>
      </c>
      <c r="E34" s="452">
        <f>IF(AND(C34&gt;='00_Inputs'!$D$27,C34&lt;'00_Inputs'!$D$27+'00_Inputs'!$D$26),'00_Inputs'!$D$25,0)</f>
        <v/>
      </c>
      <c r="F34" s="452">
        <f>IF(AND(C34&gt;='00_Inputs'!$G$33,C34&lt;='00_Inputs'!$H$33),-'00_Inputs'!$K$33*(1+'00_Inputs'!$D$55)^C34,0)</f>
        <v/>
      </c>
      <c r="G34" s="452">
        <f>IF(AND(C34&gt;='00_Inputs'!$G$34,C34&lt;='00_Inputs'!$H$34),-'00_Inputs'!$K$34*(1+'00_Inputs'!$D$55)^C34,0)</f>
        <v/>
      </c>
      <c r="H34" s="452">
        <f>IF(C34='00_Inputs'!$G$35,-'00_Inputs'!$J$35,0)</f>
        <v/>
      </c>
      <c r="I34" s="452">
        <f>IF(C34='00_Inputs'!$G$36,-'00_Inputs'!$J$36,0)</f>
        <v/>
      </c>
      <c r="J34" s="453">
        <f>SUM(D34:I34)</f>
        <v/>
      </c>
      <c r="K34" s="453">
        <f>K33+J34</f>
        <v/>
      </c>
      <c r="L34" s="114">
        <f>IF(C34=0,"Capital inicial",IF(AND(F34&lt;0,G34&lt;0),"Educación de ambos hijos",IF(F34&lt;0,"Educación Vicente",IF(G34&lt;0,"Educación Emilia",IF(H34&lt;0,"Compra Villarrica",IF(I34&lt;0,"Pago herencia",IF(E34&gt;0,"Aporte anual","")))))))</f>
        <v/>
      </c>
    </row>
    <row r="35">
      <c r="C35" s="451" t="n">
        <v>25</v>
      </c>
      <c r="D35" s="452">
        <f>IF(C35=0,'00_Inputs'!$D$24,0)</f>
        <v/>
      </c>
      <c r="E35" s="452">
        <f>IF(AND(C35&gt;='00_Inputs'!$D$27,C35&lt;'00_Inputs'!$D$27+'00_Inputs'!$D$26),'00_Inputs'!$D$25,0)</f>
        <v/>
      </c>
      <c r="F35" s="452">
        <f>IF(AND(C35&gt;='00_Inputs'!$G$33,C35&lt;='00_Inputs'!$H$33),-'00_Inputs'!$K$33*(1+'00_Inputs'!$D$55)^C35,0)</f>
        <v/>
      </c>
      <c r="G35" s="452">
        <f>IF(AND(C35&gt;='00_Inputs'!$G$34,C35&lt;='00_Inputs'!$H$34),-'00_Inputs'!$K$34*(1+'00_Inputs'!$D$55)^C35,0)</f>
        <v/>
      </c>
      <c r="H35" s="452">
        <f>IF(C35='00_Inputs'!$G$35,-'00_Inputs'!$J$35,0)</f>
        <v/>
      </c>
      <c r="I35" s="452">
        <f>IF(C35='00_Inputs'!$G$36,-'00_Inputs'!$J$36,0)</f>
        <v/>
      </c>
      <c r="J35" s="453">
        <f>SUM(D35:I35)</f>
        <v/>
      </c>
      <c r="K35" s="453">
        <f>K34+J35</f>
        <v/>
      </c>
      <c r="L35" s="114">
        <f>IF(C35=0,"Capital inicial",IF(AND(F35&lt;0,G35&lt;0),"Educación de ambos hijos",IF(F35&lt;0,"Educación Vicente",IF(G35&lt;0,"Educación Emilia",IF(H35&lt;0,"Compra Villarrica",IF(I35&lt;0,"Pago herencia",IF(E35&gt;0,"Aporte anual","")))))))</f>
        <v/>
      </c>
    </row>
    <row r="36">
      <c r="C36" s="451" t="n">
        <v>26</v>
      </c>
      <c r="D36" s="452">
        <f>IF(C36=0,'00_Inputs'!$D$24,0)</f>
        <v/>
      </c>
      <c r="E36" s="452">
        <f>IF(AND(C36&gt;='00_Inputs'!$D$27,C36&lt;'00_Inputs'!$D$27+'00_Inputs'!$D$26),'00_Inputs'!$D$25,0)</f>
        <v/>
      </c>
      <c r="F36" s="452">
        <f>IF(AND(C36&gt;='00_Inputs'!$G$33,C36&lt;='00_Inputs'!$H$33),-'00_Inputs'!$K$33*(1+'00_Inputs'!$D$55)^C36,0)</f>
        <v/>
      </c>
      <c r="G36" s="452">
        <f>IF(AND(C36&gt;='00_Inputs'!$G$34,C36&lt;='00_Inputs'!$H$34),-'00_Inputs'!$K$34*(1+'00_Inputs'!$D$55)^C36,0)</f>
        <v/>
      </c>
      <c r="H36" s="452">
        <f>IF(C36='00_Inputs'!$G$35,-'00_Inputs'!$J$35,0)</f>
        <v/>
      </c>
      <c r="I36" s="452">
        <f>IF(C36='00_Inputs'!$G$36,-'00_Inputs'!$J$36,0)</f>
        <v/>
      </c>
      <c r="J36" s="453">
        <f>SUM(D36:I36)</f>
        <v/>
      </c>
      <c r="K36" s="453">
        <f>K35+J36</f>
        <v/>
      </c>
      <c r="L36" s="114">
        <f>IF(C36=0,"Capital inicial",IF(AND(F36&lt;0,G36&lt;0),"Educación de ambos hijos",IF(F36&lt;0,"Educación Vicente",IF(G36&lt;0,"Educación Emilia",IF(H36&lt;0,"Compra Villarrica",IF(I36&lt;0,"Pago herencia",IF(E36&gt;0,"Aporte anual","")))))))</f>
        <v/>
      </c>
    </row>
    <row r="37">
      <c r="C37" s="451" t="n">
        <v>27</v>
      </c>
      <c r="D37" s="452">
        <f>IF(C37=0,'00_Inputs'!$D$24,0)</f>
        <v/>
      </c>
      <c r="E37" s="452">
        <f>IF(AND(C37&gt;='00_Inputs'!$D$27,C37&lt;'00_Inputs'!$D$27+'00_Inputs'!$D$26),'00_Inputs'!$D$25,0)</f>
        <v/>
      </c>
      <c r="F37" s="452">
        <f>IF(AND(C37&gt;='00_Inputs'!$G$33,C37&lt;='00_Inputs'!$H$33),-'00_Inputs'!$K$33*(1+'00_Inputs'!$D$55)^C37,0)</f>
        <v/>
      </c>
      <c r="G37" s="452">
        <f>IF(AND(C37&gt;='00_Inputs'!$G$34,C37&lt;='00_Inputs'!$H$34),-'00_Inputs'!$K$34*(1+'00_Inputs'!$D$55)^C37,0)</f>
        <v/>
      </c>
      <c r="H37" s="452">
        <f>IF(C37='00_Inputs'!$G$35,-'00_Inputs'!$J$35,0)</f>
        <v/>
      </c>
      <c r="I37" s="452">
        <f>IF(C37='00_Inputs'!$G$36,-'00_Inputs'!$J$36,0)</f>
        <v/>
      </c>
      <c r="J37" s="453">
        <f>SUM(D37:I37)</f>
        <v/>
      </c>
      <c r="K37" s="453">
        <f>K36+J37</f>
        <v/>
      </c>
      <c r="L37" s="114">
        <f>IF(C37=0,"Capital inicial",IF(AND(F37&lt;0,G37&lt;0),"Educación de ambos hijos",IF(F37&lt;0,"Educación Vicente",IF(G37&lt;0,"Educación Emilia",IF(H37&lt;0,"Compra Villarrica",IF(I37&lt;0,"Pago herencia",IF(E37&gt;0,"Aporte anual","")))))))</f>
        <v/>
      </c>
    </row>
    <row r="38">
      <c r="C38" s="451" t="n">
        <v>28</v>
      </c>
      <c r="D38" s="452">
        <f>IF(C38=0,'00_Inputs'!$D$24,0)</f>
        <v/>
      </c>
      <c r="E38" s="452">
        <f>IF(AND(C38&gt;='00_Inputs'!$D$27,C38&lt;'00_Inputs'!$D$27+'00_Inputs'!$D$26),'00_Inputs'!$D$25,0)</f>
        <v/>
      </c>
      <c r="F38" s="452">
        <f>IF(AND(C38&gt;='00_Inputs'!$G$33,C38&lt;='00_Inputs'!$H$33),-'00_Inputs'!$K$33*(1+'00_Inputs'!$D$55)^C38,0)</f>
        <v/>
      </c>
      <c r="G38" s="452">
        <f>IF(AND(C38&gt;='00_Inputs'!$G$34,C38&lt;='00_Inputs'!$H$34),-'00_Inputs'!$K$34*(1+'00_Inputs'!$D$55)^C38,0)</f>
        <v/>
      </c>
      <c r="H38" s="452">
        <f>IF(C38='00_Inputs'!$G$35,-'00_Inputs'!$J$35,0)</f>
        <v/>
      </c>
      <c r="I38" s="452">
        <f>IF(C38='00_Inputs'!$G$36,-'00_Inputs'!$J$36,0)</f>
        <v/>
      </c>
      <c r="J38" s="453">
        <f>SUM(D38:I38)</f>
        <v/>
      </c>
      <c r="K38" s="453">
        <f>K37+J38</f>
        <v/>
      </c>
      <c r="L38" s="114">
        <f>IF(C38=0,"Capital inicial",IF(AND(F38&lt;0,G38&lt;0),"Educación de ambos hijos",IF(F38&lt;0,"Educación Vicente",IF(G38&lt;0,"Educación Emilia",IF(H38&lt;0,"Compra Villarrica",IF(I38&lt;0,"Pago herencia",IF(E38&gt;0,"Aporte anual","")))))))</f>
        <v/>
      </c>
    </row>
    <row r="39">
      <c r="C39" s="451" t="n">
        <v>29</v>
      </c>
      <c r="D39" s="452">
        <f>IF(C39=0,'00_Inputs'!$D$24,0)</f>
        <v/>
      </c>
      <c r="E39" s="452">
        <f>IF(AND(C39&gt;='00_Inputs'!$D$27,C39&lt;'00_Inputs'!$D$27+'00_Inputs'!$D$26),'00_Inputs'!$D$25,0)</f>
        <v/>
      </c>
      <c r="F39" s="452">
        <f>IF(AND(C39&gt;='00_Inputs'!$G$33,C39&lt;='00_Inputs'!$H$33),-'00_Inputs'!$K$33*(1+'00_Inputs'!$D$55)^C39,0)</f>
        <v/>
      </c>
      <c r="G39" s="452">
        <f>IF(AND(C39&gt;='00_Inputs'!$G$34,C39&lt;='00_Inputs'!$H$34),-'00_Inputs'!$K$34*(1+'00_Inputs'!$D$55)^C39,0)</f>
        <v/>
      </c>
      <c r="H39" s="452">
        <f>IF(C39='00_Inputs'!$G$35,-'00_Inputs'!$J$35,0)</f>
        <v/>
      </c>
      <c r="I39" s="452">
        <f>IF(C39='00_Inputs'!$G$36,-'00_Inputs'!$J$36,0)</f>
        <v/>
      </c>
      <c r="J39" s="453">
        <f>SUM(D39:I39)</f>
        <v/>
      </c>
      <c r="K39" s="453">
        <f>K38+J39</f>
        <v/>
      </c>
      <c r="L39" s="114">
        <f>IF(C39=0,"Capital inicial",IF(AND(F39&lt;0,G39&lt;0),"Educación de ambos hijos",IF(F39&lt;0,"Educación Vicente",IF(G39&lt;0,"Educación Emilia",IF(H39&lt;0,"Compra Villarrica",IF(I39&lt;0,"Pago herencia",IF(E39&gt;0,"Aporte anual","")))))))</f>
        <v/>
      </c>
    </row>
    <row r="40">
      <c r="C40" s="451" t="n">
        <v>30</v>
      </c>
      <c r="D40" s="452">
        <f>IF(C40=0,'00_Inputs'!$D$24,0)</f>
        <v/>
      </c>
      <c r="E40" s="452">
        <f>IF(AND(C40&gt;='00_Inputs'!$D$27,C40&lt;'00_Inputs'!$D$27+'00_Inputs'!$D$26),'00_Inputs'!$D$25,0)</f>
        <v/>
      </c>
      <c r="F40" s="452">
        <f>IF(AND(C40&gt;='00_Inputs'!$G$33,C40&lt;='00_Inputs'!$H$33),-'00_Inputs'!$K$33*(1+'00_Inputs'!$D$55)^C40,0)</f>
        <v/>
      </c>
      <c r="G40" s="452">
        <f>IF(AND(C40&gt;='00_Inputs'!$G$34,C40&lt;='00_Inputs'!$H$34),-'00_Inputs'!$K$34*(1+'00_Inputs'!$D$55)^C40,0)</f>
        <v/>
      </c>
      <c r="H40" s="452">
        <f>IF(C40='00_Inputs'!$G$35,-'00_Inputs'!$J$35,0)</f>
        <v/>
      </c>
      <c r="I40" s="452">
        <f>IF(C40='00_Inputs'!$G$36,-'00_Inputs'!$J$36,0)</f>
        <v/>
      </c>
      <c r="J40" s="453">
        <f>SUM(D40:I40)</f>
        <v/>
      </c>
      <c r="K40" s="453">
        <f>K39+J40</f>
        <v/>
      </c>
      <c r="L40" s="114">
        <f>IF(C40=0,"Capital inicial",IF(AND(F40&lt;0,G40&lt;0),"Educación de ambos hijos",IF(F40&lt;0,"Educación Vicente",IF(G40&lt;0,"Educación Emilia",IF(H40&lt;0,"Compra Villarrica",IF(I40&lt;0,"Pago herencia",IF(E40&gt;0,"Aporte anual","")))))))</f>
        <v/>
      </c>
    </row>
    <row r="41">
      <c r="C41" s="451" t="n">
        <v>31</v>
      </c>
      <c r="D41" s="452">
        <f>IF(C41=0,'00_Inputs'!$D$24,0)</f>
        <v/>
      </c>
      <c r="E41" s="452">
        <f>IF(AND(C41&gt;='00_Inputs'!$D$27,C41&lt;'00_Inputs'!$D$27+'00_Inputs'!$D$26),'00_Inputs'!$D$25,0)</f>
        <v/>
      </c>
      <c r="F41" s="452">
        <f>IF(AND(C41&gt;='00_Inputs'!$G$33,C41&lt;='00_Inputs'!$H$33),-'00_Inputs'!$K$33*(1+'00_Inputs'!$D$55)^C41,0)</f>
        <v/>
      </c>
      <c r="G41" s="452">
        <f>IF(AND(C41&gt;='00_Inputs'!$G$34,C41&lt;='00_Inputs'!$H$34),-'00_Inputs'!$K$34*(1+'00_Inputs'!$D$55)^C41,0)</f>
        <v/>
      </c>
      <c r="H41" s="452">
        <f>IF(C41='00_Inputs'!$G$35,-'00_Inputs'!$J$35,0)</f>
        <v/>
      </c>
      <c r="I41" s="452">
        <f>IF(C41='00_Inputs'!$G$36,-'00_Inputs'!$J$36,0)</f>
        <v/>
      </c>
      <c r="J41" s="453">
        <f>SUM(D41:I41)</f>
        <v/>
      </c>
      <c r="K41" s="453">
        <f>K40+J41</f>
        <v/>
      </c>
      <c r="L41" s="114">
        <f>IF(C41=0,"Capital inicial",IF(AND(F41&lt;0,G41&lt;0),"Educación de ambos hijos",IF(F41&lt;0,"Educación Vicente",IF(G41&lt;0,"Educación Emilia",IF(H41&lt;0,"Compra Villarrica",IF(I41&lt;0,"Pago herencia",IF(E41&gt;0,"Aporte anual","")))))))</f>
        <v/>
      </c>
    </row>
    <row r="42">
      <c r="C42" s="451" t="n">
        <v>32</v>
      </c>
      <c r="D42" s="452">
        <f>IF(C42=0,'00_Inputs'!$D$24,0)</f>
        <v/>
      </c>
      <c r="E42" s="452">
        <f>IF(AND(C42&gt;='00_Inputs'!$D$27,C42&lt;'00_Inputs'!$D$27+'00_Inputs'!$D$26),'00_Inputs'!$D$25,0)</f>
        <v/>
      </c>
      <c r="F42" s="452">
        <f>IF(AND(C42&gt;='00_Inputs'!$G$33,C42&lt;='00_Inputs'!$H$33),-'00_Inputs'!$K$33*(1+'00_Inputs'!$D$55)^C42,0)</f>
        <v/>
      </c>
      <c r="G42" s="452">
        <f>IF(AND(C42&gt;='00_Inputs'!$G$34,C42&lt;='00_Inputs'!$H$34),-'00_Inputs'!$K$34*(1+'00_Inputs'!$D$55)^C42,0)</f>
        <v/>
      </c>
      <c r="H42" s="452">
        <f>IF(C42='00_Inputs'!$G$35,-'00_Inputs'!$J$35,0)</f>
        <v/>
      </c>
      <c r="I42" s="452">
        <f>IF(C42='00_Inputs'!$G$36,-'00_Inputs'!$J$36,0)</f>
        <v/>
      </c>
      <c r="J42" s="453">
        <f>SUM(D42:I42)</f>
        <v/>
      </c>
      <c r="K42" s="453">
        <f>K41+J42</f>
        <v/>
      </c>
      <c r="L42" s="114">
        <f>IF(C42=0,"Capital inicial",IF(AND(F42&lt;0,G42&lt;0),"Educación de ambos hijos",IF(F42&lt;0,"Educación Vicente",IF(G42&lt;0,"Educación Emilia",IF(H42&lt;0,"Compra Villarrica",IF(I42&lt;0,"Pago herencia",IF(E42&gt;0,"Aporte anual","")))))))</f>
        <v/>
      </c>
    </row>
    <row r="43">
      <c r="C43" s="451" t="n">
        <v>33</v>
      </c>
      <c r="D43" s="452">
        <f>IF(C43=0,'00_Inputs'!$D$24,0)</f>
        <v/>
      </c>
      <c r="E43" s="452">
        <f>IF(AND(C43&gt;='00_Inputs'!$D$27,C43&lt;'00_Inputs'!$D$27+'00_Inputs'!$D$26),'00_Inputs'!$D$25,0)</f>
        <v/>
      </c>
      <c r="F43" s="452">
        <f>IF(AND(C43&gt;='00_Inputs'!$G$33,C43&lt;='00_Inputs'!$H$33),-'00_Inputs'!$K$33*(1+'00_Inputs'!$D$55)^C43,0)</f>
        <v/>
      </c>
      <c r="G43" s="452">
        <f>IF(AND(C43&gt;='00_Inputs'!$G$34,C43&lt;='00_Inputs'!$H$34),-'00_Inputs'!$K$34*(1+'00_Inputs'!$D$55)^C43,0)</f>
        <v/>
      </c>
      <c r="H43" s="452">
        <f>IF(C43='00_Inputs'!$G$35,-'00_Inputs'!$J$35,0)</f>
        <v/>
      </c>
      <c r="I43" s="452">
        <f>IF(C43='00_Inputs'!$G$36,-'00_Inputs'!$J$36,0)</f>
        <v/>
      </c>
      <c r="J43" s="453">
        <f>SUM(D43:I43)</f>
        <v/>
      </c>
      <c r="K43" s="453">
        <f>K42+J43</f>
        <v/>
      </c>
      <c r="L43" s="114">
        <f>IF(C43=0,"Capital inicial",IF(AND(F43&lt;0,G43&lt;0),"Educación de ambos hijos",IF(F43&lt;0,"Educación Vicente",IF(G43&lt;0,"Educación Emilia",IF(H43&lt;0,"Compra Villarrica",IF(I43&lt;0,"Pago herencia",IF(E43&gt;0,"Aporte anual","")))))))</f>
        <v/>
      </c>
    </row>
    <row r="44">
      <c r="C44" s="451" t="n">
        <v>34</v>
      </c>
      <c r="D44" s="452">
        <f>IF(C44=0,'00_Inputs'!$D$24,0)</f>
        <v/>
      </c>
      <c r="E44" s="452">
        <f>IF(AND(C44&gt;='00_Inputs'!$D$27,C44&lt;'00_Inputs'!$D$27+'00_Inputs'!$D$26),'00_Inputs'!$D$25,0)</f>
        <v/>
      </c>
      <c r="F44" s="452">
        <f>IF(AND(C44&gt;='00_Inputs'!$G$33,C44&lt;='00_Inputs'!$H$33),-'00_Inputs'!$K$33*(1+'00_Inputs'!$D$55)^C44,0)</f>
        <v/>
      </c>
      <c r="G44" s="452">
        <f>IF(AND(C44&gt;='00_Inputs'!$G$34,C44&lt;='00_Inputs'!$H$34),-'00_Inputs'!$K$34*(1+'00_Inputs'!$D$55)^C44,0)</f>
        <v/>
      </c>
      <c r="H44" s="452">
        <f>IF(C44='00_Inputs'!$G$35,-'00_Inputs'!$J$35,0)</f>
        <v/>
      </c>
      <c r="I44" s="452">
        <f>IF(C44='00_Inputs'!$G$36,-'00_Inputs'!$J$36,0)</f>
        <v/>
      </c>
      <c r="J44" s="453">
        <f>SUM(D44:I44)</f>
        <v/>
      </c>
      <c r="K44" s="453">
        <f>K43+J44</f>
        <v/>
      </c>
      <c r="L44" s="114">
        <f>IF(C44=0,"Capital inicial",IF(AND(F44&lt;0,G44&lt;0),"Educación de ambos hijos",IF(F44&lt;0,"Educación Vicente",IF(G44&lt;0,"Educación Emilia",IF(H44&lt;0,"Compra Villarrica",IF(I44&lt;0,"Pago herencia",IF(E44&gt;0,"Aporte anual","")))))))</f>
        <v/>
      </c>
    </row>
    <row r="45">
      <c r="C45" s="451" t="n">
        <v>35</v>
      </c>
      <c r="D45" s="452">
        <f>IF(C45=0,'00_Inputs'!$D$24,0)</f>
        <v/>
      </c>
      <c r="E45" s="452">
        <f>IF(AND(C45&gt;='00_Inputs'!$D$27,C45&lt;'00_Inputs'!$D$27+'00_Inputs'!$D$26),'00_Inputs'!$D$25,0)</f>
        <v/>
      </c>
      <c r="F45" s="452">
        <f>IF(AND(C45&gt;='00_Inputs'!$G$33,C45&lt;='00_Inputs'!$H$33),-'00_Inputs'!$K$33*(1+'00_Inputs'!$D$55)^C45,0)</f>
        <v/>
      </c>
      <c r="G45" s="452">
        <f>IF(AND(C45&gt;='00_Inputs'!$G$34,C45&lt;='00_Inputs'!$H$34),-'00_Inputs'!$K$34*(1+'00_Inputs'!$D$55)^C45,0)</f>
        <v/>
      </c>
      <c r="H45" s="452">
        <f>IF(C45='00_Inputs'!$G$35,-'00_Inputs'!$J$35,0)</f>
        <v/>
      </c>
      <c r="I45" s="452">
        <f>IF(C45='00_Inputs'!$G$36,-'00_Inputs'!$J$36,0)</f>
        <v/>
      </c>
      <c r="J45" s="453">
        <f>SUM(D45:I45)</f>
        <v/>
      </c>
      <c r="K45" s="453">
        <f>K44+J45</f>
        <v/>
      </c>
      <c r="L45" s="114">
        <f>IF(C45=0,"Capital inicial",IF(AND(F45&lt;0,G45&lt;0),"Educación de ambos hijos",IF(F45&lt;0,"Educación Vicente",IF(G45&lt;0,"Educación Emilia",IF(H45&lt;0,"Compra Villarrica",IF(I45&lt;0,"Pago herencia",IF(E45&gt;0,"Aporte anual","")))))))</f>
        <v/>
      </c>
    </row>
    <row r="46">
      <c r="C46" s="451" t="n">
        <v>36</v>
      </c>
      <c r="D46" s="452">
        <f>IF(C46=0,'00_Inputs'!$D$24,0)</f>
        <v/>
      </c>
      <c r="E46" s="452">
        <f>IF(AND(C46&gt;='00_Inputs'!$D$27,C46&lt;'00_Inputs'!$D$27+'00_Inputs'!$D$26),'00_Inputs'!$D$25,0)</f>
        <v/>
      </c>
      <c r="F46" s="452">
        <f>IF(AND(C46&gt;='00_Inputs'!$G$33,C46&lt;='00_Inputs'!$H$33),-'00_Inputs'!$K$33*(1+'00_Inputs'!$D$55)^C46,0)</f>
        <v/>
      </c>
      <c r="G46" s="452">
        <f>IF(AND(C46&gt;='00_Inputs'!$G$34,C46&lt;='00_Inputs'!$H$34),-'00_Inputs'!$K$34*(1+'00_Inputs'!$D$55)^C46,0)</f>
        <v/>
      </c>
      <c r="H46" s="452">
        <f>IF(C46='00_Inputs'!$G$35,-'00_Inputs'!$J$35,0)</f>
        <v/>
      </c>
      <c r="I46" s="452">
        <f>IF(C46='00_Inputs'!$G$36,-'00_Inputs'!$J$36,0)</f>
        <v/>
      </c>
      <c r="J46" s="453">
        <f>SUM(D46:I46)</f>
        <v/>
      </c>
      <c r="K46" s="453">
        <f>K45+J46</f>
        <v/>
      </c>
      <c r="L46" s="114">
        <f>IF(C46=0,"Capital inicial",IF(AND(F46&lt;0,G46&lt;0),"Educación de ambos hijos",IF(F46&lt;0,"Educación Vicente",IF(G46&lt;0,"Educación Emilia",IF(H46&lt;0,"Compra Villarrica",IF(I46&lt;0,"Pago herencia",IF(E46&gt;0,"Aporte anual","")))))))</f>
        <v/>
      </c>
    </row>
    <row r="47">
      <c r="C47" s="451" t="n">
        <v>37</v>
      </c>
      <c r="D47" s="452">
        <f>IF(C47=0,'00_Inputs'!$D$24,0)</f>
        <v/>
      </c>
      <c r="E47" s="452">
        <f>IF(AND(C47&gt;='00_Inputs'!$D$27,C47&lt;'00_Inputs'!$D$27+'00_Inputs'!$D$26),'00_Inputs'!$D$25,0)</f>
        <v/>
      </c>
      <c r="F47" s="452">
        <f>IF(AND(C47&gt;='00_Inputs'!$G$33,C47&lt;='00_Inputs'!$H$33),-'00_Inputs'!$K$33*(1+'00_Inputs'!$D$55)^C47,0)</f>
        <v/>
      </c>
      <c r="G47" s="452">
        <f>IF(AND(C47&gt;='00_Inputs'!$G$34,C47&lt;='00_Inputs'!$H$34),-'00_Inputs'!$K$34*(1+'00_Inputs'!$D$55)^C47,0)</f>
        <v/>
      </c>
      <c r="H47" s="452">
        <f>IF(C47='00_Inputs'!$G$35,-'00_Inputs'!$J$35,0)</f>
        <v/>
      </c>
      <c r="I47" s="452">
        <f>IF(C47='00_Inputs'!$G$36,-'00_Inputs'!$J$36,0)</f>
        <v/>
      </c>
      <c r="J47" s="453">
        <f>SUM(D47:I47)</f>
        <v/>
      </c>
      <c r="K47" s="453">
        <f>K46+J47</f>
        <v/>
      </c>
      <c r="L47" s="114">
        <f>IF(C47=0,"Capital inicial",IF(AND(F47&lt;0,G47&lt;0),"Educación de ambos hijos",IF(F47&lt;0,"Educación Vicente",IF(G47&lt;0,"Educación Emilia",IF(H47&lt;0,"Compra Villarrica",IF(I47&lt;0,"Pago herencia",IF(E47&gt;0,"Aporte anual","")))))))</f>
        <v/>
      </c>
    </row>
    <row r="48">
      <c r="C48" s="451" t="n">
        <v>38</v>
      </c>
      <c r="D48" s="452">
        <f>IF(C48=0,'00_Inputs'!$D$24,0)</f>
        <v/>
      </c>
      <c r="E48" s="452">
        <f>IF(AND(C48&gt;='00_Inputs'!$D$27,C48&lt;'00_Inputs'!$D$27+'00_Inputs'!$D$26),'00_Inputs'!$D$25,0)</f>
        <v/>
      </c>
      <c r="F48" s="452">
        <f>IF(AND(C48&gt;='00_Inputs'!$G$33,C48&lt;='00_Inputs'!$H$33),-'00_Inputs'!$K$33*(1+'00_Inputs'!$D$55)^C48,0)</f>
        <v/>
      </c>
      <c r="G48" s="452">
        <f>IF(AND(C48&gt;='00_Inputs'!$G$34,C48&lt;='00_Inputs'!$H$34),-'00_Inputs'!$K$34*(1+'00_Inputs'!$D$55)^C48,0)</f>
        <v/>
      </c>
      <c r="H48" s="452">
        <f>IF(C48='00_Inputs'!$G$35,-'00_Inputs'!$J$35,0)</f>
        <v/>
      </c>
      <c r="I48" s="452">
        <f>IF(C48='00_Inputs'!$G$36,-'00_Inputs'!$J$36,0)</f>
        <v/>
      </c>
      <c r="J48" s="453">
        <f>SUM(D48:I48)</f>
        <v/>
      </c>
      <c r="K48" s="453">
        <f>K47+J48</f>
        <v/>
      </c>
      <c r="L48" s="114">
        <f>IF(C48=0,"Capital inicial",IF(AND(F48&lt;0,G48&lt;0),"Educación de ambos hijos",IF(F48&lt;0,"Educación Vicente",IF(G48&lt;0,"Educación Emilia",IF(H48&lt;0,"Compra Villarrica",IF(I48&lt;0,"Pago herencia",IF(E48&gt;0,"Aporte anual","")))))))</f>
        <v/>
      </c>
    </row>
    <row r="49">
      <c r="C49" s="451" t="n">
        <v>39</v>
      </c>
      <c r="D49" s="452">
        <f>IF(C49=0,'00_Inputs'!$D$24,0)</f>
        <v/>
      </c>
      <c r="E49" s="452">
        <f>IF(AND(C49&gt;='00_Inputs'!$D$27,C49&lt;'00_Inputs'!$D$27+'00_Inputs'!$D$26),'00_Inputs'!$D$25,0)</f>
        <v/>
      </c>
      <c r="F49" s="452">
        <f>IF(AND(C49&gt;='00_Inputs'!$G$33,C49&lt;='00_Inputs'!$H$33),-'00_Inputs'!$K$33*(1+'00_Inputs'!$D$55)^C49,0)</f>
        <v/>
      </c>
      <c r="G49" s="452">
        <f>IF(AND(C49&gt;='00_Inputs'!$G$34,C49&lt;='00_Inputs'!$H$34),-'00_Inputs'!$K$34*(1+'00_Inputs'!$D$55)^C49,0)</f>
        <v/>
      </c>
      <c r="H49" s="452">
        <f>IF(C49='00_Inputs'!$G$35,-'00_Inputs'!$J$35,0)</f>
        <v/>
      </c>
      <c r="I49" s="452">
        <f>IF(C49='00_Inputs'!$G$36,-'00_Inputs'!$J$36,0)</f>
        <v/>
      </c>
      <c r="J49" s="453">
        <f>SUM(D49:I49)</f>
        <v/>
      </c>
      <c r="K49" s="453">
        <f>K48+J49</f>
        <v/>
      </c>
      <c r="L49" s="114">
        <f>IF(C49=0,"Capital inicial",IF(AND(F49&lt;0,G49&lt;0),"Educación de ambos hijos",IF(F49&lt;0,"Educación Vicente",IF(G49&lt;0,"Educación Emilia",IF(H49&lt;0,"Compra Villarrica",IF(I49&lt;0,"Pago herencia",IF(E49&gt;0,"Aporte anual","")))))))</f>
        <v/>
      </c>
    </row>
    <row r="50">
      <c r="C50" s="451" t="n">
        <v>40</v>
      </c>
      <c r="D50" s="452">
        <f>IF(C50=0,'00_Inputs'!$D$24,0)</f>
        <v/>
      </c>
      <c r="E50" s="452">
        <f>IF(AND(C50&gt;='00_Inputs'!$D$27,C50&lt;'00_Inputs'!$D$27+'00_Inputs'!$D$26),'00_Inputs'!$D$25,0)</f>
        <v/>
      </c>
      <c r="F50" s="452">
        <f>IF(AND(C50&gt;='00_Inputs'!$G$33,C50&lt;='00_Inputs'!$H$33),-'00_Inputs'!$K$33*(1+'00_Inputs'!$D$55)^C50,0)</f>
        <v/>
      </c>
      <c r="G50" s="452">
        <f>IF(AND(C50&gt;='00_Inputs'!$G$34,C50&lt;='00_Inputs'!$H$34),-'00_Inputs'!$K$34*(1+'00_Inputs'!$D$55)^C50,0)</f>
        <v/>
      </c>
      <c r="H50" s="452">
        <f>IF(C50='00_Inputs'!$G$35,-'00_Inputs'!$J$35,0)</f>
        <v/>
      </c>
      <c r="I50" s="452">
        <f>IF(C50='00_Inputs'!$G$36,-'00_Inputs'!$J$36,0)</f>
        <v/>
      </c>
      <c r="J50" s="453">
        <f>SUM(D50:I50)</f>
        <v/>
      </c>
      <c r="K50" s="453">
        <f>K49+J50</f>
        <v/>
      </c>
      <c r="L50" s="114">
        <f>IF(C50=0,"Capital inicial",IF(AND(F50&lt;0,G50&lt;0),"Educación de ambos hijos",IF(F50&lt;0,"Educación Vicente",IF(G50&lt;0,"Educación Emilia",IF(H50&lt;0,"Compra Villarrica",IF(I50&lt;0,"Pago herencia",IF(E50&gt;0,"Aporte anual","")))))))</f>
        <v/>
      </c>
    </row>
    <row r="51">
      <c r="C51" s="451" t="n">
        <v>41</v>
      </c>
      <c r="D51" s="452">
        <f>IF(C51=0,'00_Inputs'!$D$24,0)</f>
        <v/>
      </c>
      <c r="E51" s="452">
        <f>IF(AND(C51&gt;='00_Inputs'!$D$27,C51&lt;'00_Inputs'!$D$27+'00_Inputs'!$D$26),'00_Inputs'!$D$25,0)</f>
        <v/>
      </c>
      <c r="F51" s="452">
        <f>IF(AND(C51&gt;='00_Inputs'!$G$33,C51&lt;='00_Inputs'!$H$33),-'00_Inputs'!$K$33*(1+'00_Inputs'!$D$55)^C51,0)</f>
        <v/>
      </c>
      <c r="G51" s="452">
        <f>IF(AND(C51&gt;='00_Inputs'!$G$34,C51&lt;='00_Inputs'!$H$34),-'00_Inputs'!$K$34*(1+'00_Inputs'!$D$55)^C51,0)</f>
        <v/>
      </c>
      <c r="H51" s="452">
        <f>IF(C51='00_Inputs'!$G$35,-'00_Inputs'!$J$35,0)</f>
        <v/>
      </c>
      <c r="I51" s="452">
        <f>IF(C51='00_Inputs'!$G$36,-'00_Inputs'!$J$36,0)</f>
        <v/>
      </c>
      <c r="J51" s="453">
        <f>SUM(D51:I51)</f>
        <v/>
      </c>
      <c r="K51" s="453">
        <f>K50+J51</f>
        <v/>
      </c>
      <c r="L51" s="114">
        <f>IF(C51=0,"Capital inicial",IF(AND(F51&lt;0,G51&lt;0),"Educación de ambos hijos",IF(F51&lt;0,"Educación Vicente",IF(G51&lt;0,"Educación Emilia",IF(H51&lt;0,"Compra Villarrica",IF(I51&lt;0,"Pago herencia",IF(E51&gt;0,"Aporte anual","")))))))</f>
        <v/>
      </c>
    </row>
    <row r="52">
      <c r="C52" s="451" t="n">
        <v>42</v>
      </c>
      <c r="D52" s="452">
        <f>IF(C52=0,'00_Inputs'!$D$24,0)</f>
        <v/>
      </c>
      <c r="E52" s="452">
        <f>IF(AND(C52&gt;='00_Inputs'!$D$27,C52&lt;'00_Inputs'!$D$27+'00_Inputs'!$D$26),'00_Inputs'!$D$25,0)</f>
        <v/>
      </c>
      <c r="F52" s="452">
        <f>IF(AND(C52&gt;='00_Inputs'!$G$33,C52&lt;='00_Inputs'!$H$33),-'00_Inputs'!$K$33*(1+'00_Inputs'!$D$55)^C52,0)</f>
        <v/>
      </c>
      <c r="G52" s="452">
        <f>IF(AND(C52&gt;='00_Inputs'!$G$34,C52&lt;='00_Inputs'!$H$34),-'00_Inputs'!$K$34*(1+'00_Inputs'!$D$55)^C52,0)</f>
        <v/>
      </c>
      <c r="H52" s="452">
        <f>IF(C52='00_Inputs'!$G$35,-'00_Inputs'!$J$35,0)</f>
        <v/>
      </c>
      <c r="I52" s="452">
        <f>IF(C52='00_Inputs'!$G$36,-'00_Inputs'!$J$36,0)</f>
        <v/>
      </c>
      <c r="J52" s="453">
        <f>SUM(D52:I52)</f>
        <v/>
      </c>
      <c r="K52" s="453">
        <f>K51+J52</f>
        <v/>
      </c>
      <c r="L52" s="114">
        <f>IF(C52=0,"Capital inicial",IF(AND(F52&lt;0,G52&lt;0),"Educación de ambos hijos",IF(F52&lt;0,"Educación Vicente",IF(G52&lt;0,"Educación Emilia",IF(H52&lt;0,"Compra Villarrica",IF(I52&lt;0,"Pago herencia",IF(E52&gt;0,"Aporte anual","")))))))</f>
        <v/>
      </c>
    </row>
    <row r="53">
      <c r="C53" s="451" t="n">
        <v>43</v>
      </c>
      <c r="D53" s="452">
        <f>IF(C53=0,'00_Inputs'!$D$24,0)</f>
        <v/>
      </c>
      <c r="E53" s="452">
        <f>IF(AND(C53&gt;='00_Inputs'!$D$27,C53&lt;'00_Inputs'!$D$27+'00_Inputs'!$D$26),'00_Inputs'!$D$25,0)</f>
        <v/>
      </c>
      <c r="F53" s="452">
        <f>IF(AND(C53&gt;='00_Inputs'!$G$33,C53&lt;='00_Inputs'!$H$33),-'00_Inputs'!$K$33*(1+'00_Inputs'!$D$55)^C53,0)</f>
        <v/>
      </c>
      <c r="G53" s="452">
        <f>IF(AND(C53&gt;='00_Inputs'!$G$34,C53&lt;='00_Inputs'!$H$34),-'00_Inputs'!$K$34*(1+'00_Inputs'!$D$55)^C53,0)</f>
        <v/>
      </c>
      <c r="H53" s="452">
        <f>IF(C53='00_Inputs'!$G$35,-'00_Inputs'!$J$35,0)</f>
        <v/>
      </c>
      <c r="I53" s="452">
        <f>IF(C53='00_Inputs'!$G$36,-'00_Inputs'!$J$36,0)</f>
        <v/>
      </c>
      <c r="J53" s="453">
        <f>SUM(D53:I53)</f>
        <v/>
      </c>
      <c r="K53" s="453">
        <f>K52+J53</f>
        <v/>
      </c>
      <c r="L53" s="114">
        <f>IF(C53=0,"Capital inicial",IF(AND(F53&lt;0,G53&lt;0),"Educación de ambos hijos",IF(F53&lt;0,"Educación Vicente",IF(G53&lt;0,"Educación Emilia",IF(H53&lt;0,"Compra Villarrica",IF(I53&lt;0,"Pago herencia",IF(E53&gt;0,"Aporte anual","")))))))</f>
        <v/>
      </c>
    </row>
    <row r="54">
      <c r="C54" s="451" t="n">
        <v>44</v>
      </c>
      <c r="D54" s="452">
        <f>IF(C54=0,'00_Inputs'!$D$24,0)</f>
        <v/>
      </c>
      <c r="E54" s="452">
        <f>IF(AND(C54&gt;='00_Inputs'!$D$27,C54&lt;'00_Inputs'!$D$27+'00_Inputs'!$D$26),'00_Inputs'!$D$25,0)</f>
        <v/>
      </c>
      <c r="F54" s="452">
        <f>IF(AND(C54&gt;='00_Inputs'!$G$33,C54&lt;='00_Inputs'!$H$33),-'00_Inputs'!$K$33*(1+'00_Inputs'!$D$55)^C54,0)</f>
        <v/>
      </c>
      <c r="G54" s="452">
        <f>IF(AND(C54&gt;='00_Inputs'!$G$34,C54&lt;='00_Inputs'!$H$34),-'00_Inputs'!$K$34*(1+'00_Inputs'!$D$55)^C54,0)</f>
        <v/>
      </c>
      <c r="H54" s="452">
        <f>IF(C54='00_Inputs'!$G$35,-'00_Inputs'!$J$35,0)</f>
        <v/>
      </c>
      <c r="I54" s="452">
        <f>IF(C54='00_Inputs'!$G$36,-'00_Inputs'!$J$36,0)</f>
        <v/>
      </c>
      <c r="J54" s="453">
        <f>SUM(D54:I54)</f>
        <v/>
      </c>
      <c r="K54" s="453">
        <f>K53+J54</f>
        <v/>
      </c>
      <c r="L54" s="114">
        <f>IF(C54=0,"Capital inicial",IF(AND(F54&lt;0,G54&lt;0),"Educación de ambos hijos",IF(F54&lt;0,"Educación Vicente",IF(G54&lt;0,"Educación Emilia",IF(H54&lt;0,"Compra Villarrica",IF(I54&lt;0,"Pago herencia",IF(E54&gt;0,"Aporte anual","")))))))</f>
        <v/>
      </c>
    </row>
    <row r="55">
      <c r="C55" s="451" t="n">
        <v>45</v>
      </c>
      <c r="D55" s="452">
        <f>IF(C55=0,'00_Inputs'!$D$24,0)</f>
        <v/>
      </c>
      <c r="E55" s="452">
        <f>IF(AND(C55&gt;='00_Inputs'!$D$27,C55&lt;'00_Inputs'!$D$27+'00_Inputs'!$D$26),'00_Inputs'!$D$25,0)</f>
        <v/>
      </c>
      <c r="F55" s="452">
        <f>IF(AND(C55&gt;='00_Inputs'!$G$33,C55&lt;='00_Inputs'!$H$33),-'00_Inputs'!$K$33*(1+'00_Inputs'!$D$55)^C55,0)</f>
        <v/>
      </c>
      <c r="G55" s="452">
        <f>IF(AND(C55&gt;='00_Inputs'!$G$34,C55&lt;='00_Inputs'!$H$34),-'00_Inputs'!$K$34*(1+'00_Inputs'!$D$55)^C55,0)</f>
        <v/>
      </c>
      <c r="H55" s="452">
        <f>IF(C55='00_Inputs'!$G$35,-'00_Inputs'!$J$35,0)</f>
        <v/>
      </c>
      <c r="I55" s="452">
        <f>IF(C55='00_Inputs'!$G$36,-'00_Inputs'!$J$36,0)</f>
        <v/>
      </c>
      <c r="J55" s="453">
        <f>SUM(D55:I55)</f>
        <v/>
      </c>
      <c r="K55" s="453">
        <f>K54+J55</f>
        <v/>
      </c>
      <c r="L55" s="114">
        <f>IF(C55=0,"Capital inicial",IF(AND(F55&lt;0,G55&lt;0),"Educación de ambos hijos",IF(F55&lt;0,"Educación Vicente",IF(G55&lt;0,"Educación Emilia",IF(H55&lt;0,"Compra Villarrica",IF(I55&lt;0,"Pago herencia",IF(E55&gt;0,"Aporte anual","")))))))</f>
        <v/>
      </c>
    </row>
    <row r="56">
      <c r="C56" s="451" t="n">
        <v>46</v>
      </c>
      <c r="D56" s="452">
        <f>IF(C56=0,'00_Inputs'!$D$24,0)</f>
        <v/>
      </c>
      <c r="E56" s="452">
        <f>IF(AND(C56&gt;='00_Inputs'!$D$27,C56&lt;'00_Inputs'!$D$27+'00_Inputs'!$D$26),'00_Inputs'!$D$25,0)</f>
        <v/>
      </c>
      <c r="F56" s="452">
        <f>IF(AND(C56&gt;='00_Inputs'!$G$33,C56&lt;='00_Inputs'!$H$33),-'00_Inputs'!$K$33*(1+'00_Inputs'!$D$55)^C56,0)</f>
        <v/>
      </c>
      <c r="G56" s="452">
        <f>IF(AND(C56&gt;='00_Inputs'!$G$34,C56&lt;='00_Inputs'!$H$34),-'00_Inputs'!$K$34*(1+'00_Inputs'!$D$55)^C56,0)</f>
        <v/>
      </c>
      <c r="H56" s="452">
        <f>IF(C56='00_Inputs'!$G$35,-'00_Inputs'!$J$35,0)</f>
        <v/>
      </c>
      <c r="I56" s="452">
        <f>IF(C56='00_Inputs'!$G$36,-'00_Inputs'!$J$36,0)</f>
        <v/>
      </c>
      <c r="J56" s="453">
        <f>SUM(D56:I56)</f>
        <v/>
      </c>
      <c r="K56" s="453">
        <f>K55+J56</f>
        <v/>
      </c>
      <c r="L56" s="114">
        <f>IF(C56=0,"Capital inicial",IF(AND(F56&lt;0,G56&lt;0),"Educación de ambos hijos",IF(F56&lt;0,"Educación Vicente",IF(G56&lt;0,"Educación Emilia",IF(H56&lt;0,"Compra Villarrica",IF(I56&lt;0,"Pago herencia",IF(E56&gt;0,"Aporte anual","")))))))</f>
        <v/>
      </c>
    </row>
    <row r="57">
      <c r="C57" s="451" t="n">
        <v>47</v>
      </c>
      <c r="D57" s="452">
        <f>IF(C57=0,'00_Inputs'!$D$24,0)</f>
        <v/>
      </c>
      <c r="E57" s="452">
        <f>IF(AND(C57&gt;='00_Inputs'!$D$27,C57&lt;'00_Inputs'!$D$27+'00_Inputs'!$D$26),'00_Inputs'!$D$25,0)</f>
        <v/>
      </c>
      <c r="F57" s="452">
        <f>IF(AND(C57&gt;='00_Inputs'!$G$33,C57&lt;='00_Inputs'!$H$33),-'00_Inputs'!$K$33*(1+'00_Inputs'!$D$55)^C57,0)</f>
        <v/>
      </c>
      <c r="G57" s="452">
        <f>IF(AND(C57&gt;='00_Inputs'!$G$34,C57&lt;='00_Inputs'!$H$34),-'00_Inputs'!$K$34*(1+'00_Inputs'!$D$55)^C57,0)</f>
        <v/>
      </c>
      <c r="H57" s="452">
        <f>IF(C57='00_Inputs'!$G$35,-'00_Inputs'!$J$35,0)</f>
        <v/>
      </c>
      <c r="I57" s="452">
        <f>IF(C57='00_Inputs'!$G$36,-'00_Inputs'!$J$36,0)</f>
        <v/>
      </c>
      <c r="J57" s="453">
        <f>SUM(D57:I57)</f>
        <v/>
      </c>
      <c r="K57" s="453">
        <f>K56+J57</f>
        <v/>
      </c>
      <c r="L57" s="114">
        <f>IF(C57=0,"Capital inicial",IF(AND(F57&lt;0,G57&lt;0),"Educación de ambos hijos",IF(F57&lt;0,"Educación Vicente",IF(G57&lt;0,"Educación Emilia",IF(H57&lt;0,"Compra Villarrica",IF(I57&lt;0,"Pago herencia",IF(E57&gt;0,"Aporte anual","")))))))</f>
        <v/>
      </c>
    </row>
    <row r="58">
      <c r="C58" s="451" t="n">
        <v>48</v>
      </c>
      <c r="D58" s="452">
        <f>IF(C58=0,'00_Inputs'!$D$24,0)</f>
        <v/>
      </c>
      <c r="E58" s="452">
        <f>IF(AND(C58&gt;='00_Inputs'!$D$27,C58&lt;'00_Inputs'!$D$27+'00_Inputs'!$D$26),'00_Inputs'!$D$25,0)</f>
        <v/>
      </c>
      <c r="F58" s="452">
        <f>IF(AND(C58&gt;='00_Inputs'!$G$33,C58&lt;='00_Inputs'!$H$33),-'00_Inputs'!$K$33*(1+'00_Inputs'!$D$55)^C58,0)</f>
        <v/>
      </c>
      <c r="G58" s="452">
        <f>IF(AND(C58&gt;='00_Inputs'!$G$34,C58&lt;='00_Inputs'!$H$34),-'00_Inputs'!$K$34*(1+'00_Inputs'!$D$55)^C58,0)</f>
        <v/>
      </c>
      <c r="H58" s="452">
        <f>IF(C58='00_Inputs'!$G$35,-'00_Inputs'!$J$35,0)</f>
        <v/>
      </c>
      <c r="I58" s="452">
        <f>IF(C58='00_Inputs'!$G$36,-'00_Inputs'!$J$36,0)</f>
        <v/>
      </c>
      <c r="J58" s="453">
        <f>SUM(D58:I58)</f>
        <v/>
      </c>
      <c r="K58" s="453">
        <f>K57+J58</f>
        <v/>
      </c>
      <c r="L58" s="114">
        <f>IF(C58=0,"Capital inicial",IF(AND(F58&lt;0,G58&lt;0),"Educación de ambos hijos",IF(F58&lt;0,"Educación Vicente",IF(G58&lt;0,"Educación Emilia",IF(H58&lt;0,"Compra Villarrica",IF(I58&lt;0,"Pago herencia",IF(E58&gt;0,"Aporte anual","")))))))</f>
        <v/>
      </c>
    </row>
    <row r="59">
      <c r="C59" s="451" t="n">
        <v>49</v>
      </c>
      <c r="D59" s="452">
        <f>IF(C59=0,'00_Inputs'!$D$24,0)</f>
        <v/>
      </c>
      <c r="E59" s="452">
        <f>IF(AND(C59&gt;='00_Inputs'!$D$27,C59&lt;'00_Inputs'!$D$27+'00_Inputs'!$D$26),'00_Inputs'!$D$25,0)</f>
        <v/>
      </c>
      <c r="F59" s="452">
        <f>IF(AND(C59&gt;='00_Inputs'!$G$33,C59&lt;='00_Inputs'!$H$33),-'00_Inputs'!$K$33*(1+'00_Inputs'!$D$55)^C59,0)</f>
        <v/>
      </c>
      <c r="G59" s="452">
        <f>IF(AND(C59&gt;='00_Inputs'!$G$34,C59&lt;='00_Inputs'!$H$34),-'00_Inputs'!$K$34*(1+'00_Inputs'!$D$55)^C59,0)</f>
        <v/>
      </c>
      <c r="H59" s="452">
        <f>IF(C59='00_Inputs'!$G$35,-'00_Inputs'!$J$35,0)</f>
        <v/>
      </c>
      <c r="I59" s="452">
        <f>IF(C59='00_Inputs'!$G$36,-'00_Inputs'!$J$36,0)</f>
        <v/>
      </c>
      <c r="J59" s="453">
        <f>SUM(D59:I59)</f>
        <v/>
      </c>
      <c r="K59" s="453">
        <f>K58+J59</f>
        <v/>
      </c>
      <c r="L59" s="114">
        <f>IF(C59=0,"Capital inicial",IF(AND(F59&lt;0,G59&lt;0),"Educación de ambos hijos",IF(F59&lt;0,"Educación Vicente",IF(G59&lt;0,"Educación Emilia",IF(H59&lt;0,"Compra Villarrica",IF(I59&lt;0,"Pago herencia",IF(E59&gt;0,"Aporte anual","")))))))</f>
        <v/>
      </c>
    </row>
    <row r="60">
      <c r="C60" s="451" t="n">
        <v>50</v>
      </c>
      <c r="D60" s="452">
        <f>IF(C60=0,'00_Inputs'!$D$24,0)</f>
        <v/>
      </c>
      <c r="E60" s="452">
        <f>IF(AND(C60&gt;='00_Inputs'!$D$27,C60&lt;'00_Inputs'!$D$27+'00_Inputs'!$D$26),'00_Inputs'!$D$25,0)</f>
        <v/>
      </c>
      <c r="F60" s="452">
        <f>IF(AND(C60&gt;='00_Inputs'!$G$33,C60&lt;='00_Inputs'!$H$33),-'00_Inputs'!$K$33*(1+'00_Inputs'!$D$55)^C60,0)</f>
        <v/>
      </c>
      <c r="G60" s="452">
        <f>IF(AND(C60&gt;='00_Inputs'!$G$34,C60&lt;='00_Inputs'!$H$34),-'00_Inputs'!$K$34*(1+'00_Inputs'!$D$55)^C60,0)</f>
        <v/>
      </c>
      <c r="H60" s="452">
        <f>IF(C60='00_Inputs'!$G$35,-'00_Inputs'!$J$35,0)</f>
        <v/>
      </c>
      <c r="I60" s="452">
        <f>IF(C60='00_Inputs'!$G$36,-'00_Inputs'!$J$36,0)</f>
        <v/>
      </c>
      <c r="J60" s="453">
        <f>SUM(D60:I60)</f>
        <v/>
      </c>
      <c r="K60" s="453">
        <f>K59+J60</f>
        <v/>
      </c>
      <c r="L60" s="114">
        <f>IF(C60=0,"Capital inicial",IF(AND(F60&lt;0,G60&lt;0),"Educación de ambos hijos",IF(F60&lt;0,"Educación Vicente",IF(G60&lt;0,"Educación Emilia",IF(H60&lt;0,"Compra Villarrica",IF(I60&lt;0,"Pago herencia",IF(E60&gt;0,"Aporte anual","")))))))</f>
        <v/>
      </c>
    </row>
  </sheetData>
  <mergeCells count="5">
    <mergeCell ref="N8:Q8"/>
    <mergeCell ref="C8:L8"/>
    <mergeCell ref="C3:L3"/>
    <mergeCell ref="C2:L2"/>
    <mergeCell ref="N18:Q18"/>
  </mergeCells>
  <conditionalFormatting sqref="Q10:Q15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C2:Q73"/>
  <sheetViews>
    <sheetView showGridLines="0" workbookViewId="0">
      <pane xSplit="3" ySplit="21" topLeftCell="D22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18" customWidth="1" min="4" max="4"/>
    <col width="15" customWidth="1" min="5" max="5"/>
    <col width="30" customWidth="1" min="6" max="6"/>
    <col width="18" customWidth="1" min="7" max="7"/>
    <col width="26" customWidth="1" min="8" max="8"/>
    <col width="18" customWidth="1" min="9" max="9"/>
    <col width="18" customWidth="1" min="10" max="10"/>
    <col width="20" customWidth="1" min="11" max="11"/>
    <col width="28" customWidth="1" min="12" max="12"/>
    <col width="3" customWidth="1" min="13" max="13"/>
    <col width="23" customWidth="1" min="14" max="14"/>
    <col width="18" customWidth="1" min="15" max="15"/>
    <col width="18" customWidth="1" min="16" max="16"/>
    <col width="37" customWidth="1" min="17" max="17"/>
  </cols>
  <sheetData>
    <row r="2" ht="30" customHeight="1">
      <c r="C2" s="455" t="inlineStr">
        <is>
          <t>MODELO NEXUM - RETORNOS MÍNIMOS REQUERIDOS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Las tasas resuelven VPN = 0. No son retornos esperados ni garantizados de la cartera.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443" t="inlineStr">
        <is>
          <t>1. TIR GLOBAL DEL MANDATO</t>
        </is>
      </c>
      <c r="D5" s="425" t="n"/>
      <c r="E5" s="425" t="n"/>
      <c r="F5" s="425" t="n"/>
      <c r="H5" s="443" t="inlineStr">
        <is>
          <t>2. FONDEO LDI DE EDUCACIÓN</t>
        </is>
      </c>
      <c r="I5" s="425" t="n"/>
      <c r="J5" s="425" t="n"/>
      <c r="K5" s="425" t="n"/>
      <c r="L5" s="425" t="n"/>
      <c r="N5" s="443" t="inlineStr">
        <is>
          <t>CONTROLES</t>
        </is>
      </c>
      <c r="O5" s="425" t="n"/>
      <c r="P5" s="425" t="n"/>
      <c r="Q5" s="425" t="n"/>
    </row>
    <row r="6">
      <c r="C6" s="141" t="inlineStr">
        <is>
          <t>TIR real requerida</t>
        </is>
      </c>
      <c r="D6" s="445">
        <f>IRR('01_Flujos'!J10:J60,0.045)</f>
        <v/>
      </c>
      <c r="E6" s="141" t="inlineStr">
        <is>
          <t>% anual</t>
        </is>
      </c>
      <c r="F6" s="141" t="inlineStr">
        <is>
          <t>IRR de todos los flujos</t>
        </is>
      </c>
      <c r="H6" s="141" t="inlineStr">
        <is>
          <t>Tasa real LDI de referencia</t>
        </is>
      </c>
      <c r="I6" s="456">
        <f>'00_Inputs'!D72</f>
        <v/>
      </c>
      <c r="J6" s="141" t="inlineStr">
        <is>
          <t>% anual</t>
        </is>
      </c>
      <c r="K6" s="141" t="inlineStr">
        <is>
          <t>Proxy provisional</t>
        </is>
      </c>
      <c r="L6" s="141" t="inlineStr">
        <is>
          <t>Fisher: Treasury e inflación</t>
        </is>
      </c>
      <c r="N6" s="137" t="inlineStr">
        <is>
          <t>Control</t>
        </is>
      </c>
      <c r="O6" s="137" t="inlineStr">
        <is>
          <t>Resultado</t>
        </is>
      </c>
      <c r="P6" s="137" t="inlineStr">
        <is>
          <t>Tolerancia</t>
        </is>
      </c>
      <c r="Q6" s="137" t="inlineStr">
        <is>
          <t>Estado</t>
        </is>
      </c>
    </row>
    <row r="7">
      <c r="C7" s="141" t="inlineStr">
        <is>
          <t>VP de entradas</t>
        </is>
      </c>
      <c r="D7" s="457">
        <f>SUM(G23:G73)</f>
        <v/>
      </c>
      <c r="E7" s="141" t="inlineStr">
        <is>
          <t>USD</t>
        </is>
      </c>
      <c r="F7" s="141" t="inlineStr">
        <is>
          <t>Descontado a la TIR global</t>
        </is>
      </c>
      <c r="H7" s="141" t="inlineStr">
        <is>
          <t>Capital requerido hoy</t>
        </is>
      </c>
      <c r="I7" s="458">
        <f>SUM(J23:J73)</f>
        <v/>
      </c>
      <c r="J7" s="141" t="inlineStr">
        <is>
          <t>USD</t>
        </is>
      </c>
      <c r="K7" s="141" t="inlineStr">
        <is>
          <t>VP de los diez pagos</t>
        </is>
      </c>
      <c r="L7" s="141" t="inlineStr">
        <is>
          <t>Resultado del modelo</t>
        </is>
      </c>
      <c r="N7" s="46" t="inlineStr">
        <is>
          <t>VPN global</t>
        </is>
      </c>
      <c r="O7" s="459">
        <f>D9</f>
        <v/>
      </c>
      <c r="P7" s="459" t="n">
        <v>0.01</v>
      </c>
      <c r="Q7" s="163">
        <f>IF(ABS(O7)&lt;=P7,"OK","ERROR")</f>
        <v/>
      </c>
    </row>
    <row r="8">
      <c r="C8" s="141" t="inlineStr">
        <is>
          <t>VP de desembolsos</t>
        </is>
      </c>
      <c r="D8" s="457">
        <f>SUM(H23:H73)</f>
        <v/>
      </c>
      <c r="E8" s="141" t="inlineStr">
        <is>
          <t>USD</t>
        </is>
      </c>
      <c r="F8" s="141" t="inlineStr">
        <is>
          <t>Descontado a la TIR global</t>
        </is>
      </c>
      <c r="H8" s="141" t="inlineStr">
        <is>
          <t>Participación implícita inicial</t>
        </is>
      </c>
      <c r="I8" s="456">
        <f>I7/'00_Inputs'!D24</f>
        <v/>
      </c>
      <c r="J8" s="141" t="inlineStr">
        <is>
          <t>% capital inicial</t>
        </is>
      </c>
      <c r="K8" s="141" t="inlineStr">
        <is>
          <t>No es un peso prefijado</t>
        </is>
      </c>
      <c r="L8" s="141" t="inlineStr">
        <is>
          <t>Capital LDI / capital inicial</t>
        </is>
      </c>
      <c r="N8" s="46" t="inlineStr">
        <is>
          <t>VP entradas vs salidas</t>
        </is>
      </c>
      <c r="O8" s="459">
        <f>D7-D8</f>
        <v/>
      </c>
      <c r="P8" s="459" t="n">
        <v>0.01</v>
      </c>
      <c r="Q8" s="163">
        <f>IF(ABS(O8)&lt;=P8,"OK","ERROR")</f>
        <v/>
      </c>
    </row>
    <row r="9">
      <c r="C9" s="141" t="inlineStr">
        <is>
          <t>Diferencia de VP</t>
        </is>
      </c>
      <c r="D9" s="457">
        <f>D7-D8</f>
        <v/>
      </c>
      <c r="E9" s="141" t="inlineStr">
        <is>
          <t>USD</t>
        </is>
      </c>
      <c r="F9" s="141" t="inlineStr">
        <is>
          <t>Debe ser 0</t>
        </is>
      </c>
      <c r="H9" s="141" t="inlineStr">
        <is>
          <t>Capital inicial residual</t>
        </is>
      </c>
      <c r="I9" s="458">
        <f>'00_Inputs'!D24-I7</f>
        <v/>
      </c>
      <c r="J9" s="141" t="inlineStr">
        <is>
          <t>USD</t>
        </is>
      </c>
      <c r="K9" s="141" t="inlineStr">
        <is>
          <t>Capital para crecimiento</t>
        </is>
      </c>
      <c r="L9" s="141" t="inlineStr">
        <is>
          <t>Capital inicial menos LDI</t>
        </is>
      </c>
      <c r="N9" s="46" t="inlineStr">
        <is>
          <t>Funding educación</t>
        </is>
      </c>
      <c r="O9" s="459">
        <f>I10-1</f>
        <v/>
      </c>
      <c r="P9" s="459" t="n">
        <v>1e-06</v>
      </c>
      <c r="Q9" s="163">
        <f>IF(ABS(O9)&lt;=P9,"OK","ERROR")</f>
        <v/>
      </c>
    </row>
    <row r="10">
      <c r="C10" s="141" t="inlineStr">
        <is>
          <t>Lectura</t>
        </is>
      </c>
      <c r="D10" s="149">
        <f>IF(ABS(D9)&lt;0.01,"EQUILIBRIO VERIFICADO","REVISAR")</f>
        <v/>
      </c>
      <c r="E10" s="141" t="n"/>
      <c r="F10" s="141" t="inlineStr">
        <is>
          <t>Tasa de equilibrio del plan completo</t>
        </is>
      </c>
      <c r="H10" s="141" t="inlineStr">
        <is>
          <t>Funding ratio inicial</t>
        </is>
      </c>
      <c r="I10" s="460">
        <f>I7/I7</f>
        <v/>
      </c>
      <c r="J10" s="141" t="inlineStr">
        <is>
          <t>x</t>
        </is>
      </c>
      <c r="K10" s="141" t="inlineStr">
        <is>
          <t>Capital asignado / VP educación</t>
        </is>
      </c>
      <c r="L10" s="141" t="inlineStr">
        <is>
          <t>Debe ser 1,00x</t>
        </is>
      </c>
      <c r="N10" s="46" t="inlineStr">
        <is>
          <t>VPN crecimiento</t>
        </is>
      </c>
      <c r="O10" s="459">
        <f>D17</f>
        <v/>
      </c>
      <c r="P10" s="459" t="n">
        <v>0.01</v>
      </c>
      <c r="Q10" s="163">
        <f>IF(ABS(O10)&lt;=P10,"OK","ERROR")</f>
        <v/>
      </c>
    </row>
    <row r="11">
      <c r="H11" s="141" t="inlineStr">
        <is>
          <t>Estado tasa LDI</t>
        </is>
      </c>
      <c r="I11" s="150">
        <f>'00_Inputs'!D73</f>
        <v/>
      </c>
      <c r="J11" s="141" t="n"/>
      <c r="K11" s="141" t="inlineStr">
        <is>
          <t>Pendiente de validación</t>
        </is>
      </c>
      <c r="L11" s="141" t="inlineStr">
        <is>
          <t>Se revisará con curva e instrumentos</t>
        </is>
      </c>
      <c r="N11" s="46" t="inlineStr">
        <is>
          <t>Capital inicial asignado</t>
        </is>
      </c>
      <c r="O11" s="459">
        <f>I7+I9-'00_Inputs'!D24</f>
        <v/>
      </c>
      <c r="P11" s="459" t="n">
        <v>0.01</v>
      </c>
      <c r="Q11" s="163">
        <f>IF(ABS(O11)&lt;=P11,"OK","ERROR")</f>
        <v/>
      </c>
    </row>
    <row r="12">
      <c r="C12" s="443" t="inlineStr">
        <is>
          <t>3. BLOQUE DE CRECIMIENTO</t>
        </is>
      </c>
      <c r="D12" s="425" t="n"/>
      <c r="E12" s="425" t="n"/>
      <c r="F12" s="425" t="n"/>
      <c r="N12" s="46" t="inlineStr">
        <is>
          <t>Tasas positivas</t>
        </is>
      </c>
      <c r="O12" s="461">
        <f>MIN(D6,I6,D16)</f>
        <v/>
      </c>
      <c r="P12" s="46" t="n">
        <v>0</v>
      </c>
      <c r="Q12" s="163">
        <f>IF(O12&gt;0,"OK","ERROR")</f>
        <v/>
      </c>
    </row>
    <row r="13">
      <c r="C13" s="141" t="inlineStr">
        <is>
          <t>Capital inicial residual</t>
        </is>
      </c>
      <c r="D13" s="457">
        <f>I9</f>
        <v/>
      </c>
      <c r="E13" s="141" t="inlineStr">
        <is>
          <t>USD</t>
        </is>
      </c>
      <c r="F13" s="141" t="inlineStr">
        <is>
          <t>Después de prefinanciar educación</t>
        </is>
      </c>
    </row>
    <row r="14">
      <c r="C14" s="141" t="inlineStr">
        <is>
          <t>Aportes asignados</t>
        </is>
      </c>
      <c r="D14" s="457">
        <f>'00_Inputs'!D29</f>
        <v/>
      </c>
      <c r="E14" s="141" t="inlineStr">
        <is>
          <t>USD</t>
        </is>
      </c>
      <c r="F14" s="141" t="inlineStr">
        <is>
          <t>19 aportes contractuales</t>
        </is>
      </c>
    </row>
    <row r="15">
      <c r="C15" s="141" t="inlineStr">
        <is>
          <t>Objetivos financiados</t>
        </is>
      </c>
      <c r="D15" s="457">
        <f>'00_Inputs'!J35+'00_Inputs'!J36</f>
        <v/>
      </c>
      <c r="E15" s="141" t="inlineStr">
        <is>
          <t>USD</t>
        </is>
      </c>
      <c r="F15" s="141" t="inlineStr">
        <is>
          <t>Propiedad más herencia</t>
        </is>
      </c>
      <c r="N15" s="443" t="inlineStr">
        <is>
          <t>LECTURA METODOLÓGICA</t>
        </is>
      </c>
      <c r="O15" s="425" t="n"/>
      <c r="P15" s="425" t="n"/>
      <c r="Q15" s="425" t="n"/>
    </row>
    <row r="16">
      <c r="C16" s="141" t="inlineStr">
        <is>
          <t>TIR real mínima del bloque</t>
        </is>
      </c>
      <c r="D16" s="445">
        <f>IRR(K23:K73,0.05)</f>
        <v/>
      </c>
      <c r="E16" s="141" t="inlineStr">
        <is>
          <t>% anual</t>
        </is>
      </c>
      <c r="F16" s="141" t="inlineStr">
        <is>
          <t>IRR del flujo de crecimiento</t>
        </is>
      </c>
      <c r="N16" s="168" t="inlineStr">
        <is>
          <t>TIR global</t>
        </is>
      </c>
      <c r="O16" s="462">
        <f>D6</f>
        <v/>
      </c>
      <c r="P16" s="168" t="n"/>
      <c r="Q16" s="168" t="inlineStr">
        <is>
          <t>Tasa de equilibrio de todos los flujos</t>
        </is>
      </c>
    </row>
    <row r="17">
      <c r="C17" s="141" t="inlineStr">
        <is>
          <t>VPN del bloque a su TIR</t>
        </is>
      </c>
      <c r="D17" s="457">
        <f>SUM(L23:L73)</f>
        <v/>
      </c>
      <c r="E17" s="141" t="inlineStr">
        <is>
          <t>USD</t>
        </is>
      </c>
      <c r="F17" s="141" t="inlineStr">
        <is>
          <t>Debe ser 0</t>
        </is>
      </c>
      <c r="N17" s="168" t="inlineStr">
        <is>
          <t>Tasa LDI</t>
        </is>
      </c>
      <c r="O17" s="462">
        <f>I6</f>
        <v/>
      </c>
      <c r="P17" s="168" t="n"/>
      <c r="Q17" s="168" t="inlineStr">
        <is>
          <t>Tasa de descuento provisional; no es output del IRR</t>
        </is>
      </c>
    </row>
    <row r="18">
      <c r="C18" s="141" t="inlineStr">
        <is>
          <t>Diferencia frente a TIR global</t>
        </is>
      </c>
      <c r="D18" s="463">
        <f>(D16-D6)*100</f>
        <v/>
      </c>
      <c r="E18" s="141" t="inlineStr">
        <is>
          <t>p.p.</t>
        </is>
      </c>
      <c r="F18" s="141" t="inlineStr">
        <is>
          <t>Exigencia adicional del bloque</t>
        </is>
      </c>
      <c r="N18" s="168" t="inlineStr">
        <is>
          <t>Participación LDI</t>
        </is>
      </c>
      <c r="O18" s="462">
        <f>I8</f>
        <v/>
      </c>
      <c r="P18" s="168" t="n"/>
      <c r="Q18" s="168" t="inlineStr">
        <is>
          <t>Resultado del VP de educación / capital inicial</t>
        </is>
      </c>
    </row>
    <row r="19">
      <c r="N19" s="168" t="inlineStr">
        <is>
          <t>TIR crecimiento</t>
        </is>
      </c>
      <c r="O19" s="462">
        <f>D16</f>
        <v/>
      </c>
      <c r="P19" s="168" t="n"/>
      <c r="Q19" s="168" t="inlineStr">
        <is>
          <t>Hurdle para propiedad y herencia con aportes</t>
        </is>
      </c>
    </row>
    <row r="21">
      <c r="C21" s="443" t="inlineStr">
        <is>
          <t>COMPROBACIÓN DE VALOR PRESENTE POR AÑO</t>
        </is>
      </c>
      <c r="D21" s="425" t="n"/>
      <c r="E21" s="425" t="n"/>
      <c r="F21" s="425" t="n"/>
      <c r="G21" s="425" t="n"/>
      <c r="H21" s="425" t="n"/>
      <c r="I21" s="425" t="n"/>
      <c r="J21" s="425" t="n"/>
      <c r="K21" s="425" t="n"/>
      <c r="L21" s="425" t="n"/>
    </row>
    <row r="22" ht="32" customHeight="1">
      <c r="C22" s="157" t="inlineStr">
        <is>
          <t>Año</t>
        </is>
      </c>
      <c r="D22" s="157" t="inlineStr">
        <is>
          <t>Flujo global</t>
        </is>
      </c>
      <c r="E22" s="157" t="inlineStr">
        <is>
          <t>Factor descuento</t>
        </is>
      </c>
      <c r="F22" s="157" t="inlineStr">
        <is>
          <t>VP global</t>
        </is>
      </c>
      <c r="G22" s="157" t="inlineStr">
        <is>
          <t>VP entradas</t>
        </is>
      </c>
      <c r="H22" s="157" t="inlineStr">
        <is>
          <t>VP desembolsos</t>
        </is>
      </c>
      <c r="I22" s="157" t="inlineStr">
        <is>
          <t>Flujo educación</t>
        </is>
      </c>
      <c r="J22" s="157" t="inlineStr">
        <is>
          <t>VP educación</t>
        </is>
      </c>
      <c r="K22" s="157" t="inlineStr">
        <is>
          <t>Flujo crecimiento</t>
        </is>
      </c>
      <c r="L22" s="157" t="inlineStr">
        <is>
          <t>VP crecimiento</t>
        </is>
      </c>
    </row>
    <row r="23">
      <c r="C23" s="464">
        <f>'01_Flujos'!C10</f>
        <v/>
      </c>
      <c r="D23" s="452">
        <f>'01_Flujos'!J10</f>
        <v/>
      </c>
      <c r="E23" s="459">
        <f>1/(1+$D$6)^C23</f>
        <v/>
      </c>
      <c r="F23" s="465">
        <f>D23*E23</f>
        <v/>
      </c>
      <c r="G23" s="465">
        <f>IF(F23&gt;0,F23,0)</f>
        <v/>
      </c>
      <c r="H23" s="465">
        <f>IF(F23&lt;0,-F23,0)</f>
        <v/>
      </c>
      <c r="I23" s="452">
        <f>'01_Flujos'!F10+'01_Flujos'!G10</f>
        <v/>
      </c>
      <c r="J23" s="465">
        <f>-I23/(1+$I$6)^C23</f>
        <v/>
      </c>
      <c r="K23" s="465">
        <f>$I$9</f>
        <v/>
      </c>
      <c r="L23" s="465">
        <f>K23/(1+$D$16)^C23</f>
        <v/>
      </c>
    </row>
    <row r="24">
      <c r="C24" s="464">
        <f>'01_Flujos'!C11</f>
        <v/>
      </c>
      <c r="D24" s="452">
        <f>'01_Flujos'!J11</f>
        <v/>
      </c>
      <c r="E24" s="459">
        <f>1/(1+$D$6)^C24</f>
        <v/>
      </c>
      <c r="F24" s="465">
        <f>D24*E24</f>
        <v/>
      </c>
      <c r="G24" s="465">
        <f>IF(F24&gt;0,F24,0)</f>
        <v/>
      </c>
      <c r="H24" s="465">
        <f>IF(F24&lt;0,-F24,0)</f>
        <v/>
      </c>
      <c r="I24" s="452">
        <f>'01_Flujos'!F11+'01_Flujos'!G11</f>
        <v/>
      </c>
      <c r="J24" s="465">
        <f>-I24/(1+$I$6)^C24</f>
        <v/>
      </c>
      <c r="K24" s="465">
        <f>'01_Flujos'!E11+'01_Flujos'!H11+'01_Flujos'!I11</f>
        <v/>
      </c>
      <c r="L24" s="465">
        <f>K24/(1+$D$16)^C24</f>
        <v/>
      </c>
    </row>
    <row r="25">
      <c r="C25" s="464">
        <f>'01_Flujos'!C12</f>
        <v/>
      </c>
      <c r="D25" s="452">
        <f>'01_Flujos'!J12</f>
        <v/>
      </c>
      <c r="E25" s="459">
        <f>1/(1+$D$6)^C25</f>
        <v/>
      </c>
      <c r="F25" s="465">
        <f>D25*E25</f>
        <v/>
      </c>
      <c r="G25" s="465">
        <f>IF(F25&gt;0,F25,0)</f>
        <v/>
      </c>
      <c r="H25" s="465">
        <f>IF(F25&lt;0,-F25,0)</f>
        <v/>
      </c>
      <c r="I25" s="452">
        <f>'01_Flujos'!F12+'01_Flujos'!G12</f>
        <v/>
      </c>
      <c r="J25" s="465">
        <f>-I25/(1+$I$6)^C25</f>
        <v/>
      </c>
      <c r="K25" s="465">
        <f>'01_Flujos'!E12+'01_Flujos'!H12+'01_Flujos'!I12</f>
        <v/>
      </c>
      <c r="L25" s="465">
        <f>K25/(1+$D$16)^C25</f>
        <v/>
      </c>
    </row>
    <row r="26">
      <c r="C26" s="464">
        <f>'01_Flujos'!C13</f>
        <v/>
      </c>
      <c r="D26" s="452">
        <f>'01_Flujos'!J13</f>
        <v/>
      </c>
      <c r="E26" s="459">
        <f>1/(1+$D$6)^C26</f>
        <v/>
      </c>
      <c r="F26" s="465">
        <f>D26*E26</f>
        <v/>
      </c>
      <c r="G26" s="465">
        <f>IF(F26&gt;0,F26,0)</f>
        <v/>
      </c>
      <c r="H26" s="465">
        <f>IF(F26&lt;0,-F26,0)</f>
        <v/>
      </c>
      <c r="I26" s="452">
        <f>'01_Flujos'!F13+'01_Flujos'!G13</f>
        <v/>
      </c>
      <c r="J26" s="465">
        <f>-I26/(1+$I$6)^C26</f>
        <v/>
      </c>
      <c r="K26" s="465">
        <f>'01_Flujos'!E13+'01_Flujos'!H13+'01_Flujos'!I13</f>
        <v/>
      </c>
      <c r="L26" s="465">
        <f>K26/(1+$D$16)^C26</f>
        <v/>
      </c>
    </row>
    <row r="27">
      <c r="C27" s="464">
        <f>'01_Flujos'!C14</f>
        <v/>
      </c>
      <c r="D27" s="452">
        <f>'01_Flujos'!J14</f>
        <v/>
      </c>
      <c r="E27" s="459">
        <f>1/(1+$D$6)^C27</f>
        <v/>
      </c>
      <c r="F27" s="465">
        <f>D27*E27</f>
        <v/>
      </c>
      <c r="G27" s="465">
        <f>IF(F27&gt;0,F27,0)</f>
        <v/>
      </c>
      <c r="H27" s="465">
        <f>IF(F27&lt;0,-F27,0)</f>
        <v/>
      </c>
      <c r="I27" s="452">
        <f>'01_Flujos'!F14+'01_Flujos'!G14</f>
        <v/>
      </c>
      <c r="J27" s="465">
        <f>-I27/(1+$I$6)^C27</f>
        <v/>
      </c>
      <c r="K27" s="465">
        <f>'01_Flujos'!E14+'01_Flujos'!H14+'01_Flujos'!I14</f>
        <v/>
      </c>
      <c r="L27" s="465">
        <f>K27/(1+$D$16)^C27</f>
        <v/>
      </c>
    </row>
    <row r="28">
      <c r="C28" s="464">
        <f>'01_Flujos'!C15</f>
        <v/>
      </c>
      <c r="D28" s="452">
        <f>'01_Flujos'!J15</f>
        <v/>
      </c>
      <c r="E28" s="459">
        <f>1/(1+$D$6)^C28</f>
        <v/>
      </c>
      <c r="F28" s="465">
        <f>D28*E28</f>
        <v/>
      </c>
      <c r="G28" s="465">
        <f>IF(F28&gt;0,F28,0)</f>
        <v/>
      </c>
      <c r="H28" s="465">
        <f>IF(F28&lt;0,-F28,0)</f>
        <v/>
      </c>
      <c r="I28" s="452">
        <f>'01_Flujos'!F15+'01_Flujos'!G15</f>
        <v/>
      </c>
      <c r="J28" s="465">
        <f>-I28/(1+$I$6)^C28</f>
        <v/>
      </c>
      <c r="K28" s="465">
        <f>'01_Flujos'!E15+'01_Flujos'!H15+'01_Flujos'!I15</f>
        <v/>
      </c>
      <c r="L28" s="465">
        <f>K28/(1+$D$16)^C28</f>
        <v/>
      </c>
    </row>
    <row r="29">
      <c r="C29" s="464">
        <f>'01_Flujos'!C16</f>
        <v/>
      </c>
      <c r="D29" s="452">
        <f>'01_Flujos'!J16</f>
        <v/>
      </c>
      <c r="E29" s="459">
        <f>1/(1+$D$6)^C29</f>
        <v/>
      </c>
      <c r="F29" s="465">
        <f>D29*E29</f>
        <v/>
      </c>
      <c r="G29" s="465">
        <f>IF(F29&gt;0,F29,0)</f>
        <v/>
      </c>
      <c r="H29" s="465">
        <f>IF(F29&lt;0,-F29,0)</f>
        <v/>
      </c>
      <c r="I29" s="452">
        <f>'01_Flujos'!F16+'01_Flujos'!G16</f>
        <v/>
      </c>
      <c r="J29" s="465">
        <f>-I29/(1+$I$6)^C29</f>
        <v/>
      </c>
      <c r="K29" s="465">
        <f>'01_Flujos'!E16+'01_Flujos'!H16+'01_Flujos'!I16</f>
        <v/>
      </c>
      <c r="L29" s="465">
        <f>K29/(1+$D$16)^C29</f>
        <v/>
      </c>
    </row>
    <row r="30">
      <c r="C30" s="464">
        <f>'01_Flujos'!C17</f>
        <v/>
      </c>
      <c r="D30" s="452">
        <f>'01_Flujos'!J17</f>
        <v/>
      </c>
      <c r="E30" s="459">
        <f>1/(1+$D$6)^C30</f>
        <v/>
      </c>
      <c r="F30" s="465">
        <f>D30*E30</f>
        <v/>
      </c>
      <c r="G30" s="465">
        <f>IF(F30&gt;0,F30,0)</f>
        <v/>
      </c>
      <c r="H30" s="465">
        <f>IF(F30&lt;0,-F30,0)</f>
        <v/>
      </c>
      <c r="I30" s="452">
        <f>'01_Flujos'!F17+'01_Flujos'!G17</f>
        <v/>
      </c>
      <c r="J30" s="465">
        <f>-I30/(1+$I$6)^C30</f>
        <v/>
      </c>
      <c r="K30" s="465">
        <f>'01_Flujos'!E17+'01_Flujos'!H17+'01_Flujos'!I17</f>
        <v/>
      </c>
      <c r="L30" s="465">
        <f>K30/(1+$D$16)^C30</f>
        <v/>
      </c>
    </row>
    <row r="31">
      <c r="C31" s="464">
        <f>'01_Flujos'!C18</f>
        <v/>
      </c>
      <c r="D31" s="452">
        <f>'01_Flujos'!J18</f>
        <v/>
      </c>
      <c r="E31" s="459">
        <f>1/(1+$D$6)^C31</f>
        <v/>
      </c>
      <c r="F31" s="465">
        <f>D31*E31</f>
        <v/>
      </c>
      <c r="G31" s="465">
        <f>IF(F31&gt;0,F31,0)</f>
        <v/>
      </c>
      <c r="H31" s="465">
        <f>IF(F31&lt;0,-F31,0)</f>
        <v/>
      </c>
      <c r="I31" s="452">
        <f>'01_Flujos'!F18+'01_Flujos'!G18</f>
        <v/>
      </c>
      <c r="J31" s="465">
        <f>-I31/(1+$I$6)^C31</f>
        <v/>
      </c>
      <c r="K31" s="465">
        <f>'01_Flujos'!E18+'01_Flujos'!H18+'01_Flujos'!I18</f>
        <v/>
      </c>
      <c r="L31" s="465">
        <f>K31/(1+$D$16)^C31</f>
        <v/>
      </c>
    </row>
    <row r="32">
      <c r="C32" s="464">
        <f>'01_Flujos'!C19</f>
        <v/>
      </c>
      <c r="D32" s="452">
        <f>'01_Flujos'!J19</f>
        <v/>
      </c>
      <c r="E32" s="459">
        <f>1/(1+$D$6)^C32</f>
        <v/>
      </c>
      <c r="F32" s="465">
        <f>D32*E32</f>
        <v/>
      </c>
      <c r="G32" s="465">
        <f>IF(F32&gt;0,F32,0)</f>
        <v/>
      </c>
      <c r="H32" s="465">
        <f>IF(F32&lt;0,-F32,0)</f>
        <v/>
      </c>
      <c r="I32" s="452">
        <f>'01_Flujos'!F19+'01_Flujos'!G19</f>
        <v/>
      </c>
      <c r="J32" s="465">
        <f>-I32/(1+$I$6)^C32</f>
        <v/>
      </c>
      <c r="K32" s="465">
        <f>'01_Flujos'!E19+'01_Flujos'!H19+'01_Flujos'!I19</f>
        <v/>
      </c>
      <c r="L32" s="465">
        <f>K32/(1+$D$16)^C32</f>
        <v/>
      </c>
    </row>
    <row r="33">
      <c r="C33" s="464">
        <f>'01_Flujos'!C20</f>
        <v/>
      </c>
      <c r="D33" s="452">
        <f>'01_Flujos'!J20</f>
        <v/>
      </c>
      <c r="E33" s="459">
        <f>1/(1+$D$6)^C33</f>
        <v/>
      </c>
      <c r="F33" s="465">
        <f>D33*E33</f>
        <v/>
      </c>
      <c r="G33" s="465">
        <f>IF(F33&gt;0,F33,0)</f>
        <v/>
      </c>
      <c r="H33" s="465">
        <f>IF(F33&lt;0,-F33,0)</f>
        <v/>
      </c>
      <c r="I33" s="452">
        <f>'01_Flujos'!F20+'01_Flujos'!G20</f>
        <v/>
      </c>
      <c r="J33" s="465">
        <f>-I33/(1+$I$6)^C33</f>
        <v/>
      </c>
      <c r="K33" s="465">
        <f>'01_Flujos'!E20+'01_Flujos'!H20+'01_Flujos'!I20</f>
        <v/>
      </c>
      <c r="L33" s="465">
        <f>K33/(1+$D$16)^C33</f>
        <v/>
      </c>
    </row>
    <row r="34">
      <c r="C34" s="464">
        <f>'01_Flujos'!C21</f>
        <v/>
      </c>
      <c r="D34" s="452">
        <f>'01_Flujos'!J21</f>
        <v/>
      </c>
      <c r="E34" s="459">
        <f>1/(1+$D$6)^C34</f>
        <v/>
      </c>
      <c r="F34" s="465">
        <f>D34*E34</f>
        <v/>
      </c>
      <c r="G34" s="465">
        <f>IF(F34&gt;0,F34,0)</f>
        <v/>
      </c>
      <c r="H34" s="465">
        <f>IF(F34&lt;0,-F34,0)</f>
        <v/>
      </c>
      <c r="I34" s="452">
        <f>'01_Flujos'!F21+'01_Flujos'!G21</f>
        <v/>
      </c>
      <c r="J34" s="465">
        <f>-I34/(1+$I$6)^C34</f>
        <v/>
      </c>
      <c r="K34" s="465">
        <f>'01_Flujos'!E21+'01_Flujos'!H21+'01_Flujos'!I21</f>
        <v/>
      </c>
      <c r="L34" s="465">
        <f>K34/(1+$D$16)^C34</f>
        <v/>
      </c>
    </row>
    <row r="35">
      <c r="C35" s="464">
        <f>'01_Flujos'!C22</f>
        <v/>
      </c>
      <c r="D35" s="452">
        <f>'01_Flujos'!J22</f>
        <v/>
      </c>
      <c r="E35" s="459">
        <f>1/(1+$D$6)^C35</f>
        <v/>
      </c>
      <c r="F35" s="465">
        <f>D35*E35</f>
        <v/>
      </c>
      <c r="G35" s="465">
        <f>IF(F35&gt;0,F35,0)</f>
        <v/>
      </c>
      <c r="H35" s="465">
        <f>IF(F35&lt;0,-F35,0)</f>
        <v/>
      </c>
      <c r="I35" s="452">
        <f>'01_Flujos'!F22+'01_Flujos'!G22</f>
        <v/>
      </c>
      <c r="J35" s="465">
        <f>-I35/(1+$I$6)^C35</f>
        <v/>
      </c>
      <c r="K35" s="465">
        <f>'01_Flujos'!E22+'01_Flujos'!H22+'01_Flujos'!I22</f>
        <v/>
      </c>
      <c r="L35" s="465">
        <f>K35/(1+$D$16)^C35</f>
        <v/>
      </c>
    </row>
    <row r="36">
      <c r="C36" s="464">
        <f>'01_Flujos'!C23</f>
        <v/>
      </c>
      <c r="D36" s="452">
        <f>'01_Flujos'!J23</f>
        <v/>
      </c>
      <c r="E36" s="459">
        <f>1/(1+$D$6)^C36</f>
        <v/>
      </c>
      <c r="F36" s="465">
        <f>D36*E36</f>
        <v/>
      </c>
      <c r="G36" s="465">
        <f>IF(F36&gt;0,F36,0)</f>
        <v/>
      </c>
      <c r="H36" s="465">
        <f>IF(F36&lt;0,-F36,0)</f>
        <v/>
      </c>
      <c r="I36" s="452">
        <f>'01_Flujos'!F23+'01_Flujos'!G23</f>
        <v/>
      </c>
      <c r="J36" s="465">
        <f>-I36/(1+$I$6)^C36</f>
        <v/>
      </c>
      <c r="K36" s="465">
        <f>'01_Flujos'!E23+'01_Flujos'!H23+'01_Flujos'!I23</f>
        <v/>
      </c>
      <c r="L36" s="465">
        <f>K36/(1+$D$16)^C36</f>
        <v/>
      </c>
    </row>
    <row r="37">
      <c r="C37" s="464">
        <f>'01_Flujos'!C24</f>
        <v/>
      </c>
      <c r="D37" s="452">
        <f>'01_Flujos'!J24</f>
        <v/>
      </c>
      <c r="E37" s="459">
        <f>1/(1+$D$6)^C37</f>
        <v/>
      </c>
      <c r="F37" s="465">
        <f>D37*E37</f>
        <v/>
      </c>
      <c r="G37" s="465">
        <f>IF(F37&gt;0,F37,0)</f>
        <v/>
      </c>
      <c r="H37" s="465">
        <f>IF(F37&lt;0,-F37,0)</f>
        <v/>
      </c>
      <c r="I37" s="452">
        <f>'01_Flujos'!F24+'01_Flujos'!G24</f>
        <v/>
      </c>
      <c r="J37" s="465">
        <f>-I37/(1+$I$6)^C37</f>
        <v/>
      </c>
      <c r="K37" s="465">
        <f>'01_Flujos'!E24+'01_Flujos'!H24+'01_Flujos'!I24</f>
        <v/>
      </c>
      <c r="L37" s="465">
        <f>K37/(1+$D$16)^C37</f>
        <v/>
      </c>
    </row>
    <row r="38">
      <c r="C38" s="464">
        <f>'01_Flujos'!C25</f>
        <v/>
      </c>
      <c r="D38" s="452">
        <f>'01_Flujos'!J25</f>
        <v/>
      </c>
      <c r="E38" s="459">
        <f>1/(1+$D$6)^C38</f>
        <v/>
      </c>
      <c r="F38" s="465">
        <f>D38*E38</f>
        <v/>
      </c>
      <c r="G38" s="465">
        <f>IF(F38&gt;0,F38,0)</f>
        <v/>
      </c>
      <c r="H38" s="465">
        <f>IF(F38&lt;0,-F38,0)</f>
        <v/>
      </c>
      <c r="I38" s="452">
        <f>'01_Flujos'!F25+'01_Flujos'!G25</f>
        <v/>
      </c>
      <c r="J38" s="465">
        <f>-I38/(1+$I$6)^C38</f>
        <v/>
      </c>
      <c r="K38" s="465">
        <f>'01_Flujos'!E25+'01_Flujos'!H25+'01_Flujos'!I25</f>
        <v/>
      </c>
      <c r="L38" s="465">
        <f>K38/(1+$D$16)^C38</f>
        <v/>
      </c>
    </row>
    <row r="39">
      <c r="C39" s="464">
        <f>'01_Flujos'!C26</f>
        <v/>
      </c>
      <c r="D39" s="452">
        <f>'01_Flujos'!J26</f>
        <v/>
      </c>
      <c r="E39" s="459">
        <f>1/(1+$D$6)^C39</f>
        <v/>
      </c>
      <c r="F39" s="465">
        <f>D39*E39</f>
        <v/>
      </c>
      <c r="G39" s="465">
        <f>IF(F39&gt;0,F39,0)</f>
        <v/>
      </c>
      <c r="H39" s="465">
        <f>IF(F39&lt;0,-F39,0)</f>
        <v/>
      </c>
      <c r="I39" s="452">
        <f>'01_Flujos'!F26+'01_Flujos'!G26</f>
        <v/>
      </c>
      <c r="J39" s="465">
        <f>-I39/(1+$I$6)^C39</f>
        <v/>
      </c>
      <c r="K39" s="465">
        <f>'01_Flujos'!E26+'01_Flujos'!H26+'01_Flujos'!I26</f>
        <v/>
      </c>
      <c r="L39" s="465">
        <f>K39/(1+$D$16)^C39</f>
        <v/>
      </c>
    </row>
    <row r="40">
      <c r="C40" s="464">
        <f>'01_Flujos'!C27</f>
        <v/>
      </c>
      <c r="D40" s="452">
        <f>'01_Flujos'!J27</f>
        <v/>
      </c>
      <c r="E40" s="459">
        <f>1/(1+$D$6)^C40</f>
        <v/>
      </c>
      <c r="F40" s="465">
        <f>D40*E40</f>
        <v/>
      </c>
      <c r="G40" s="465">
        <f>IF(F40&gt;0,F40,0)</f>
        <v/>
      </c>
      <c r="H40" s="465">
        <f>IF(F40&lt;0,-F40,0)</f>
        <v/>
      </c>
      <c r="I40" s="452">
        <f>'01_Flujos'!F27+'01_Flujos'!G27</f>
        <v/>
      </c>
      <c r="J40" s="465">
        <f>-I40/(1+$I$6)^C40</f>
        <v/>
      </c>
      <c r="K40" s="465">
        <f>'01_Flujos'!E27+'01_Flujos'!H27+'01_Flujos'!I27</f>
        <v/>
      </c>
      <c r="L40" s="465">
        <f>K40/(1+$D$16)^C40</f>
        <v/>
      </c>
    </row>
    <row r="41">
      <c r="C41" s="464">
        <f>'01_Flujos'!C28</f>
        <v/>
      </c>
      <c r="D41" s="452">
        <f>'01_Flujos'!J28</f>
        <v/>
      </c>
      <c r="E41" s="459">
        <f>1/(1+$D$6)^C41</f>
        <v/>
      </c>
      <c r="F41" s="465">
        <f>D41*E41</f>
        <v/>
      </c>
      <c r="G41" s="465">
        <f>IF(F41&gt;0,F41,0)</f>
        <v/>
      </c>
      <c r="H41" s="465">
        <f>IF(F41&lt;0,-F41,0)</f>
        <v/>
      </c>
      <c r="I41" s="452">
        <f>'01_Flujos'!F28+'01_Flujos'!G28</f>
        <v/>
      </c>
      <c r="J41" s="465">
        <f>-I41/(1+$I$6)^C41</f>
        <v/>
      </c>
      <c r="K41" s="465">
        <f>'01_Flujos'!E28+'01_Flujos'!H28+'01_Flujos'!I28</f>
        <v/>
      </c>
      <c r="L41" s="465">
        <f>K41/(1+$D$16)^C41</f>
        <v/>
      </c>
    </row>
    <row r="42">
      <c r="C42" s="464">
        <f>'01_Flujos'!C29</f>
        <v/>
      </c>
      <c r="D42" s="452">
        <f>'01_Flujos'!J29</f>
        <v/>
      </c>
      <c r="E42" s="459">
        <f>1/(1+$D$6)^C42</f>
        <v/>
      </c>
      <c r="F42" s="465">
        <f>D42*E42</f>
        <v/>
      </c>
      <c r="G42" s="465">
        <f>IF(F42&gt;0,F42,0)</f>
        <v/>
      </c>
      <c r="H42" s="465">
        <f>IF(F42&lt;0,-F42,0)</f>
        <v/>
      </c>
      <c r="I42" s="452">
        <f>'01_Flujos'!F29+'01_Flujos'!G29</f>
        <v/>
      </c>
      <c r="J42" s="465">
        <f>-I42/(1+$I$6)^C42</f>
        <v/>
      </c>
      <c r="K42" s="465">
        <f>'01_Flujos'!E29+'01_Flujos'!H29+'01_Flujos'!I29</f>
        <v/>
      </c>
      <c r="L42" s="465">
        <f>K42/(1+$D$16)^C42</f>
        <v/>
      </c>
    </row>
    <row r="43">
      <c r="C43" s="464">
        <f>'01_Flujos'!C30</f>
        <v/>
      </c>
      <c r="D43" s="452">
        <f>'01_Flujos'!J30</f>
        <v/>
      </c>
      <c r="E43" s="459">
        <f>1/(1+$D$6)^C43</f>
        <v/>
      </c>
      <c r="F43" s="465">
        <f>D43*E43</f>
        <v/>
      </c>
      <c r="G43" s="465">
        <f>IF(F43&gt;0,F43,0)</f>
        <v/>
      </c>
      <c r="H43" s="465">
        <f>IF(F43&lt;0,-F43,0)</f>
        <v/>
      </c>
      <c r="I43" s="452">
        <f>'01_Flujos'!F30+'01_Flujos'!G30</f>
        <v/>
      </c>
      <c r="J43" s="465">
        <f>-I43/(1+$I$6)^C43</f>
        <v/>
      </c>
      <c r="K43" s="465">
        <f>'01_Flujos'!E30+'01_Flujos'!H30+'01_Flujos'!I30</f>
        <v/>
      </c>
      <c r="L43" s="465">
        <f>K43/(1+$D$16)^C43</f>
        <v/>
      </c>
    </row>
    <row r="44">
      <c r="C44" s="464">
        <f>'01_Flujos'!C31</f>
        <v/>
      </c>
      <c r="D44" s="452">
        <f>'01_Flujos'!J31</f>
        <v/>
      </c>
      <c r="E44" s="459">
        <f>1/(1+$D$6)^C44</f>
        <v/>
      </c>
      <c r="F44" s="465">
        <f>D44*E44</f>
        <v/>
      </c>
      <c r="G44" s="465">
        <f>IF(F44&gt;0,F44,0)</f>
        <v/>
      </c>
      <c r="H44" s="465">
        <f>IF(F44&lt;0,-F44,0)</f>
        <v/>
      </c>
      <c r="I44" s="452">
        <f>'01_Flujos'!F31+'01_Flujos'!G31</f>
        <v/>
      </c>
      <c r="J44" s="465">
        <f>-I44/(1+$I$6)^C44</f>
        <v/>
      </c>
      <c r="K44" s="465">
        <f>'01_Flujos'!E31+'01_Flujos'!H31+'01_Flujos'!I31</f>
        <v/>
      </c>
      <c r="L44" s="465">
        <f>K44/(1+$D$16)^C44</f>
        <v/>
      </c>
    </row>
    <row r="45">
      <c r="C45" s="464">
        <f>'01_Flujos'!C32</f>
        <v/>
      </c>
      <c r="D45" s="452">
        <f>'01_Flujos'!J32</f>
        <v/>
      </c>
      <c r="E45" s="459">
        <f>1/(1+$D$6)^C45</f>
        <v/>
      </c>
      <c r="F45" s="465">
        <f>D45*E45</f>
        <v/>
      </c>
      <c r="G45" s="465">
        <f>IF(F45&gt;0,F45,0)</f>
        <v/>
      </c>
      <c r="H45" s="465">
        <f>IF(F45&lt;0,-F45,0)</f>
        <v/>
      </c>
      <c r="I45" s="452">
        <f>'01_Flujos'!F32+'01_Flujos'!G32</f>
        <v/>
      </c>
      <c r="J45" s="465">
        <f>-I45/(1+$I$6)^C45</f>
        <v/>
      </c>
      <c r="K45" s="465">
        <f>'01_Flujos'!E32+'01_Flujos'!H32+'01_Flujos'!I32</f>
        <v/>
      </c>
      <c r="L45" s="465">
        <f>K45/(1+$D$16)^C45</f>
        <v/>
      </c>
    </row>
    <row r="46">
      <c r="C46" s="464">
        <f>'01_Flujos'!C33</f>
        <v/>
      </c>
      <c r="D46" s="452">
        <f>'01_Flujos'!J33</f>
        <v/>
      </c>
      <c r="E46" s="459">
        <f>1/(1+$D$6)^C46</f>
        <v/>
      </c>
      <c r="F46" s="465">
        <f>D46*E46</f>
        <v/>
      </c>
      <c r="G46" s="465">
        <f>IF(F46&gt;0,F46,0)</f>
        <v/>
      </c>
      <c r="H46" s="465">
        <f>IF(F46&lt;0,-F46,0)</f>
        <v/>
      </c>
      <c r="I46" s="452">
        <f>'01_Flujos'!F33+'01_Flujos'!G33</f>
        <v/>
      </c>
      <c r="J46" s="465">
        <f>-I46/(1+$I$6)^C46</f>
        <v/>
      </c>
      <c r="K46" s="465">
        <f>'01_Flujos'!E33+'01_Flujos'!H33+'01_Flujos'!I33</f>
        <v/>
      </c>
      <c r="L46" s="465">
        <f>K46/(1+$D$16)^C46</f>
        <v/>
      </c>
    </row>
    <row r="47">
      <c r="C47" s="464">
        <f>'01_Flujos'!C34</f>
        <v/>
      </c>
      <c r="D47" s="452">
        <f>'01_Flujos'!J34</f>
        <v/>
      </c>
      <c r="E47" s="459">
        <f>1/(1+$D$6)^C47</f>
        <v/>
      </c>
      <c r="F47" s="465">
        <f>D47*E47</f>
        <v/>
      </c>
      <c r="G47" s="465">
        <f>IF(F47&gt;0,F47,0)</f>
        <v/>
      </c>
      <c r="H47" s="465">
        <f>IF(F47&lt;0,-F47,0)</f>
        <v/>
      </c>
      <c r="I47" s="452">
        <f>'01_Flujos'!F34+'01_Flujos'!G34</f>
        <v/>
      </c>
      <c r="J47" s="465">
        <f>-I47/(1+$I$6)^C47</f>
        <v/>
      </c>
      <c r="K47" s="465">
        <f>'01_Flujos'!E34+'01_Flujos'!H34+'01_Flujos'!I34</f>
        <v/>
      </c>
      <c r="L47" s="465">
        <f>K47/(1+$D$16)^C47</f>
        <v/>
      </c>
    </row>
    <row r="48">
      <c r="C48" s="464">
        <f>'01_Flujos'!C35</f>
        <v/>
      </c>
      <c r="D48" s="452">
        <f>'01_Flujos'!J35</f>
        <v/>
      </c>
      <c r="E48" s="459">
        <f>1/(1+$D$6)^C48</f>
        <v/>
      </c>
      <c r="F48" s="465">
        <f>D48*E48</f>
        <v/>
      </c>
      <c r="G48" s="465">
        <f>IF(F48&gt;0,F48,0)</f>
        <v/>
      </c>
      <c r="H48" s="465">
        <f>IF(F48&lt;0,-F48,0)</f>
        <v/>
      </c>
      <c r="I48" s="452">
        <f>'01_Flujos'!F35+'01_Flujos'!G35</f>
        <v/>
      </c>
      <c r="J48" s="465">
        <f>-I48/(1+$I$6)^C48</f>
        <v/>
      </c>
      <c r="K48" s="465">
        <f>'01_Flujos'!E35+'01_Flujos'!H35+'01_Flujos'!I35</f>
        <v/>
      </c>
      <c r="L48" s="465">
        <f>K48/(1+$D$16)^C48</f>
        <v/>
      </c>
    </row>
    <row r="49">
      <c r="C49" s="464">
        <f>'01_Flujos'!C36</f>
        <v/>
      </c>
      <c r="D49" s="452">
        <f>'01_Flujos'!J36</f>
        <v/>
      </c>
      <c r="E49" s="459">
        <f>1/(1+$D$6)^C49</f>
        <v/>
      </c>
      <c r="F49" s="465">
        <f>D49*E49</f>
        <v/>
      </c>
      <c r="G49" s="465">
        <f>IF(F49&gt;0,F49,0)</f>
        <v/>
      </c>
      <c r="H49" s="465">
        <f>IF(F49&lt;0,-F49,0)</f>
        <v/>
      </c>
      <c r="I49" s="452">
        <f>'01_Flujos'!F36+'01_Flujos'!G36</f>
        <v/>
      </c>
      <c r="J49" s="465">
        <f>-I49/(1+$I$6)^C49</f>
        <v/>
      </c>
      <c r="K49" s="465">
        <f>'01_Flujos'!E36+'01_Flujos'!H36+'01_Flujos'!I36</f>
        <v/>
      </c>
      <c r="L49" s="465">
        <f>K49/(1+$D$16)^C49</f>
        <v/>
      </c>
    </row>
    <row r="50">
      <c r="C50" s="464">
        <f>'01_Flujos'!C37</f>
        <v/>
      </c>
      <c r="D50" s="452">
        <f>'01_Flujos'!J37</f>
        <v/>
      </c>
      <c r="E50" s="459">
        <f>1/(1+$D$6)^C50</f>
        <v/>
      </c>
      <c r="F50" s="465">
        <f>D50*E50</f>
        <v/>
      </c>
      <c r="G50" s="465">
        <f>IF(F50&gt;0,F50,0)</f>
        <v/>
      </c>
      <c r="H50" s="465">
        <f>IF(F50&lt;0,-F50,0)</f>
        <v/>
      </c>
      <c r="I50" s="452">
        <f>'01_Flujos'!F37+'01_Flujos'!G37</f>
        <v/>
      </c>
      <c r="J50" s="465">
        <f>-I50/(1+$I$6)^C50</f>
        <v/>
      </c>
      <c r="K50" s="465">
        <f>'01_Flujos'!E37+'01_Flujos'!H37+'01_Flujos'!I37</f>
        <v/>
      </c>
      <c r="L50" s="465">
        <f>K50/(1+$D$16)^C50</f>
        <v/>
      </c>
    </row>
    <row r="51">
      <c r="C51" s="464">
        <f>'01_Flujos'!C38</f>
        <v/>
      </c>
      <c r="D51" s="452">
        <f>'01_Flujos'!J38</f>
        <v/>
      </c>
      <c r="E51" s="459">
        <f>1/(1+$D$6)^C51</f>
        <v/>
      </c>
      <c r="F51" s="465">
        <f>D51*E51</f>
        <v/>
      </c>
      <c r="G51" s="465">
        <f>IF(F51&gt;0,F51,0)</f>
        <v/>
      </c>
      <c r="H51" s="465">
        <f>IF(F51&lt;0,-F51,0)</f>
        <v/>
      </c>
      <c r="I51" s="452">
        <f>'01_Flujos'!F38+'01_Flujos'!G38</f>
        <v/>
      </c>
      <c r="J51" s="465">
        <f>-I51/(1+$I$6)^C51</f>
        <v/>
      </c>
      <c r="K51" s="465">
        <f>'01_Flujos'!E38+'01_Flujos'!H38+'01_Flujos'!I38</f>
        <v/>
      </c>
      <c r="L51" s="465">
        <f>K51/(1+$D$16)^C51</f>
        <v/>
      </c>
    </row>
    <row r="52">
      <c r="C52" s="464">
        <f>'01_Flujos'!C39</f>
        <v/>
      </c>
      <c r="D52" s="452">
        <f>'01_Flujos'!J39</f>
        <v/>
      </c>
      <c r="E52" s="459">
        <f>1/(1+$D$6)^C52</f>
        <v/>
      </c>
      <c r="F52" s="465">
        <f>D52*E52</f>
        <v/>
      </c>
      <c r="G52" s="465">
        <f>IF(F52&gt;0,F52,0)</f>
        <v/>
      </c>
      <c r="H52" s="465">
        <f>IF(F52&lt;0,-F52,0)</f>
        <v/>
      </c>
      <c r="I52" s="452">
        <f>'01_Flujos'!F39+'01_Flujos'!G39</f>
        <v/>
      </c>
      <c r="J52" s="465">
        <f>-I52/(1+$I$6)^C52</f>
        <v/>
      </c>
      <c r="K52" s="465">
        <f>'01_Flujos'!E39+'01_Flujos'!H39+'01_Flujos'!I39</f>
        <v/>
      </c>
      <c r="L52" s="465">
        <f>K52/(1+$D$16)^C52</f>
        <v/>
      </c>
    </row>
    <row r="53">
      <c r="C53" s="464">
        <f>'01_Flujos'!C40</f>
        <v/>
      </c>
      <c r="D53" s="452">
        <f>'01_Flujos'!J40</f>
        <v/>
      </c>
      <c r="E53" s="459">
        <f>1/(1+$D$6)^C53</f>
        <v/>
      </c>
      <c r="F53" s="465">
        <f>D53*E53</f>
        <v/>
      </c>
      <c r="G53" s="465">
        <f>IF(F53&gt;0,F53,0)</f>
        <v/>
      </c>
      <c r="H53" s="465">
        <f>IF(F53&lt;0,-F53,0)</f>
        <v/>
      </c>
      <c r="I53" s="452">
        <f>'01_Flujos'!F40+'01_Flujos'!G40</f>
        <v/>
      </c>
      <c r="J53" s="465">
        <f>-I53/(1+$I$6)^C53</f>
        <v/>
      </c>
      <c r="K53" s="465">
        <f>'01_Flujos'!E40+'01_Flujos'!H40+'01_Flujos'!I40</f>
        <v/>
      </c>
      <c r="L53" s="465">
        <f>K53/(1+$D$16)^C53</f>
        <v/>
      </c>
    </row>
    <row r="54">
      <c r="C54" s="464">
        <f>'01_Flujos'!C41</f>
        <v/>
      </c>
      <c r="D54" s="452">
        <f>'01_Flujos'!J41</f>
        <v/>
      </c>
      <c r="E54" s="459">
        <f>1/(1+$D$6)^C54</f>
        <v/>
      </c>
      <c r="F54" s="465">
        <f>D54*E54</f>
        <v/>
      </c>
      <c r="G54" s="465">
        <f>IF(F54&gt;0,F54,0)</f>
        <v/>
      </c>
      <c r="H54" s="465">
        <f>IF(F54&lt;0,-F54,0)</f>
        <v/>
      </c>
      <c r="I54" s="452">
        <f>'01_Flujos'!F41+'01_Flujos'!G41</f>
        <v/>
      </c>
      <c r="J54" s="465">
        <f>-I54/(1+$I$6)^C54</f>
        <v/>
      </c>
      <c r="K54" s="465">
        <f>'01_Flujos'!E41+'01_Flujos'!H41+'01_Flujos'!I41</f>
        <v/>
      </c>
      <c r="L54" s="465">
        <f>K54/(1+$D$16)^C54</f>
        <v/>
      </c>
    </row>
    <row r="55">
      <c r="C55" s="464">
        <f>'01_Flujos'!C42</f>
        <v/>
      </c>
      <c r="D55" s="452">
        <f>'01_Flujos'!J42</f>
        <v/>
      </c>
      <c r="E55" s="459">
        <f>1/(1+$D$6)^C55</f>
        <v/>
      </c>
      <c r="F55" s="465">
        <f>D55*E55</f>
        <v/>
      </c>
      <c r="G55" s="465">
        <f>IF(F55&gt;0,F55,0)</f>
        <v/>
      </c>
      <c r="H55" s="465">
        <f>IF(F55&lt;0,-F55,0)</f>
        <v/>
      </c>
      <c r="I55" s="452">
        <f>'01_Flujos'!F42+'01_Flujos'!G42</f>
        <v/>
      </c>
      <c r="J55" s="465">
        <f>-I55/(1+$I$6)^C55</f>
        <v/>
      </c>
      <c r="K55" s="465">
        <f>'01_Flujos'!E42+'01_Flujos'!H42+'01_Flujos'!I42</f>
        <v/>
      </c>
      <c r="L55" s="465">
        <f>K55/(1+$D$16)^C55</f>
        <v/>
      </c>
    </row>
    <row r="56">
      <c r="C56" s="464">
        <f>'01_Flujos'!C43</f>
        <v/>
      </c>
      <c r="D56" s="452">
        <f>'01_Flujos'!J43</f>
        <v/>
      </c>
      <c r="E56" s="459">
        <f>1/(1+$D$6)^C56</f>
        <v/>
      </c>
      <c r="F56" s="465">
        <f>D56*E56</f>
        <v/>
      </c>
      <c r="G56" s="465">
        <f>IF(F56&gt;0,F56,0)</f>
        <v/>
      </c>
      <c r="H56" s="465">
        <f>IF(F56&lt;0,-F56,0)</f>
        <v/>
      </c>
      <c r="I56" s="452">
        <f>'01_Flujos'!F43+'01_Flujos'!G43</f>
        <v/>
      </c>
      <c r="J56" s="465">
        <f>-I56/(1+$I$6)^C56</f>
        <v/>
      </c>
      <c r="K56" s="465">
        <f>'01_Flujos'!E43+'01_Flujos'!H43+'01_Flujos'!I43</f>
        <v/>
      </c>
      <c r="L56" s="465">
        <f>K56/(1+$D$16)^C56</f>
        <v/>
      </c>
    </row>
    <row r="57">
      <c r="C57" s="464">
        <f>'01_Flujos'!C44</f>
        <v/>
      </c>
      <c r="D57" s="452">
        <f>'01_Flujos'!J44</f>
        <v/>
      </c>
      <c r="E57" s="459">
        <f>1/(1+$D$6)^C57</f>
        <v/>
      </c>
      <c r="F57" s="465">
        <f>D57*E57</f>
        <v/>
      </c>
      <c r="G57" s="465">
        <f>IF(F57&gt;0,F57,0)</f>
        <v/>
      </c>
      <c r="H57" s="465">
        <f>IF(F57&lt;0,-F57,0)</f>
        <v/>
      </c>
      <c r="I57" s="452">
        <f>'01_Flujos'!F44+'01_Flujos'!G44</f>
        <v/>
      </c>
      <c r="J57" s="465">
        <f>-I57/(1+$I$6)^C57</f>
        <v/>
      </c>
      <c r="K57" s="465">
        <f>'01_Flujos'!E44+'01_Flujos'!H44+'01_Flujos'!I44</f>
        <v/>
      </c>
      <c r="L57" s="465">
        <f>K57/(1+$D$16)^C57</f>
        <v/>
      </c>
    </row>
    <row r="58">
      <c r="C58" s="464">
        <f>'01_Flujos'!C45</f>
        <v/>
      </c>
      <c r="D58" s="452">
        <f>'01_Flujos'!J45</f>
        <v/>
      </c>
      <c r="E58" s="459">
        <f>1/(1+$D$6)^C58</f>
        <v/>
      </c>
      <c r="F58" s="465">
        <f>D58*E58</f>
        <v/>
      </c>
      <c r="G58" s="465">
        <f>IF(F58&gt;0,F58,0)</f>
        <v/>
      </c>
      <c r="H58" s="465">
        <f>IF(F58&lt;0,-F58,0)</f>
        <v/>
      </c>
      <c r="I58" s="452">
        <f>'01_Flujos'!F45+'01_Flujos'!G45</f>
        <v/>
      </c>
      <c r="J58" s="465">
        <f>-I58/(1+$I$6)^C58</f>
        <v/>
      </c>
      <c r="K58" s="465">
        <f>'01_Flujos'!E45+'01_Flujos'!H45+'01_Flujos'!I45</f>
        <v/>
      </c>
      <c r="L58" s="465">
        <f>K58/(1+$D$16)^C58</f>
        <v/>
      </c>
    </row>
    <row r="59">
      <c r="C59" s="464">
        <f>'01_Flujos'!C46</f>
        <v/>
      </c>
      <c r="D59" s="452">
        <f>'01_Flujos'!J46</f>
        <v/>
      </c>
      <c r="E59" s="459">
        <f>1/(1+$D$6)^C59</f>
        <v/>
      </c>
      <c r="F59" s="465">
        <f>D59*E59</f>
        <v/>
      </c>
      <c r="G59" s="465">
        <f>IF(F59&gt;0,F59,0)</f>
        <v/>
      </c>
      <c r="H59" s="465">
        <f>IF(F59&lt;0,-F59,0)</f>
        <v/>
      </c>
      <c r="I59" s="452">
        <f>'01_Flujos'!F46+'01_Flujos'!G46</f>
        <v/>
      </c>
      <c r="J59" s="465">
        <f>-I59/(1+$I$6)^C59</f>
        <v/>
      </c>
      <c r="K59" s="465">
        <f>'01_Flujos'!E46+'01_Flujos'!H46+'01_Flujos'!I46</f>
        <v/>
      </c>
      <c r="L59" s="465">
        <f>K59/(1+$D$16)^C59</f>
        <v/>
      </c>
    </row>
    <row r="60">
      <c r="C60" s="464">
        <f>'01_Flujos'!C47</f>
        <v/>
      </c>
      <c r="D60" s="452">
        <f>'01_Flujos'!J47</f>
        <v/>
      </c>
      <c r="E60" s="459">
        <f>1/(1+$D$6)^C60</f>
        <v/>
      </c>
      <c r="F60" s="465">
        <f>D60*E60</f>
        <v/>
      </c>
      <c r="G60" s="465">
        <f>IF(F60&gt;0,F60,0)</f>
        <v/>
      </c>
      <c r="H60" s="465">
        <f>IF(F60&lt;0,-F60,0)</f>
        <v/>
      </c>
      <c r="I60" s="452">
        <f>'01_Flujos'!F47+'01_Flujos'!G47</f>
        <v/>
      </c>
      <c r="J60" s="465">
        <f>-I60/(1+$I$6)^C60</f>
        <v/>
      </c>
      <c r="K60" s="465">
        <f>'01_Flujos'!E47+'01_Flujos'!H47+'01_Flujos'!I47</f>
        <v/>
      </c>
      <c r="L60" s="465">
        <f>K60/(1+$D$16)^C60</f>
        <v/>
      </c>
    </row>
    <row r="61">
      <c r="C61" s="464">
        <f>'01_Flujos'!C48</f>
        <v/>
      </c>
      <c r="D61" s="452">
        <f>'01_Flujos'!J48</f>
        <v/>
      </c>
      <c r="E61" s="459">
        <f>1/(1+$D$6)^C61</f>
        <v/>
      </c>
      <c r="F61" s="465">
        <f>D61*E61</f>
        <v/>
      </c>
      <c r="G61" s="465">
        <f>IF(F61&gt;0,F61,0)</f>
        <v/>
      </c>
      <c r="H61" s="465">
        <f>IF(F61&lt;0,-F61,0)</f>
        <v/>
      </c>
      <c r="I61" s="452">
        <f>'01_Flujos'!F48+'01_Flujos'!G48</f>
        <v/>
      </c>
      <c r="J61" s="465">
        <f>-I61/(1+$I$6)^C61</f>
        <v/>
      </c>
      <c r="K61" s="465">
        <f>'01_Flujos'!E48+'01_Flujos'!H48+'01_Flujos'!I48</f>
        <v/>
      </c>
      <c r="L61" s="465">
        <f>K61/(1+$D$16)^C61</f>
        <v/>
      </c>
    </row>
    <row r="62">
      <c r="C62" s="464">
        <f>'01_Flujos'!C49</f>
        <v/>
      </c>
      <c r="D62" s="452">
        <f>'01_Flujos'!J49</f>
        <v/>
      </c>
      <c r="E62" s="459">
        <f>1/(1+$D$6)^C62</f>
        <v/>
      </c>
      <c r="F62" s="465">
        <f>D62*E62</f>
        <v/>
      </c>
      <c r="G62" s="465">
        <f>IF(F62&gt;0,F62,0)</f>
        <v/>
      </c>
      <c r="H62" s="465">
        <f>IF(F62&lt;0,-F62,0)</f>
        <v/>
      </c>
      <c r="I62" s="452">
        <f>'01_Flujos'!F49+'01_Flujos'!G49</f>
        <v/>
      </c>
      <c r="J62" s="465">
        <f>-I62/(1+$I$6)^C62</f>
        <v/>
      </c>
      <c r="K62" s="465">
        <f>'01_Flujos'!E49+'01_Flujos'!H49+'01_Flujos'!I49</f>
        <v/>
      </c>
      <c r="L62" s="465">
        <f>K62/(1+$D$16)^C62</f>
        <v/>
      </c>
    </row>
    <row r="63">
      <c r="C63" s="464">
        <f>'01_Flujos'!C50</f>
        <v/>
      </c>
      <c r="D63" s="452">
        <f>'01_Flujos'!J50</f>
        <v/>
      </c>
      <c r="E63" s="459">
        <f>1/(1+$D$6)^C63</f>
        <v/>
      </c>
      <c r="F63" s="465">
        <f>D63*E63</f>
        <v/>
      </c>
      <c r="G63" s="465">
        <f>IF(F63&gt;0,F63,0)</f>
        <v/>
      </c>
      <c r="H63" s="465">
        <f>IF(F63&lt;0,-F63,0)</f>
        <v/>
      </c>
      <c r="I63" s="452">
        <f>'01_Flujos'!F50+'01_Flujos'!G50</f>
        <v/>
      </c>
      <c r="J63" s="465">
        <f>-I63/(1+$I$6)^C63</f>
        <v/>
      </c>
      <c r="K63" s="465">
        <f>'01_Flujos'!E50+'01_Flujos'!H50+'01_Flujos'!I50</f>
        <v/>
      </c>
      <c r="L63" s="465">
        <f>K63/(1+$D$16)^C63</f>
        <v/>
      </c>
    </row>
    <row r="64">
      <c r="C64" s="464">
        <f>'01_Flujos'!C51</f>
        <v/>
      </c>
      <c r="D64" s="452">
        <f>'01_Flujos'!J51</f>
        <v/>
      </c>
      <c r="E64" s="459">
        <f>1/(1+$D$6)^C64</f>
        <v/>
      </c>
      <c r="F64" s="465">
        <f>D64*E64</f>
        <v/>
      </c>
      <c r="G64" s="465">
        <f>IF(F64&gt;0,F64,0)</f>
        <v/>
      </c>
      <c r="H64" s="465">
        <f>IF(F64&lt;0,-F64,0)</f>
        <v/>
      </c>
      <c r="I64" s="452">
        <f>'01_Flujos'!F51+'01_Flujos'!G51</f>
        <v/>
      </c>
      <c r="J64" s="465">
        <f>-I64/(1+$I$6)^C64</f>
        <v/>
      </c>
      <c r="K64" s="465">
        <f>'01_Flujos'!E51+'01_Flujos'!H51+'01_Flujos'!I51</f>
        <v/>
      </c>
      <c r="L64" s="465">
        <f>K64/(1+$D$16)^C64</f>
        <v/>
      </c>
    </row>
    <row r="65">
      <c r="C65" s="464">
        <f>'01_Flujos'!C52</f>
        <v/>
      </c>
      <c r="D65" s="452">
        <f>'01_Flujos'!J52</f>
        <v/>
      </c>
      <c r="E65" s="459">
        <f>1/(1+$D$6)^C65</f>
        <v/>
      </c>
      <c r="F65" s="465">
        <f>D65*E65</f>
        <v/>
      </c>
      <c r="G65" s="465">
        <f>IF(F65&gt;0,F65,0)</f>
        <v/>
      </c>
      <c r="H65" s="465">
        <f>IF(F65&lt;0,-F65,0)</f>
        <v/>
      </c>
      <c r="I65" s="452">
        <f>'01_Flujos'!F52+'01_Flujos'!G52</f>
        <v/>
      </c>
      <c r="J65" s="465">
        <f>-I65/(1+$I$6)^C65</f>
        <v/>
      </c>
      <c r="K65" s="465">
        <f>'01_Flujos'!E52+'01_Flujos'!H52+'01_Flujos'!I52</f>
        <v/>
      </c>
      <c r="L65" s="465">
        <f>K65/(1+$D$16)^C65</f>
        <v/>
      </c>
    </row>
    <row r="66">
      <c r="C66" s="464">
        <f>'01_Flujos'!C53</f>
        <v/>
      </c>
      <c r="D66" s="452">
        <f>'01_Flujos'!J53</f>
        <v/>
      </c>
      <c r="E66" s="459">
        <f>1/(1+$D$6)^C66</f>
        <v/>
      </c>
      <c r="F66" s="465">
        <f>D66*E66</f>
        <v/>
      </c>
      <c r="G66" s="465">
        <f>IF(F66&gt;0,F66,0)</f>
        <v/>
      </c>
      <c r="H66" s="465">
        <f>IF(F66&lt;0,-F66,0)</f>
        <v/>
      </c>
      <c r="I66" s="452">
        <f>'01_Flujos'!F53+'01_Flujos'!G53</f>
        <v/>
      </c>
      <c r="J66" s="465">
        <f>-I66/(1+$I$6)^C66</f>
        <v/>
      </c>
      <c r="K66" s="465">
        <f>'01_Flujos'!E53+'01_Flujos'!H53+'01_Flujos'!I53</f>
        <v/>
      </c>
      <c r="L66" s="465">
        <f>K66/(1+$D$16)^C66</f>
        <v/>
      </c>
    </row>
    <row r="67">
      <c r="C67" s="464">
        <f>'01_Flujos'!C54</f>
        <v/>
      </c>
      <c r="D67" s="452">
        <f>'01_Flujos'!J54</f>
        <v/>
      </c>
      <c r="E67" s="459">
        <f>1/(1+$D$6)^C67</f>
        <v/>
      </c>
      <c r="F67" s="465">
        <f>D67*E67</f>
        <v/>
      </c>
      <c r="G67" s="465">
        <f>IF(F67&gt;0,F67,0)</f>
        <v/>
      </c>
      <c r="H67" s="465">
        <f>IF(F67&lt;0,-F67,0)</f>
        <v/>
      </c>
      <c r="I67" s="452">
        <f>'01_Flujos'!F54+'01_Flujos'!G54</f>
        <v/>
      </c>
      <c r="J67" s="465">
        <f>-I67/(1+$I$6)^C67</f>
        <v/>
      </c>
      <c r="K67" s="465">
        <f>'01_Flujos'!E54+'01_Flujos'!H54+'01_Flujos'!I54</f>
        <v/>
      </c>
      <c r="L67" s="465">
        <f>K67/(1+$D$16)^C67</f>
        <v/>
      </c>
    </row>
    <row r="68">
      <c r="C68" s="464">
        <f>'01_Flujos'!C55</f>
        <v/>
      </c>
      <c r="D68" s="452">
        <f>'01_Flujos'!J55</f>
        <v/>
      </c>
      <c r="E68" s="459">
        <f>1/(1+$D$6)^C68</f>
        <v/>
      </c>
      <c r="F68" s="465">
        <f>D68*E68</f>
        <v/>
      </c>
      <c r="G68" s="465">
        <f>IF(F68&gt;0,F68,0)</f>
        <v/>
      </c>
      <c r="H68" s="465">
        <f>IF(F68&lt;0,-F68,0)</f>
        <v/>
      </c>
      <c r="I68" s="452">
        <f>'01_Flujos'!F55+'01_Flujos'!G55</f>
        <v/>
      </c>
      <c r="J68" s="465">
        <f>-I68/(1+$I$6)^C68</f>
        <v/>
      </c>
      <c r="K68" s="465">
        <f>'01_Flujos'!E55+'01_Flujos'!H55+'01_Flujos'!I55</f>
        <v/>
      </c>
      <c r="L68" s="465">
        <f>K68/(1+$D$16)^C68</f>
        <v/>
      </c>
    </row>
    <row r="69">
      <c r="C69" s="464">
        <f>'01_Flujos'!C56</f>
        <v/>
      </c>
      <c r="D69" s="452">
        <f>'01_Flujos'!J56</f>
        <v/>
      </c>
      <c r="E69" s="459">
        <f>1/(1+$D$6)^C69</f>
        <v/>
      </c>
      <c r="F69" s="465">
        <f>D69*E69</f>
        <v/>
      </c>
      <c r="G69" s="465">
        <f>IF(F69&gt;0,F69,0)</f>
        <v/>
      </c>
      <c r="H69" s="465">
        <f>IF(F69&lt;0,-F69,0)</f>
        <v/>
      </c>
      <c r="I69" s="452">
        <f>'01_Flujos'!F56+'01_Flujos'!G56</f>
        <v/>
      </c>
      <c r="J69" s="465">
        <f>-I69/(1+$I$6)^C69</f>
        <v/>
      </c>
      <c r="K69" s="465">
        <f>'01_Flujos'!E56+'01_Flujos'!H56+'01_Flujos'!I56</f>
        <v/>
      </c>
      <c r="L69" s="465">
        <f>K69/(1+$D$16)^C69</f>
        <v/>
      </c>
    </row>
    <row r="70">
      <c r="C70" s="464">
        <f>'01_Flujos'!C57</f>
        <v/>
      </c>
      <c r="D70" s="452">
        <f>'01_Flujos'!J57</f>
        <v/>
      </c>
      <c r="E70" s="459">
        <f>1/(1+$D$6)^C70</f>
        <v/>
      </c>
      <c r="F70" s="465">
        <f>D70*E70</f>
        <v/>
      </c>
      <c r="G70" s="465">
        <f>IF(F70&gt;0,F70,0)</f>
        <v/>
      </c>
      <c r="H70" s="465">
        <f>IF(F70&lt;0,-F70,0)</f>
        <v/>
      </c>
      <c r="I70" s="452">
        <f>'01_Flujos'!F57+'01_Flujos'!G57</f>
        <v/>
      </c>
      <c r="J70" s="465">
        <f>-I70/(1+$I$6)^C70</f>
        <v/>
      </c>
      <c r="K70" s="465">
        <f>'01_Flujos'!E57+'01_Flujos'!H57+'01_Flujos'!I57</f>
        <v/>
      </c>
      <c r="L70" s="465">
        <f>K70/(1+$D$16)^C70</f>
        <v/>
      </c>
    </row>
    <row r="71">
      <c r="C71" s="464">
        <f>'01_Flujos'!C58</f>
        <v/>
      </c>
      <c r="D71" s="452">
        <f>'01_Flujos'!J58</f>
        <v/>
      </c>
      <c r="E71" s="459">
        <f>1/(1+$D$6)^C71</f>
        <v/>
      </c>
      <c r="F71" s="465">
        <f>D71*E71</f>
        <v/>
      </c>
      <c r="G71" s="465">
        <f>IF(F71&gt;0,F71,0)</f>
        <v/>
      </c>
      <c r="H71" s="465">
        <f>IF(F71&lt;0,-F71,0)</f>
        <v/>
      </c>
      <c r="I71" s="452">
        <f>'01_Flujos'!F58+'01_Flujos'!G58</f>
        <v/>
      </c>
      <c r="J71" s="465">
        <f>-I71/(1+$I$6)^C71</f>
        <v/>
      </c>
      <c r="K71" s="465">
        <f>'01_Flujos'!E58+'01_Flujos'!H58+'01_Flujos'!I58</f>
        <v/>
      </c>
      <c r="L71" s="465">
        <f>K71/(1+$D$16)^C71</f>
        <v/>
      </c>
    </row>
    <row r="72">
      <c r="C72" s="464">
        <f>'01_Flujos'!C59</f>
        <v/>
      </c>
      <c r="D72" s="452">
        <f>'01_Flujos'!J59</f>
        <v/>
      </c>
      <c r="E72" s="459">
        <f>1/(1+$D$6)^C72</f>
        <v/>
      </c>
      <c r="F72" s="465">
        <f>D72*E72</f>
        <v/>
      </c>
      <c r="G72" s="465">
        <f>IF(F72&gt;0,F72,0)</f>
        <v/>
      </c>
      <c r="H72" s="465">
        <f>IF(F72&lt;0,-F72,0)</f>
        <v/>
      </c>
      <c r="I72" s="452">
        <f>'01_Flujos'!F59+'01_Flujos'!G59</f>
        <v/>
      </c>
      <c r="J72" s="465">
        <f>-I72/(1+$I$6)^C72</f>
        <v/>
      </c>
      <c r="K72" s="465">
        <f>'01_Flujos'!E59+'01_Flujos'!H59+'01_Flujos'!I59</f>
        <v/>
      </c>
      <c r="L72" s="465">
        <f>K72/(1+$D$16)^C72</f>
        <v/>
      </c>
    </row>
    <row r="73">
      <c r="C73" s="464">
        <f>'01_Flujos'!C60</f>
        <v/>
      </c>
      <c r="D73" s="452">
        <f>'01_Flujos'!J60</f>
        <v/>
      </c>
      <c r="E73" s="459">
        <f>1/(1+$D$6)^C73</f>
        <v/>
      </c>
      <c r="F73" s="465">
        <f>D73*E73</f>
        <v/>
      </c>
      <c r="G73" s="465">
        <f>IF(F73&gt;0,F73,0)</f>
        <v/>
      </c>
      <c r="H73" s="465">
        <f>IF(F73&lt;0,-F73,0)</f>
        <v/>
      </c>
      <c r="I73" s="452">
        <f>'01_Flujos'!F60+'01_Flujos'!G60</f>
        <v/>
      </c>
      <c r="J73" s="465">
        <f>-I73/(1+$I$6)^C73</f>
        <v/>
      </c>
      <c r="K73" s="465">
        <f>'01_Flujos'!E60+'01_Flujos'!H60+'01_Flujos'!I60</f>
        <v/>
      </c>
      <c r="L73" s="465">
        <f>K73/(1+$D$16)^C73</f>
        <v/>
      </c>
    </row>
  </sheetData>
  <mergeCells count="8">
    <mergeCell ref="N5:Q5"/>
    <mergeCell ref="C12:F12"/>
    <mergeCell ref="C3:L3"/>
    <mergeCell ref="C21:L21"/>
    <mergeCell ref="H5:L5"/>
    <mergeCell ref="C5:F5"/>
    <mergeCell ref="C2:L2"/>
    <mergeCell ref="N15:Q15"/>
  </mergeCells>
  <conditionalFormatting sqref="Q7:Q12">
    <cfRule type="containsText" priority="1" operator="containsText" dxfId="0" text="ERROR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C2:P40"/>
  <sheetViews>
    <sheetView showGridLines="0" workbookViewId="0">
      <pane xSplit="3" ySplit="31" topLeftCell="D32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27" customWidth="1" min="3" max="3"/>
    <col width="18" customWidth="1" min="4" max="4"/>
    <col width="18" customWidth="1" min="5" max="5"/>
    <col width="18" customWidth="1" min="6" max="6"/>
    <col width="16" customWidth="1" min="7" max="7"/>
    <col width="29" customWidth="1" min="8" max="8"/>
    <col width="24" customWidth="1" min="9" max="9"/>
    <col width="42" customWidth="1" min="10" max="10"/>
    <col width="3" customWidth="1" min="11" max="11"/>
    <col width="22" customWidth="1" min="12" max="12"/>
    <col width="18" customWidth="1" min="13" max="13"/>
    <col width="18" customWidth="1" min="14" max="14"/>
    <col width="18" customWidth="1" min="15" max="15"/>
    <col width="22" customWidth="1" min="16" max="16"/>
  </cols>
  <sheetData>
    <row r="2" ht="30" customHeight="1">
      <c r="C2" s="466" t="inlineStr">
        <is>
          <t>MODELO NEXUM - LDI E INMUNIZACIÓN DE EDUCACIÓN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</row>
    <row r="3">
      <c r="C3" s="426" t="inlineStr">
        <is>
          <t>Se evalúan valor presente, duración, convexidad, riesgo cambiario y factibilidad de calce.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</row>
    <row r="5">
      <c r="C5" s="467" t="inlineStr">
        <is>
          <t>1. PASIVO EDUCACIONAL</t>
        </is>
      </c>
      <c r="D5" s="425" t="n"/>
      <c r="E5" s="425" t="n"/>
      <c r="F5" s="425" t="n"/>
      <c r="H5" s="467" t="inlineStr">
        <is>
          <t>2. FACTIBILIDAD DEL CALCE</t>
        </is>
      </c>
      <c r="I5" s="425" t="n"/>
      <c r="J5" s="425" t="n"/>
      <c r="K5" s="425" t="n"/>
      <c r="L5" s="425" t="n"/>
    </row>
    <row r="6" ht="29" customHeight="1">
      <c r="C6" s="141" t="inlineStr">
        <is>
          <t>Tasa real de descuento</t>
        </is>
      </c>
      <c r="D6" s="468">
        <f>'00_Inputs'!D72</f>
        <v/>
      </c>
      <c r="E6" s="141" t="inlineStr">
        <is>
          <t>% anual</t>
        </is>
      </c>
      <c r="F6" s="141" t="inlineStr">
        <is>
          <t>Proxy provisional LDI</t>
        </is>
      </c>
      <c r="H6" s="84" t="inlineStr">
        <is>
          <t>Duración modificada del pasivo</t>
        </is>
      </c>
      <c r="I6" s="469">
        <f>D9</f>
        <v/>
      </c>
      <c r="J6" s="84" t="inlineStr">
        <is>
          <t>Objetivo de sensibilidad a tasas</t>
        </is>
      </c>
    </row>
    <row r="7" ht="29" customHeight="1">
      <c r="C7" s="141" t="inlineStr">
        <is>
          <t>Valor presente</t>
        </is>
      </c>
      <c r="D7" s="470">
        <f>SUM(H33:H39)</f>
        <v/>
      </c>
      <c r="E7" s="141" t="inlineStr">
        <is>
          <t>USD</t>
        </is>
      </c>
      <c r="F7" s="141" t="inlineStr">
        <is>
          <t>Diez pagos educacionales</t>
        </is>
      </c>
      <c r="H7" s="84" t="inlineStr">
        <is>
          <t>Mayor duración LDI disponible</t>
        </is>
      </c>
      <c r="I7" s="469">
        <f>MAX(F17:F21)</f>
        <v/>
      </c>
      <c r="J7" s="84" t="inlineStr">
        <is>
          <t>Máximo entre instrumentos elegibles</t>
        </is>
      </c>
    </row>
    <row r="8" ht="29" customHeight="1">
      <c r="C8" s="141" t="inlineStr">
        <is>
          <t>Duración Macaulay</t>
        </is>
      </c>
      <c r="D8" s="471">
        <f>SUM(I33:I39)/D7</f>
        <v/>
      </c>
      <c r="E8" s="141" t="inlineStr">
        <is>
          <t>Años</t>
        </is>
      </c>
      <c r="F8" s="141" t="inlineStr">
        <is>
          <t>Promedio temporal ponderado por VP</t>
        </is>
      </c>
      <c r="H8" s="84" t="inlineStr">
        <is>
          <t>Brecha de duración</t>
        </is>
      </c>
      <c r="I8" s="469">
        <f>I7-I6</f>
        <v/>
      </c>
      <c r="J8" s="84" t="inlineStr">
        <is>
          <t>Activo máximo menos pasivo</t>
        </is>
      </c>
    </row>
    <row r="9" ht="29" customHeight="1">
      <c r="C9" s="141" t="inlineStr">
        <is>
          <t>Duración modificada</t>
        </is>
      </c>
      <c r="D9" s="471">
        <f>D8/(1+D6)</f>
        <v/>
      </c>
      <c r="E9" s="141" t="inlineStr">
        <is>
          <t>Años</t>
        </is>
      </c>
      <c r="F9" s="141" t="inlineStr">
        <is>
          <t>Sensibilidad aproximada a tasas</t>
        </is>
      </c>
      <c r="H9" s="84" t="inlineStr">
        <is>
          <t>Calce exacto factible</t>
        </is>
      </c>
      <c r="I9" s="226">
        <f>IF(I8&gt;=0,"POSIBLE POR DURACIÓN","NO FACTIBLE CON VCLT/TLH/MM")</f>
        <v/>
      </c>
      <c r="J9" s="84" t="inlineStr">
        <is>
          <t>Evaluación con instrumentos actuales</t>
        </is>
      </c>
    </row>
    <row r="10" ht="29" customHeight="1">
      <c r="C10" s="141" t="inlineStr">
        <is>
          <t>Convexidad</t>
        </is>
      </c>
      <c r="D10" s="472">
        <f>SUM(J33:J39)/D7</f>
        <v/>
      </c>
      <c r="E10" s="141" t="inlineStr">
        <is>
          <t>Índice</t>
        </is>
      </c>
      <c r="F10" s="141" t="inlineStr">
        <is>
          <t>Curvatura del precio del pasivo</t>
        </is>
      </c>
      <c r="H10" s="84" t="inlineStr">
        <is>
          <t>Moneda de los pasivos</t>
        </is>
      </c>
      <c r="I10" s="228" t="inlineStr">
        <is>
          <t>CLP</t>
        </is>
      </c>
      <c r="J10" s="84" t="inlineStr">
        <is>
          <t>Obligación educacional local</t>
        </is>
      </c>
    </row>
    <row r="11" ht="29" customHeight="1">
      <c r="C11" s="141" t="inlineStr">
        <is>
          <t>Capital asignado</t>
        </is>
      </c>
      <c r="D11" s="470">
        <f>'02_TIR_Objetivos'!I7</f>
        <v/>
      </c>
      <c r="E11" s="141" t="inlineStr">
        <is>
          <t>USD</t>
        </is>
      </c>
      <c r="F11" s="141" t="inlineStr">
        <is>
          <t>Capital requerido calculado</t>
        </is>
      </c>
      <c r="H11" s="84" t="inlineStr">
        <is>
          <t>Moneda de los activos LDI</t>
        </is>
      </c>
      <c r="I11" s="228" t="inlineStr">
        <is>
          <t>USD</t>
        </is>
      </c>
      <c r="J11" s="84" t="inlineStr">
        <is>
          <t>VCLT, TLH y Money Market</t>
        </is>
      </c>
    </row>
    <row r="12" ht="29" customHeight="1">
      <c r="C12" s="141" t="inlineStr">
        <is>
          <t>Funding ratio</t>
        </is>
      </c>
      <c r="D12" s="473">
        <f>D11/D7</f>
        <v/>
      </c>
      <c r="E12" s="141" t="inlineStr">
        <is>
          <t>x</t>
        </is>
      </c>
      <c r="F12" s="141" t="inlineStr">
        <is>
          <t>Capital asignado / valor presente</t>
        </is>
      </c>
      <c r="H12" s="84" t="inlineStr">
        <is>
          <t>Riesgo cambiario</t>
        </is>
      </c>
      <c r="I12" s="228" t="inlineStr">
        <is>
          <t>ABIERTO</t>
        </is>
      </c>
      <c r="J12" s="84" t="inlineStr">
        <is>
          <t>Requiere cobertura o calce natural</t>
        </is>
      </c>
    </row>
    <row r="15">
      <c r="C15" s="467" t="inlineStr">
        <is>
          <t>3. INSTRUMENTOS CONSIDERADOS</t>
        </is>
      </c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  <c r="M15" s="425" t="n"/>
      <c r="N15" s="425" t="n"/>
      <c r="O15" s="425" t="n"/>
      <c r="P15" s="425" t="n"/>
    </row>
    <row r="16">
      <c r="C16" s="196" t="inlineStr">
        <is>
          <t>Componente</t>
        </is>
      </c>
      <c r="D16" s="196" t="inlineStr">
        <is>
          <t>Ticker</t>
        </is>
      </c>
      <c r="E16" s="196" t="inlineStr">
        <is>
          <t>Elegible LDI</t>
        </is>
      </c>
      <c r="F16" s="196" t="inlineStr">
        <is>
          <t>Duración efectiva</t>
        </is>
      </c>
      <c r="G16" s="196" t="inlineStr">
        <is>
          <t>Moneda</t>
        </is>
      </c>
      <c r="H16" s="196" t="inlineStr">
        <is>
          <t>Riesgo principal</t>
        </is>
      </c>
      <c r="I16" s="196" t="inlineStr">
        <is>
          <t>Fuente / fecha</t>
        </is>
      </c>
      <c r="J16" s="196" t="inlineStr">
        <is>
          <t>Estado</t>
        </is>
      </c>
      <c r="L16" s="196" t="inlineStr">
        <is>
          <t>Shock</t>
        </is>
      </c>
      <c r="M16" s="196" t="inlineStr">
        <is>
          <t>Tasa real</t>
        </is>
      </c>
      <c r="N16" s="196" t="inlineStr">
        <is>
          <t>VP educación</t>
        </is>
      </c>
      <c r="O16" s="196" t="inlineStr">
        <is>
          <t>Funding ratio</t>
        </is>
      </c>
      <c r="P16" s="196" t="inlineStr">
        <is>
          <t>Superávit / déficit</t>
        </is>
      </c>
    </row>
    <row r="17">
      <c r="C17" s="141" t="inlineStr">
        <is>
          <t>Bonos corporativos largos</t>
        </is>
      </c>
      <c r="D17" s="141" t="inlineStr">
        <is>
          <t>VCLT</t>
        </is>
      </c>
      <c r="E17" s="141" t="inlineStr">
        <is>
          <t>Sí</t>
        </is>
      </c>
      <c r="F17" s="474" t="n">
        <v>13</v>
      </c>
      <c r="G17" s="141" t="inlineStr">
        <is>
          <t>USD</t>
        </is>
      </c>
      <c r="H17" s="141" t="inlineStr">
        <is>
          <t>Tasa + spread de crédito</t>
        </is>
      </c>
      <c r="I17" s="141" t="inlineStr">
        <is>
          <t>Estructura_Portafolio.pdf</t>
        </is>
      </c>
      <c r="J17" s="141" t="inlineStr">
        <is>
          <t>Provisional; actualizar con factsheet</t>
        </is>
      </c>
      <c r="L17" s="475" t="n">
        <v>-0.02</v>
      </c>
      <c r="M17" s="475">
        <f>$D$6+L17</f>
        <v/>
      </c>
      <c r="N17" s="465">
        <f>SUMPRODUCT($F$33:$F$39/(1+M17)^$C$33:$C$39)</f>
        <v/>
      </c>
      <c r="O17" s="476">
        <f>$D$11/N17</f>
        <v/>
      </c>
      <c r="P17" s="465">
        <f>$D$11-N17</f>
        <v/>
      </c>
    </row>
    <row r="18">
      <c r="C18" s="141" t="inlineStr">
        <is>
          <t>Treasuries 10-20 años</t>
        </is>
      </c>
      <c r="D18" s="141" t="inlineStr">
        <is>
          <t>TLH</t>
        </is>
      </c>
      <c r="E18" s="141" t="inlineStr">
        <is>
          <t>Sí</t>
        </is>
      </c>
      <c r="F18" s="474" t="n">
        <v>11.71</v>
      </c>
      <c r="G18" s="141" t="inlineStr">
        <is>
          <t>USD</t>
        </is>
      </c>
      <c r="H18" s="141" t="inlineStr">
        <is>
          <t>Tasa soberana</t>
        </is>
      </c>
      <c r="I18" s="141" t="inlineStr">
        <is>
          <t>iShares, 09-09-2026</t>
        </is>
      </c>
      <c r="J18" s="141" t="inlineStr">
        <is>
          <t>Fuente oficial</t>
        </is>
      </c>
      <c r="L18" s="475" t="n">
        <v>-0.01</v>
      </c>
      <c r="M18" s="475">
        <f>$D$6+L18</f>
        <v/>
      </c>
      <c r="N18" s="465">
        <f>SUMPRODUCT($F$33:$F$39/(1+M18)^$C$33:$C$39)</f>
        <v/>
      </c>
      <c r="O18" s="476">
        <f>$D$11/N18</f>
        <v/>
      </c>
      <c r="P18" s="465">
        <f>$D$11-N18</f>
        <v/>
      </c>
    </row>
    <row r="19">
      <c r="C19" s="141" t="inlineStr">
        <is>
          <t>Money Market / T-Bills</t>
        </is>
      </c>
      <c r="D19" s="141" t="inlineStr">
        <is>
          <t>Por definir</t>
        </is>
      </c>
      <c r="E19" s="141" t="inlineStr">
        <is>
          <t>Sí</t>
        </is>
      </c>
      <c r="F19" s="474" t="n">
        <v>0.25</v>
      </c>
      <c r="G19" s="141" t="inlineStr">
        <is>
          <t>USD</t>
        </is>
      </c>
      <c r="H19" s="141" t="inlineStr">
        <is>
          <t>Reinversión</t>
        </is>
      </c>
      <c r="I19" s="141" t="inlineStr">
        <is>
          <t>Convención 3 meses</t>
        </is>
      </c>
      <c r="J19" s="141" t="inlineStr">
        <is>
          <t>Proxy</t>
        </is>
      </c>
      <c r="L19" s="477" t="n">
        <v>0</v>
      </c>
      <c r="M19" s="477">
        <f>$D$6+L19</f>
        <v/>
      </c>
      <c r="N19" s="478">
        <f>SUMPRODUCT($F$33:$F$39/(1+M19)^$C$33:$C$39)</f>
        <v/>
      </c>
      <c r="O19" s="479">
        <f>$D$11/N19</f>
        <v/>
      </c>
      <c r="P19" s="478">
        <f>$D$11-N19</f>
        <v/>
      </c>
    </row>
    <row r="20">
      <c r="C20" s="141" t="inlineStr">
        <is>
          <t>Beta pasiva S&amp;P 500</t>
        </is>
      </c>
      <c r="D20" s="141" t="inlineStr">
        <is>
          <t>SPY o VOO</t>
        </is>
      </c>
      <c r="E20" s="141" t="inlineStr">
        <is>
          <t>No</t>
        </is>
      </c>
      <c r="F20" s="474" t="n"/>
      <c r="G20" s="141" t="inlineStr">
        <is>
          <t>USD</t>
        </is>
      </c>
      <c r="H20" s="141" t="inlineStr">
        <is>
          <t>Renta variable</t>
        </is>
      </c>
      <c r="I20" s="141" t="inlineStr">
        <is>
          <t>Estrategia corregida</t>
        </is>
      </c>
      <c r="J20" s="141" t="inlineStr">
        <is>
          <t>Core pasivo; no inmuniza educación</t>
        </is>
      </c>
      <c r="L20" s="475" t="n">
        <v>0.01</v>
      </c>
      <c r="M20" s="475">
        <f>$D$6+L20</f>
        <v/>
      </c>
      <c r="N20" s="465">
        <f>SUMPRODUCT($F$33:$F$39/(1+M20)^$C$33:$C$39)</f>
        <v/>
      </c>
      <c r="O20" s="476">
        <f>$D$11/N20</f>
        <v/>
      </c>
      <c r="P20" s="465">
        <f>$D$11-N20</f>
        <v/>
      </c>
    </row>
    <row r="21">
      <c r="C21" s="141" t="inlineStr">
        <is>
          <t>Treasury STRIPS largos</t>
        </is>
      </c>
      <c r="D21" s="141" t="inlineStr">
        <is>
          <t>GOVZ (proxy EDV)</t>
        </is>
      </c>
      <c r="E21" s="141" t="inlineStr">
        <is>
          <t>Sí</t>
        </is>
      </c>
      <c r="F21" s="480" t="n">
        <v>26.52</v>
      </c>
      <c r="G21" s="141" t="inlineStr">
        <is>
          <t>USD</t>
        </is>
      </c>
      <c r="H21" s="141" t="inlineStr">
        <is>
          <t>Tasa (alta sensibilidad, sin spread de crédito)</t>
        </is>
      </c>
      <c r="I21" s="141" t="inlineStr">
        <is>
          <t>Yahoo Finance (EDV), 10-sep-2026 / '04_Universo_Benchmarks'!J17</t>
        </is>
      </c>
      <c r="J21" s="141" t="inlineStr">
        <is>
          <t>Agregado: faltaba en el listado pese a estar en 04_Universo_Benchmarks y disponible en 05_Datos_Historicos</t>
        </is>
      </c>
      <c r="L21" s="475" t="n">
        <v>0.02</v>
      </c>
      <c r="M21" s="475">
        <f>$D$6+L21</f>
        <v/>
      </c>
      <c r="N21" s="465">
        <f>SUMPRODUCT($F$33:$F$39/(1+M21)^$C$33:$C$39)</f>
        <v/>
      </c>
      <c r="O21" s="476">
        <f>$D$11/N21</f>
        <v/>
      </c>
      <c r="P21" s="465">
        <f>$D$11-N21</f>
        <v/>
      </c>
    </row>
    <row r="22" ht="28" customHeight="1">
      <c r="C22" s="233" t="inlineStr">
        <is>
          <t>Conclusión</t>
        </is>
      </c>
      <c r="D22" s="233" t="inlineStr">
        <is>
          <t>Con GOVZ (duración 26,52 años) incorporado al conjunto de instrumentos, la duración máxima disponible (26,52) supera la duración modificada del pasivo (16,5); el calce es factible por duración.</t>
        </is>
      </c>
      <c r="E22" s="427" t="n"/>
      <c r="F22" s="427" t="n"/>
      <c r="G22" s="427" t="n"/>
      <c r="H22" s="427" t="n"/>
      <c r="I22" s="427" t="n"/>
      <c r="J22" s="428" t="n"/>
    </row>
    <row r="23" ht="28" customHeight="1">
      <c r="C23" s="233" t="inlineStr">
        <is>
          <t>Implicancia</t>
        </is>
      </c>
      <c r="D23" s="233" t="inlineStr">
        <is>
          <t>Combinar VCLT, TLH y GOVZ (estrategia barbell) para igualar la duración del pasivo; ver pesos calculados en 09_Optimizador_Cartera.</t>
        </is>
      </c>
      <c r="E23" s="427" t="n"/>
      <c r="F23" s="427" t="n"/>
      <c r="G23" s="427" t="n"/>
      <c r="H23" s="427" t="n"/>
      <c r="I23" s="427" t="n"/>
      <c r="J23" s="428" t="n"/>
    </row>
    <row r="24" ht="28" customHeight="1">
      <c r="C24" s="233" t="inlineStr">
        <is>
          <t>Restricción</t>
        </is>
      </c>
      <c r="D24" s="233" t="inlineStr">
        <is>
          <t>Antes de asignar capital, validar GOVZ como proxy de STRIPS (liquidez, tracking) y fijar un límite de concentración dado su alto riesgo de tasa.</t>
        </is>
      </c>
      <c r="E24" s="427" t="n"/>
      <c r="F24" s="427" t="n"/>
      <c r="G24" s="427" t="n"/>
      <c r="H24" s="427" t="n"/>
      <c r="I24" s="427" t="n"/>
      <c r="J24" s="428" t="n"/>
      <c r="L24" s="467" t="inlineStr">
        <is>
          <t>CONTROLES</t>
        </is>
      </c>
      <c r="M24" s="425" t="n"/>
      <c r="N24" s="425" t="n"/>
      <c r="O24" s="425" t="n"/>
      <c r="P24" s="425" t="n"/>
    </row>
    <row r="25">
      <c r="L25" s="218" t="inlineStr">
        <is>
          <t>Control</t>
        </is>
      </c>
      <c r="M25" s="218" t="inlineStr">
        <is>
          <t>Resultado</t>
        </is>
      </c>
      <c r="N25" s="218" t="inlineStr">
        <is>
          <t>Referencia</t>
        </is>
      </c>
      <c r="O25" s="218" t="inlineStr">
        <is>
          <t>Diferencia</t>
        </is>
      </c>
      <c r="P25" s="218" t="inlineStr">
        <is>
          <t>Estado</t>
        </is>
      </c>
    </row>
    <row r="26">
      <c r="L26" s="46" t="inlineStr">
        <is>
          <t>VP educación</t>
        </is>
      </c>
      <c r="M26" s="459">
        <f>D7</f>
        <v/>
      </c>
      <c r="N26" s="459">
        <f>'02_TIR_Objetivos'!I7</f>
        <v/>
      </c>
      <c r="O26" s="459">
        <f>M26-N26</f>
        <v/>
      </c>
      <c r="P26" s="221">
        <f>IF(ABS(O26)&lt;0.01,"OK","ERROR")</f>
        <v/>
      </c>
    </row>
    <row r="27">
      <c r="L27" s="46" t="inlineStr">
        <is>
          <t>Funding ratio</t>
        </is>
      </c>
      <c r="M27" s="459">
        <f>D12</f>
        <v/>
      </c>
      <c r="N27" s="459" t="n">
        <v>1</v>
      </c>
      <c r="O27" s="459">
        <f>M27-N27</f>
        <v/>
      </c>
      <c r="P27" s="221">
        <f>IF(ABS(O27)&lt;0.01,"OK","ERROR")</f>
        <v/>
      </c>
    </row>
    <row r="28">
      <c r="L28" s="46" t="inlineStr">
        <is>
          <t>Pagos totales</t>
        </is>
      </c>
      <c r="M28" s="459">
        <f>F40</f>
        <v/>
      </c>
      <c r="N28" s="459">
        <f>'00_Inputs'!D39</f>
        <v/>
      </c>
      <c r="O28" s="459">
        <f>M28-N28</f>
        <v/>
      </c>
      <c r="P28" s="221">
        <f>IF(ABS(O28)&lt;0.01,"OK","ERROR")</f>
        <v/>
      </c>
    </row>
    <row r="29">
      <c r="L29" s="46" t="inlineStr">
        <is>
          <t>Duración positiva</t>
        </is>
      </c>
      <c r="M29" s="459">
        <f>D9</f>
        <v/>
      </c>
      <c r="N29" s="459" t="n">
        <v>0</v>
      </c>
      <c r="O29" s="459">
        <f>M29-N29</f>
        <v/>
      </c>
      <c r="P29" s="221">
        <f>IF(M29&gt;0,"OK","ERROR")</f>
        <v/>
      </c>
    </row>
    <row r="30">
      <c r="L30" s="46" t="inlineStr">
        <is>
          <t>Factibilidad informada</t>
        </is>
      </c>
      <c r="M30" s="459">
        <f>IF(I9&lt;&gt;"",1,0)</f>
        <v/>
      </c>
      <c r="N30" s="459" t="n">
        <v>1</v>
      </c>
      <c r="O30" s="459">
        <f>M30-N30</f>
        <v/>
      </c>
      <c r="P30" s="221">
        <f>IF(ABS(O30)&lt;0.01,"OK","ERROR")</f>
        <v/>
      </c>
    </row>
    <row r="31">
      <c r="C31" s="467" t="inlineStr">
        <is>
          <t>CALENDARIO Y DURACIÓN DEL PASIVO</t>
        </is>
      </c>
      <c r="D31" s="425" t="n"/>
      <c r="E31" s="425" t="n"/>
      <c r="F31" s="425" t="n"/>
      <c r="G31" s="425" t="n"/>
      <c r="H31" s="425" t="n"/>
      <c r="I31" s="425" t="n"/>
      <c r="J31" s="425" t="n"/>
    </row>
    <row r="32">
      <c r="C32" s="196" t="inlineStr">
        <is>
          <t>Año</t>
        </is>
      </c>
      <c r="D32" s="196" t="inlineStr">
        <is>
          <t>Vicente</t>
        </is>
      </c>
      <c r="E32" s="196" t="inlineStr">
        <is>
          <t>Emilia</t>
        </is>
      </c>
      <c r="F32" s="196" t="inlineStr">
        <is>
          <t>Pago total</t>
        </is>
      </c>
      <c r="G32" s="196" t="inlineStr">
        <is>
          <t>Factor descuento</t>
        </is>
      </c>
      <c r="H32" s="196" t="inlineStr">
        <is>
          <t>Valor presente</t>
        </is>
      </c>
      <c r="I32" s="196" t="inlineStr">
        <is>
          <t>Año x VP</t>
        </is>
      </c>
      <c r="J32" s="196" t="inlineStr">
        <is>
          <t>Convexidad contrib.</t>
        </is>
      </c>
    </row>
    <row r="33">
      <c r="C33" s="46" t="n">
        <v>14</v>
      </c>
      <c r="D33" s="452">
        <f>-'01_Flujos'!F24</f>
        <v/>
      </c>
      <c r="E33" s="452">
        <f>-'01_Flujos'!G24</f>
        <v/>
      </c>
      <c r="F33" s="465">
        <f>D33+E33</f>
        <v/>
      </c>
      <c r="G33" s="459">
        <f>1/(1+$D$6)^C33</f>
        <v/>
      </c>
      <c r="H33" s="465">
        <f>F33*G33</f>
        <v/>
      </c>
      <c r="I33" s="465">
        <f>C33*H33</f>
        <v/>
      </c>
      <c r="J33" s="465">
        <f>C33*(C33+1)*F33/(1+$D$6)^(C33+2)</f>
        <v/>
      </c>
    </row>
    <row r="34">
      <c r="C34" s="46" t="n">
        <v>15</v>
      </c>
      <c r="D34" s="452">
        <f>-'01_Flujos'!F25</f>
        <v/>
      </c>
      <c r="E34" s="452">
        <f>-'01_Flujos'!G25</f>
        <v/>
      </c>
      <c r="F34" s="465">
        <f>D34+E34</f>
        <v/>
      </c>
      <c r="G34" s="459">
        <f>1/(1+$D$6)^C34</f>
        <v/>
      </c>
      <c r="H34" s="465">
        <f>F34*G34</f>
        <v/>
      </c>
      <c r="I34" s="465">
        <f>C34*H34</f>
        <v/>
      </c>
      <c r="J34" s="465">
        <f>C34*(C34+1)*F34/(1+$D$6)^(C34+2)</f>
        <v/>
      </c>
    </row>
    <row r="35">
      <c r="C35" s="46" t="n">
        <v>16</v>
      </c>
      <c r="D35" s="452">
        <f>-'01_Flujos'!F26</f>
        <v/>
      </c>
      <c r="E35" s="452">
        <f>-'01_Flujos'!G26</f>
        <v/>
      </c>
      <c r="F35" s="465">
        <f>D35+E35</f>
        <v/>
      </c>
      <c r="G35" s="459">
        <f>1/(1+$D$6)^C35</f>
        <v/>
      </c>
      <c r="H35" s="465">
        <f>F35*G35</f>
        <v/>
      </c>
      <c r="I35" s="465">
        <f>C35*H35</f>
        <v/>
      </c>
      <c r="J35" s="465">
        <f>C35*(C35+1)*F35/(1+$D$6)^(C35+2)</f>
        <v/>
      </c>
    </row>
    <row r="36">
      <c r="C36" s="46" t="n">
        <v>17</v>
      </c>
      <c r="D36" s="452">
        <f>-'01_Flujos'!F27</f>
        <v/>
      </c>
      <c r="E36" s="452">
        <f>-'01_Flujos'!G27</f>
        <v/>
      </c>
      <c r="F36" s="465">
        <f>D36+E36</f>
        <v/>
      </c>
      <c r="G36" s="459">
        <f>1/(1+$D$6)^C36</f>
        <v/>
      </c>
      <c r="H36" s="465">
        <f>F36*G36</f>
        <v/>
      </c>
      <c r="I36" s="465">
        <f>C36*H36</f>
        <v/>
      </c>
      <c r="J36" s="465">
        <f>C36*(C36+1)*F36/(1+$D$6)^(C36+2)</f>
        <v/>
      </c>
    </row>
    <row r="37">
      <c r="C37" s="46" t="n">
        <v>18</v>
      </c>
      <c r="D37" s="452">
        <f>-'01_Flujos'!F28</f>
        <v/>
      </c>
      <c r="E37" s="452">
        <f>-'01_Flujos'!G28</f>
        <v/>
      </c>
      <c r="F37" s="465">
        <f>D37+E37</f>
        <v/>
      </c>
      <c r="G37" s="459">
        <f>1/(1+$D$6)^C37</f>
        <v/>
      </c>
      <c r="H37" s="465">
        <f>F37*G37</f>
        <v/>
      </c>
      <c r="I37" s="465">
        <f>C37*H37</f>
        <v/>
      </c>
      <c r="J37" s="465">
        <f>C37*(C37+1)*F37/(1+$D$6)^(C37+2)</f>
        <v/>
      </c>
    </row>
    <row r="38">
      <c r="C38" s="46" t="n">
        <v>19</v>
      </c>
      <c r="D38" s="452">
        <f>-'01_Flujos'!F29</f>
        <v/>
      </c>
      <c r="E38" s="452">
        <f>-'01_Flujos'!G29</f>
        <v/>
      </c>
      <c r="F38" s="465">
        <f>D38+E38</f>
        <v/>
      </c>
      <c r="G38" s="459">
        <f>1/(1+$D$6)^C38</f>
        <v/>
      </c>
      <c r="H38" s="465">
        <f>F38*G38</f>
        <v/>
      </c>
      <c r="I38" s="465">
        <f>C38*H38</f>
        <v/>
      </c>
      <c r="J38" s="465">
        <f>C38*(C38+1)*F38/(1+$D$6)^(C38+2)</f>
        <v/>
      </c>
    </row>
    <row r="39">
      <c r="C39" s="46" t="n">
        <v>20</v>
      </c>
      <c r="D39" s="452">
        <f>-'01_Flujos'!F30</f>
        <v/>
      </c>
      <c r="E39" s="452">
        <f>-'01_Flujos'!G30</f>
        <v/>
      </c>
      <c r="F39" s="465">
        <f>D39+E39</f>
        <v/>
      </c>
      <c r="G39" s="459">
        <f>1/(1+$D$6)^C39</f>
        <v/>
      </c>
      <c r="H39" s="465">
        <f>F39*G39</f>
        <v/>
      </c>
      <c r="I39" s="465">
        <f>C39*H39</f>
        <v/>
      </c>
      <c r="J39" s="465">
        <f>C39*(C39+1)*F39/(1+$D$6)^(C39+2)</f>
        <v/>
      </c>
    </row>
    <row r="40">
      <c r="C40" s="205" t="inlineStr">
        <is>
          <t>Total</t>
        </is>
      </c>
      <c r="D40" s="205" t="n"/>
      <c r="E40" s="205" t="n"/>
      <c r="F40" s="481">
        <f>SUM(F33:F39)</f>
        <v/>
      </c>
      <c r="G40" s="205" t="n"/>
      <c r="H40" s="481">
        <f>SUM(H33:H39)</f>
        <v/>
      </c>
      <c r="I40" s="481">
        <f>SUM(I33:I39)</f>
        <v/>
      </c>
      <c r="J40" s="481">
        <f>SUM(J33:J39)</f>
        <v/>
      </c>
    </row>
  </sheetData>
  <mergeCells count="11">
    <mergeCell ref="D22:J22"/>
    <mergeCell ref="C3:L3"/>
    <mergeCell ref="L15:P15"/>
    <mergeCell ref="C2:L2"/>
    <mergeCell ref="L24:P24"/>
    <mergeCell ref="C15:L15"/>
    <mergeCell ref="D24:J24"/>
    <mergeCell ref="H5:L5"/>
    <mergeCell ref="C5:F5"/>
    <mergeCell ref="C31:J31"/>
    <mergeCell ref="D23:J23"/>
  </mergeCells>
  <conditionalFormatting sqref="P26:P30">
    <cfRule type="containsText" priority="1" operator="containsText" dxfId="0" text="ERROR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C2:R48"/>
  <sheetViews>
    <sheetView showGridLines="0" workbookViewId="0">
      <pane xSplit="3" ySplit="13" topLeftCell="D14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5" customWidth="1" min="3" max="3"/>
    <col width="31" customWidth="1" min="4" max="4"/>
    <col width="17" customWidth="1" min="5" max="5"/>
    <col width="24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24" customWidth="1" min="12" max="12"/>
    <col width="24" customWidth="1" min="13" max="13"/>
    <col width="3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2" ht="30" customHeight="1">
      <c r="C2" s="482" t="inlineStr">
        <is>
          <t>MODELO NEXUM - UNIVERSO ESTRATÉGICO Y BENCHMARKS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</row>
    <row r="3">
      <c r="C3" s="426" t="inlineStr">
        <is>
          <t>Define las unidades que entrarán al optimizador y su medición. Los pesos todavía no se fijan: serán una salida de Markowitz/Solver.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</row>
    <row r="5">
      <c r="C5" s="483" t="inlineStr">
        <is>
          <t>RESUMEN DEL UNIVERSO</t>
        </is>
      </c>
      <c r="D5" s="425" t="n"/>
      <c r="E5" s="425" t="n"/>
      <c r="F5" s="425" t="n"/>
      <c r="H5" s="483" t="inlineStr">
        <is>
          <t>CRITERIO METODOLÓGICO</t>
        </is>
      </c>
      <c r="I5" s="425" t="n"/>
      <c r="J5" s="425" t="n"/>
      <c r="K5" s="425" t="n"/>
      <c r="L5" s="425" t="n"/>
      <c r="M5" s="425" t="n"/>
    </row>
    <row r="6">
      <c r="C6" s="141" t="inlineStr">
        <is>
          <t>Sleeves optimizables</t>
        </is>
      </c>
      <c r="D6" s="240">
        <f>COUNTIF(G15:G22,"Sí")</f>
        <v/>
      </c>
      <c r="E6" s="141" t="inlineStr">
        <is>
          <t>unidades</t>
        </is>
      </c>
      <c r="F6" s="141" t="inlineStr">
        <is>
          <t>Cada fila es una serie de retorno</t>
        </is>
      </c>
      <c r="H6" s="141" t="inlineStr">
        <is>
          <t>Unidad de optimización</t>
        </is>
      </c>
      <c r="I6" s="243" t="inlineStr">
        <is>
          <t>Sleeve estratégico</t>
        </is>
      </c>
      <c r="J6" s="141" t="n"/>
      <c r="K6" s="141" t="inlineStr">
        <is>
          <t>Evita mezclar acciones individuales con ETF</t>
        </is>
      </c>
      <c r="L6" s="141" t="n"/>
      <c r="M6" s="141" t="n"/>
    </row>
    <row r="7">
      <c r="C7" s="141" t="inlineStr">
        <is>
          <t>Pasivos / core</t>
        </is>
      </c>
      <c r="D7" s="240">
        <f>COUNTIF(E15:E22,"Pasiva / core")</f>
        <v/>
      </c>
      <c r="E7" s="141" t="inlineStr">
        <is>
          <t>unidades</t>
        </is>
      </c>
      <c r="F7" s="141" t="inlineStr">
        <is>
          <t>ETF o liquidez</t>
        </is>
      </c>
      <c r="H7" s="141" t="inlineStr">
        <is>
          <t>Frecuencia objetivo</t>
        </is>
      </c>
      <c r="I7" s="243" t="inlineStr">
        <is>
          <t>Mensual</t>
        </is>
      </c>
      <c r="J7" s="141" t="n"/>
      <c r="K7" s="141" t="inlineStr">
        <is>
          <t>Retornos totales en USD</t>
        </is>
      </c>
      <c r="L7" s="141" t="n"/>
      <c r="M7" s="141" t="n"/>
    </row>
    <row r="8">
      <c r="C8" s="141" t="inlineStr">
        <is>
          <t>Activos</t>
        </is>
      </c>
      <c r="D8" s="240">
        <f>COUNTIF(E15:E22,"Activa")</f>
        <v/>
      </c>
      <c r="E8" s="141" t="inlineStr">
        <is>
          <t>unidades</t>
        </is>
      </c>
      <c r="F8" s="141" t="inlineStr">
        <is>
          <t>Estrategias sistemáticas</t>
        </is>
      </c>
      <c r="H8" s="141" t="inlineStr">
        <is>
          <t>ETF pasivos</t>
        </is>
      </c>
      <c r="I8" s="243" t="inlineStr">
        <is>
          <t>Total return</t>
        </is>
      </c>
      <c r="J8" s="141" t="n"/>
      <c r="K8" s="141" t="inlineStr">
        <is>
          <t>Precio ajustado por distribuciones</t>
        </is>
      </c>
      <c r="L8" s="141" t="n"/>
      <c r="M8" s="141" t="n"/>
    </row>
    <row r="9">
      <c r="C9" s="141" t="inlineStr">
        <is>
          <t>Elegibles LDI</t>
        </is>
      </c>
      <c r="D9" s="240">
        <f>COUNTIF(H15:H22,"Sí")</f>
        <v/>
      </c>
      <c r="E9" s="141" t="inlineStr">
        <is>
          <t>unidades</t>
        </is>
      </c>
      <c r="F9" s="141" t="inlineStr">
        <is>
          <t>Tasa, crédito o caja</t>
        </is>
      </c>
      <c r="H9" s="141" t="inlineStr">
        <is>
          <t>Estrategias activas</t>
        </is>
      </c>
      <c r="I9" s="243" t="inlineStr">
        <is>
          <t>Backtest neto</t>
        </is>
      </c>
      <c r="J9" s="141" t="n"/>
      <c r="K9" s="141" t="inlineStr">
        <is>
          <t>Serie construida con reglas ex ante</t>
        </is>
      </c>
      <c r="L9" s="141" t="n"/>
      <c r="M9" s="141" t="n"/>
    </row>
    <row r="10">
      <c r="C10" s="141" t="inlineStr">
        <is>
          <t>Mayor duración disponible</t>
        </is>
      </c>
      <c r="D10" s="484">
        <f>MAX(J15:J22)</f>
        <v/>
      </c>
      <c r="E10" s="141" t="inlineStr">
        <is>
          <t>años</t>
        </is>
      </c>
      <c r="F10" s="141" t="inlineStr">
        <is>
          <t>Incluye GOVZ candidato</t>
        </is>
      </c>
      <c r="H10" s="141" t="inlineStr">
        <is>
          <t>Pesos</t>
        </is>
      </c>
      <c r="I10" s="243" t="inlineStr">
        <is>
          <t>Borrador en 09_Optimizador_Cartera</t>
        </is>
      </c>
      <c r="J10" s="141" t="n"/>
      <c r="K10" s="141" t="inlineStr">
        <is>
          <t>Sujeto a validar con Solver en Excel; ver limitaciones en esa hoja</t>
        </is>
      </c>
      <c r="L10" s="141" t="n"/>
      <c r="M10" s="141" t="n"/>
    </row>
    <row r="11">
      <c r="C11" s="141" t="inlineStr">
        <is>
          <t>Brecha vs. pasivo</t>
        </is>
      </c>
      <c r="D11" s="484">
        <f>D10-'03_LDI_Educacion'!D9</f>
        <v/>
      </c>
      <c r="E11" s="141" t="inlineStr">
        <is>
          <t>años</t>
        </is>
      </c>
      <c r="F11" s="141" t="inlineStr">
        <is>
          <t>Máximo activo menos pasivo</t>
        </is>
      </c>
      <c r="H11" s="141" t="inlineStr">
        <is>
          <t>Benchmark de política</t>
        </is>
      </c>
      <c r="I11" s="243" t="inlineStr">
        <is>
          <t>Dinámico</t>
        </is>
      </c>
      <c r="J11" s="141" t="n"/>
      <c r="K11" s="141" t="inlineStr">
        <is>
          <t>Suma de pesos finales × benchmarks</t>
        </is>
      </c>
      <c r="L11" s="141" t="n"/>
      <c r="M11" s="141" t="n"/>
    </row>
    <row r="13">
      <c r="C13" s="483" t="inlineStr">
        <is>
          <t>1. UNIVERSO PARA OPTIMIZACIÓN</t>
        </is>
      </c>
      <c r="D13" s="425" t="n"/>
      <c r="E13" s="425" t="n"/>
      <c r="F13" s="425" t="n"/>
      <c r="G13" s="425" t="n"/>
      <c r="H13" s="425" t="n"/>
      <c r="I13" s="425" t="n"/>
      <c r="J13" s="425" t="n"/>
      <c r="K13" s="425" t="n"/>
      <c r="L13" s="425" t="n"/>
      <c r="M13" s="425" t="n"/>
      <c r="O13" s="483" t="inlineStr">
        <is>
          <t>CONTROLES</t>
        </is>
      </c>
      <c r="P13" s="425" t="n"/>
      <c r="Q13" s="425" t="n"/>
      <c r="R13" s="425" t="n"/>
    </row>
    <row r="14" ht="32" customHeight="1">
      <c r="C14" s="248" t="inlineStr">
        <is>
          <t>ID</t>
        </is>
      </c>
      <c r="D14" s="248" t="inlineStr">
        <is>
          <t>Sleeve estratégico</t>
        </is>
      </c>
      <c r="E14" s="248" t="inlineStr">
        <is>
          <t>Gestión</t>
        </is>
      </c>
      <c r="F14" s="248" t="inlineStr">
        <is>
          <t>Implementación base</t>
        </is>
      </c>
      <c r="G14" s="248" t="inlineStr">
        <is>
          <t>Optimizador</t>
        </is>
      </c>
      <c r="H14" s="248" t="inlineStr">
        <is>
          <t>LDI</t>
        </is>
      </c>
      <c r="I14" s="248" t="inlineStr">
        <is>
          <t>Moneda</t>
        </is>
      </c>
      <c r="J14" s="248" t="inlineStr">
        <is>
          <t>Duración</t>
        </is>
      </c>
      <c r="K14" s="248" t="inlineStr">
        <is>
          <t>Costo anual</t>
        </is>
      </c>
      <c r="L14" s="248" t="inlineStr">
        <is>
          <t>Serie requerida</t>
        </is>
      </c>
      <c r="M14" s="248" t="inlineStr">
        <is>
          <t>Estado</t>
        </is>
      </c>
      <c r="O14" s="248" t="inlineStr">
        <is>
          <t>Control</t>
        </is>
      </c>
      <c r="P14" s="248" t="inlineStr">
        <is>
          <t>Resultado</t>
        </is>
      </c>
      <c r="Q14" s="248" t="inlineStr">
        <is>
          <t>Objetivo</t>
        </is>
      </c>
      <c r="R14" s="248" t="inlineStr">
        <is>
          <t>Estado</t>
        </is>
      </c>
    </row>
    <row r="15">
      <c r="C15" s="141" t="inlineStr">
        <is>
          <t>LDI_CORP</t>
        </is>
      </c>
      <c r="D15" s="141" t="inlineStr">
        <is>
          <t>Bonos corporativos largos</t>
        </is>
      </c>
      <c r="E15" s="141" t="inlineStr">
        <is>
          <t>Pasiva / core</t>
        </is>
      </c>
      <c r="F15" s="141" t="inlineStr">
        <is>
          <t>VCLT</t>
        </is>
      </c>
      <c r="G15" s="141" t="inlineStr">
        <is>
          <t>Sí</t>
        </is>
      </c>
      <c r="H15" s="141" t="inlineStr">
        <is>
          <t>Sí</t>
        </is>
      </c>
      <c r="I15" s="141" t="inlineStr">
        <is>
          <t>USD</t>
        </is>
      </c>
      <c r="J15" s="485" t="n">
        <v>13</v>
      </c>
      <c r="K15" s="486" t="n"/>
      <c r="L15" s="141" t="inlineStr">
        <is>
          <t>TR mensual VCLT</t>
        </is>
      </c>
      <c r="M15" s="141" t="inlineStr">
        <is>
          <t>Incluido; duración + spread de crédito</t>
        </is>
      </c>
      <c r="O15" s="141" t="inlineStr">
        <is>
          <t>IDs únicos</t>
        </is>
      </c>
      <c r="P15" s="141">
        <f>IF(AND(COUNTIF($C$15:$C$22,C15)=1,COUNTIF($C$15:$C$22,C16)=1,COUNTIF($C$15:$C$22,C17)=1,COUNTIF($C$15:$C$22,C18)=1,COUNTIF($C$15:$C$22,C19)=1,COUNTIF($C$15:$C$22,C20)=1,COUNTIF($C$15:$C$22,C21)=1,COUNTIF($C$15:$C$22,C22)=1),0,1)</f>
        <v/>
      </c>
      <c r="Q15" s="141" t="n">
        <v>0</v>
      </c>
      <c r="R15" s="254">
        <f>IF(P15=Q15,"OK","REVISAR")</f>
        <v/>
      </c>
    </row>
    <row r="16">
      <c r="C16" s="141" t="inlineStr">
        <is>
          <t>LDI_TSY</t>
        </is>
      </c>
      <c r="D16" s="141" t="inlineStr">
        <is>
          <t>Treasuries 10–20 años</t>
        </is>
      </c>
      <c r="E16" s="141" t="inlineStr">
        <is>
          <t>Pasiva / core</t>
        </is>
      </c>
      <c r="F16" s="141" t="inlineStr">
        <is>
          <t>TLH</t>
        </is>
      </c>
      <c r="G16" s="141" t="inlineStr">
        <is>
          <t>Sí</t>
        </is>
      </c>
      <c r="H16" s="141" t="inlineStr">
        <is>
          <t>Sí</t>
        </is>
      </c>
      <c r="I16" s="141" t="inlineStr">
        <is>
          <t>USD</t>
        </is>
      </c>
      <c r="J16" s="485" t="n">
        <v>11.71</v>
      </c>
      <c r="K16" s="486" t="n">
        <v>0.0015</v>
      </c>
      <c r="L16" s="141" t="inlineStr">
        <is>
          <t>TR mensual TLH</t>
        </is>
      </c>
      <c r="M16" s="141" t="inlineStr">
        <is>
          <t>Incluido; duración soberana líquida</t>
        </is>
      </c>
      <c r="O16" s="141" t="inlineStr">
        <is>
          <t>Benchmark por sleeve</t>
        </is>
      </c>
      <c r="P16" s="141">
        <f>COUNTBLANK(D27:D34)</f>
        <v/>
      </c>
      <c r="Q16" s="141" t="n">
        <v>0</v>
      </c>
      <c r="R16" s="254">
        <f>IF(P16=Q16,"OK","REVISAR")</f>
        <v/>
      </c>
    </row>
    <row r="17">
      <c r="C17" s="141" t="inlineStr">
        <is>
          <t>LDI_STRIPS</t>
        </is>
      </c>
      <c r="D17" s="141" t="inlineStr">
        <is>
          <t>Treasury STRIPS largos</t>
        </is>
      </c>
      <c r="E17" s="141" t="inlineStr">
        <is>
          <t>Pasiva / core</t>
        </is>
      </c>
      <c r="F17" s="141" t="inlineStr">
        <is>
          <t>GOVZ</t>
        </is>
      </c>
      <c r="G17" s="141" t="inlineStr">
        <is>
          <t>Sí</t>
        </is>
      </c>
      <c r="H17" s="141" t="inlineStr">
        <is>
          <t>Sí</t>
        </is>
      </c>
      <c r="I17" s="141" t="inlineStr">
        <is>
          <t>USD</t>
        </is>
      </c>
      <c r="J17" s="485" t="n">
        <v>26.52</v>
      </c>
      <c r="K17" s="486" t="n">
        <v>0.001</v>
      </c>
      <c r="L17" s="141" t="inlineStr">
        <is>
          <t>TR mensual GOVZ</t>
        </is>
      </c>
      <c r="M17" s="141" t="inlineStr">
        <is>
          <t>Candidato; fuente oficial</t>
        </is>
      </c>
      <c r="O17" s="141" t="inlineStr">
        <is>
          <t>Pesos fijados</t>
        </is>
      </c>
      <c r="P17" s="141" t="n">
        <v>0</v>
      </c>
      <c r="Q17" s="141" t="n">
        <v>0</v>
      </c>
      <c r="R17" s="254">
        <f>IF(P17=Q17,"OK","REVISAR")</f>
        <v/>
      </c>
    </row>
    <row r="18">
      <c r="C18" s="141" t="inlineStr">
        <is>
          <t>EQ_CORE</t>
        </is>
      </c>
      <c r="D18" s="141" t="inlineStr">
        <is>
          <t>Beta pasiva S&amp;P 500</t>
        </is>
      </c>
      <c r="E18" s="141" t="inlineStr">
        <is>
          <t>Pasiva / core</t>
        </is>
      </c>
      <c r="F18" s="141" t="inlineStr">
        <is>
          <t>SPY (VOO admisible)</t>
        </is>
      </c>
      <c r="G18" s="141" t="inlineStr">
        <is>
          <t>Sí</t>
        </is>
      </c>
      <c r="H18" s="141" t="inlineStr">
        <is>
          <t>No</t>
        </is>
      </c>
      <c r="I18" s="141" t="inlineStr">
        <is>
          <t>USD</t>
        </is>
      </c>
      <c r="J18" s="485" t="n"/>
      <c r="K18" s="486" t="n">
        <v>0.000945</v>
      </c>
      <c r="L18" s="141" t="inlineStr">
        <is>
          <t>TR mensual ETF</t>
        </is>
      </c>
      <c r="M18" s="141" t="inlineStr">
        <is>
          <t>Fuente oficial SPY</t>
        </is>
      </c>
      <c r="O18" s="141" t="inlineStr">
        <is>
          <t>Moneda única</t>
        </is>
      </c>
      <c r="P18" s="141">
        <f>COUNTIF(I15:I22,"&lt;&gt;USD")</f>
        <v/>
      </c>
      <c r="Q18" s="141" t="n">
        <v>0</v>
      </c>
      <c r="R18" s="254">
        <f>IF(P18=Q18,"OK","REVISAR")</f>
        <v/>
      </c>
    </row>
    <row r="19">
      <c r="C19" s="141" t="inlineStr">
        <is>
          <t>CASH</t>
        </is>
      </c>
      <c r="D19" s="141" t="inlineStr">
        <is>
          <t>Liquidez / T-Bills 0–3m</t>
        </is>
      </c>
      <c r="E19" s="141" t="inlineStr">
        <is>
          <t>Pasiva / core</t>
        </is>
      </c>
      <c r="F19" s="141" t="inlineStr">
        <is>
          <t>SGOV</t>
        </is>
      </c>
      <c r="G19" s="141" t="inlineStr">
        <is>
          <t>Sí</t>
        </is>
      </c>
      <c r="H19" s="141" t="inlineStr">
        <is>
          <t>Sí</t>
        </is>
      </c>
      <c r="I19" s="141" t="inlineStr">
        <is>
          <t>USD</t>
        </is>
      </c>
      <c r="J19" s="485" t="n">
        <v>0.25</v>
      </c>
      <c r="K19" s="486" t="n">
        <v>0.0009</v>
      </c>
      <c r="L19" s="141" t="inlineStr">
        <is>
          <t>TR mensual SGOV</t>
        </is>
      </c>
      <c r="M19" s="141" t="inlineStr">
        <is>
          <t>Duración proxy</t>
        </is>
      </c>
      <c r="O19" s="141" t="inlineStr">
        <is>
          <t>Factibilidad duración</t>
        </is>
      </c>
      <c r="P19" s="141">
        <f>IF(D11&gt;=0,1,0)</f>
        <v/>
      </c>
      <c r="Q19" s="141" t="n">
        <v>1</v>
      </c>
      <c r="R19" s="254">
        <f>IF(P19=Q19,"OK","REVISAR")</f>
        <v/>
      </c>
    </row>
    <row r="20">
      <c r="C20" s="141" t="inlineStr">
        <is>
          <t>MOM_EQ</t>
        </is>
      </c>
      <c r="D20" s="141" t="inlineStr">
        <is>
          <t>Momentum renta variable</t>
        </is>
      </c>
      <c r="E20" s="141" t="inlineStr">
        <is>
          <t>Activa</t>
        </is>
      </c>
      <c r="F20" s="141" t="inlineStr">
        <is>
          <t>Acciones S&amp;P 500</t>
        </is>
      </c>
      <c r="G20" s="141" t="inlineStr">
        <is>
          <t>Sí</t>
        </is>
      </c>
      <c r="H20" s="141" t="inlineStr">
        <is>
          <t>No</t>
        </is>
      </c>
      <c r="I20" s="141" t="inlineStr">
        <is>
          <t>USD</t>
        </is>
      </c>
      <c r="J20" s="485" t="n"/>
      <c r="K20" s="486" t="n"/>
      <c r="L20" s="141" t="inlineStr">
        <is>
          <t>Backtest neto estrategia</t>
        </is>
      </c>
      <c r="M20" s="141" t="inlineStr">
        <is>
          <t>Reglas por parametrizar</t>
        </is>
      </c>
      <c r="O20" s="141" t="inlineStr">
        <is>
          <t>Activos con backtest</t>
        </is>
      </c>
      <c r="P20" s="141">
        <f>IF(L20="Backtest neto estrategia",1,0)+IF(L21="Backtest neto estrategia",1,0)+IF(L22="Backtest neto estrategia",1,0)</f>
        <v/>
      </c>
      <c r="Q20" s="141" t="n">
        <v>3</v>
      </c>
      <c r="R20" s="254">
        <f>IF(P20=Q20,"OK","REVISAR")</f>
        <v/>
      </c>
    </row>
    <row r="21">
      <c r="C21" s="141" t="inlineStr">
        <is>
          <t>BAB_EQ</t>
        </is>
      </c>
      <c r="D21" s="141" t="inlineStr">
        <is>
          <t>Betting Against Beta</t>
        </is>
      </c>
      <c r="E21" s="141" t="inlineStr">
        <is>
          <t>Activa</t>
        </is>
      </c>
      <c r="F21" s="141" t="inlineStr">
        <is>
          <t>Acciones S&amp;P 500</t>
        </is>
      </c>
      <c r="G21" s="141" t="inlineStr">
        <is>
          <t>Sí</t>
        </is>
      </c>
      <c r="H21" s="141" t="inlineStr">
        <is>
          <t>No</t>
        </is>
      </c>
      <c r="I21" s="141" t="inlineStr">
        <is>
          <t>USD</t>
        </is>
      </c>
      <c r="J21" s="485" t="n"/>
      <c r="K21" s="486" t="n"/>
      <c r="L21" s="141" t="inlineStr">
        <is>
          <t>Backtest neto estrategia</t>
        </is>
      </c>
      <c r="M21" s="141" t="inlineStr">
        <is>
          <t>Beta objetivo pendiente</t>
        </is>
      </c>
    </row>
    <row r="22">
      <c r="C22" s="141" t="inlineStr">
        <is>
          <t>MOM_CMD</t>
        </is>
      </c>
      <c r="D22" s="141" t="inlineStr">
        <is>
          <t>Momentum commodities</t>
        </is>
      </c>
      <c r="E22" s="141" t="inlineStr">
        <is>
          <t>Activa</t>
        </is>
      </c>
      <c r="F22" s="141" t="inlineStr">
        <is>
          <t>GLD / USO / DBA</t>
        </is>
      </c>
      <c r="G22" s="141" t="inlineStr">
        <is>
          <t>Sí</t>
        </is>
      </c>
      <c r="H22" s="141" t="inlineStr">
        <is>
          <t>No</t>
        </is>
      </c>
      <c r="I22" s="141" t="inlineStr">
        <is>
          <t>USD</t>
        </is>
      </c>
      <c r="J22" s="485" t="n"/>
      <c r="K22" s="486" t="n"/>
      <c r="L22" s="141" t="inlineStr">
        <is>
          <t>Backtest neto estrategia</t>
        </is>
      </c>
      <c r="M22" s="141" t="inlineStr">
        <is>
          <t>Universo por cerrar</t>
        </is>
      </c>
    </row>
    <row r="25">
      <c r="C25" s="483" t="inlineStr">
        <is>
          <t>2. MAPA DE BENCHMARKS</t>
        </is>
      </c>
      <c r="D25" s="425" t="n"/>
      <c r="E25" s="425" t="n"/>
      <c r="F25" s="425" t="n"/>
      <c r="G25" s="425" t="n"/>
      <c r="H25" s="425" t="n"/>
      <c r="I25" s="425" t="n"/>
      <c r="J25" s="425" t="n"/>
      <c r="K25" s="425" t="n"/>
      <c r="L25" s="425" t="n"/>
      <c r="M25" s="425" t="n"/>
    </row>
    <row r="26" ht="32" customHeight="1">
      <c r="C26" s="248" t="inlineStr">
        <is>
          <t>ID</t>
        </is>
      </c>
      <c r="D26" s="248" t="inlineStr">
        <is>
          <t>Benchmark</t>
        </is>
      </c>
      <c r="E26" s="248" t="inlineStr">
        <is>
          <t>Versión</t>
        </is>
      </c>
      <c r="F26" s="248" t="inlineStr">
        <is>
          <t>Construcción / uso</t>
        </is>
      </c>
      <c r="G26" s="248" t="inlineStr">
        <is>
          <t>Rebalance</t>
        </is>
      </c>
      <c r="H26" s="248" t="inlineStr">
        <is>
          <t>Proveedor</t>
        </is>
      </c>
      <c r="I26" s="248" t="inlineStr">
        <is>
          <t>Retorno</t>
        </is>
      </c>
      <c r="J26" s="248" t="inlineStr">
        <is>
          <t>Moneda</t>
        </is>
      </c>
      <c r="K26" s="248" t="inlineStr">
        <is>
          <t>Estado</t>
        </is>
      </c>
      <c r="L26" s="248" t="inlineStr">
        <is>
          <t>Observación</t>
        </is>
      </c>
      <c r="M26" s="248" t="str"/>
    </row>
    <row r="27">
      <c r="C27" s="141" t="inlineStr">
        <is>
          <t>LDI_CORP</t>
        </is>
      </c>
      <c r="D27" s="141" t="inlineStr">
        <is>
          <t>Bloomberg U.S. 10+ Year Corporate Bond Index</t>
        </is>
      </c>
      <c r="E27" s="141" t="inlineStr">
        <is>
          <t>Total Return</t>
        </is>
      </c>
      <c r="F27" s="141" t="inlineStr">
        <is>
          <t>Referencia del ETF y spread de crédito</t>
        </is>
      </c>
      <c r="G27" s="141" t="inlineStr">
        <is>
          <t>Según índice</t>
        </is>
      </c>
      <c r="H27" s="141" t="inlineStr">
        <is>
          <t>Bloomberg</t>
        </is>
      </c>
      <c r="I27" s="141" t="inlineStr">
        <is>
          <t>Total</t>
        </is>
      </c>
      <c r="J27" s="141" t="inlineStr">
        <is>
          <t>USD</t>
        </is>
      </c>
      <c r="K27" s="141" t="inlineStr">
        <is>
          <t>Correcto</t>
        </is>
      </c>
      <c r="L27" s="141" t="inlineStr">
        <is>
          <t>Usar serie TR, no price return</t>
        </is>
      </c>
      <c r="M27" s="141" t="n"/>
    </row>
    <row r="28">
      <c r="C28" s="141" t="inlineStr">
        <is>
          <t>LDI_TSY</t>
        </is>
      </c>
      <c r="D28" s="141" t="inlineStr">
        <is>
          <t>ICE U.S. Treasury 10–20 Year Bond Index</t>
        </is>
      </c>
      <c r="E28" s="141" t="inlineStr">
        <is>
          <t>Total Return</t>
        </is>
      </c>
      <c r="F28" s="141" t="inlineStr">
        <is>
          <t>Referencia oficial de TLH</t>
        </is>
      </c>
      <c r="G28" s="141" t="inlineStr">
        <is>
          <t>Mensual / índice</t>
        </is>
      </c>
      <c r="H28" s="141" t="inlineStr">
        <is>
          <t>ICE</t>
        </is>
      </c>
      <c r="I28" s="141" t="inlineStr">
        <is>
          <t>Total</t>
        </is>
      </c>
      <c r="J28" s="141" t="inlineStr">
        <is>
          <t>USD</t>
        </is>
      </c>
      <c r="K28" s="141" t="inlineStr">
        <is>
          <t>Correcto</t>
        </is>
      </c>
      <c r="L28" s="141" t="inlineStr">
        <is>
          <t>Consistente con implementación</t>
        </is>
      </c>
      <c r="M28" s="141" t="n"/>
    </row>
    <row r="29">
      <c r="C29" s="141" t="inlineStr">
        <is>
          <t>LDI_STRIPS</t>
        </is>
      </c>
      <c r="D29" s="141" t="inlineStr">
        <is>
          <t>ICE BofA Long US Treasury Principal STRIPS Index</t>
        </is>
      </c>
      <c r="E29" s="141" t="inlineStr">
        <is>
          <t>Total Return</t>
        </is>
      </c>
      <c r="F29" s="141" t="inlineStr">
        <is>
          <t>Referencia oficial de GOVZ</t>
        </is>
      </c>
      <c r="G29" s="141" t="inlineStr">
        <is>
          <t>Mensual / índice</t>
        </is>
      </c>
      <c r="H29" s="141" t="inlineStr">
        <is>
          <t>ICE BofA</t>
        </is>
      </c>
      <c r="I29" s="141" t="inlineStr">
        <is>
          <t>Total</t>
        </is>
      </c>
      <c r="J29" s="141" t="inlineStr">
        <is>
          <t>USD</t>
        </is>
      </c>
      <c r="K29" s="141" t="inlineStr">
        <is>
          <t>Correcto</t>
        </is>
      </c>
      <c r="L29" s="141" t="inlineStr">
        <is>
          <t>Aporta duración al universo</t>
        </is>
      </c>
      <c r="M29" s="141" t="n"/>
    </row>
    <row r="30">
      <c r="C30" s="141" t="inlineStr">
        <is>
          <t>EQ_CORE</t>
        </is>
      </c>
      <c r="D30" s="141" t="inlineStr">
        <is>
          <t>S&amp;P 500 Index</t>
        </is>
      </c>
      <c r="E30" s="141" t="inlineStr">
        <is>
          <t>Total Return</t>
        </is>
      </c>
      <c r="F30" s="141" t="inlineStr">
        <is>
          <t>Beta pasiva de gran capitalización EE.UU.</t>
        </is>
      </c>
      <c r="G30" s="141" t="inlineStr">
        <is>
          <t>Índice</t>
        </is>
      </c>
      <c r="H30" s="141" t="inlineStr">
        <is>
          <t>S&amp;P DJI</t>
        </is>
      </c>
      <c r="I30" s="141" t="inlineStr">
        <is>
          <t>Total</t>
        </is>
      </c>
      <c r="J30" s="141" t="inlineStr">
        <is>
          <t>USD</t>
        </is>
      </c>
      <c r="K30" s="141" t="inlineStr">
        <is>
          <t>Correcto</t>
        </is>
      </c>
      <c r="L30" s="141" t="inlineStr">
        <is>
          <t>Preferir versión TR</t>
        </is>
      </c>
      <c r="M30" s="141" t="n"/>
    </row>
    <row r="31">
      <c r="C31" s="141" t="inlineStr">
        <is>
          <t>CASH</t>
        </is>
      </c>
      <c r="D31" s="141" t="inlineStr">
        <is>
          <t>ICE 0–3 Month U.S. Treasury Securities Index</t>
        </is>
      </c>
      <c r="E31" s="141" t="inlineStr">
        <is>
          <t>Total Return</t>
        </is>
      </c>
      <c r="F31" s="141" t="inlineStr">
        <is>
          <t>Referencia oficial de SGOV</t>
        </is>
      </c>
      <c r="G31" s="141" t="inlineStr">
        <is>
          <t>Mensual / índice</t>
        </is>
      </c>
      <c r="H31" s="141" t="inlineStr">
        <is>
          <t>ICE</t>
        </is>
      </c>
      <c r="I31" s="141" t="inlineStr">
        <is>
          <t>Total</t>
        </is>
      </c>
      <c r="J31" s="141" t="inlineStr">
        <is>
          <t>USD</t>
        </is>
      </c>
      <c r="K31" s="141" t="inlineStr">
        <is>
          <t>Correcto</t>
        </is>
      </c>
      <c r="L31" s="141" t="inlineStr">
        <is>
          <t>Mejor que una tasa fija manual</t>
        </is>
      </c>
      <c r="M31" s="141" t="n"/>
    </row>
    <row r="32">
      <c r="C32" s="141" t="inlineStr">
        <is>
          <t>MOM_EQ</t>
        </is>
      </c>
      <c r="D32" s="141" t="inlineStr">
        <is>
          <t>S&amp;P 500 Momentum Index</t>
        </is>
      </c>
      <c r="E32" s="141" t="inlineStr">
        <is>
          <t>Total Return</t>
        </is>
      </c>
      <c r="F32" s="141" t="inlineStr">
        <is>
          <t>Benchmark estilístico de momentum</t>
        </is>
      </c>
      <c r="G32" s="141" t="inlineStr">
        <is>
          <t>Semestral</t>
        </is>
      </c>
      <c r="H32" s="141" t="inlineStr">
        <is>
          <t>S&amp;P DJI</t>
        </is>
      </c>
      <c r="I32" s="141" t="inlineStr">
        <is>
          <t>Total</t>
        </is>
      </c>
      <c r="J32" s="141" t="inlineStr">
        <is>
          <t>USD</t>
        </is>
      </c>
      <c r="K32" s="141" t="inlineStr">
        <is>
          <t>Correcto</t>
        </is>
      </c>
      <c r="L32" s="141" t="inlineStr">
        <is>
          <t>Comparar además contra S&amp;P 500 TR</t>
        </is>
      </c>
      <c r="M32" s="141" t="n"/>
    </row>
    <row r="33">
      <c r="C33" s="141" t="inlineStr">
        <is>
          <t>BAB_EQ</t>
        </is>
      </c>
      <c r="D33" s="141" t="inlineStr">
        <is>
          <t>β objetivo × S&amp;P 500 TR + (1−β) × T-Bill TR</t>
        </is>
      </c>
      <c r="E33" s="141" t="inlineStr">
        <is>
          <t>Total Return</t>
        </is>
      </c>
      <c r="F33" s="141" t="inlineStr">
        <is>
          <t>Benchmark beta-matched; β fijada ex ante</t>
        </is>
      </c>
      <c r="G33" s="141" t="inlineStr">
        <is>
          <t>Por período</t>
        </is>
      </c>
      <c r="H33" s="141" t="inlineStr">
        <is>
          <t>Construido</t>
        </is>
      </c>
      <c r="I33" s="141" t="inlineStr">
        <is>
          <t>Total</t>
        </is>
      </c>
      <c r="J33" s="141" t="inlineStr">
        <is>
          <t>USD</t>
        </is>
      </c>
      <c r="K33" s="141" t="inlineStr">
        <is>
          <t>Corregido</t>
        </is>
      </c>
      <c r="L33" s="141" t="inlineStr">
        <is>
          <t>No usar 70/30 fijo sin estimar β</t>
        </is>
      </c>
      <c r="M33" s="141" t="n"/>
    </row>
    <row r="34">
      <c r="C34" s="141" t="inlineStr">
        <is>
          <t>MOM_CMD</t>
        </is>
      </c>
      <c r="D34" s="141" t="inlineStr">
        <is>
          <t>Bloomberg Commodity Index</t>
        </is>
      </c>
      <c r="E34" s="141" t="inlineStr">
        <is>
          <t>Total Return</t>
        </is>
      </c>
      <c r="F34" s="141" t="inlineStr">
        <is>
          <t>Solo si el universo es diversificado</t>
        </is>
      </c>
      <c r="G34" s="141" t="inlineStr">
        <is>
          <t>Índice</t>
        </is>
      </c>
      <c r="H34" s="141" t="inlineStr">
        <is>
          <t>Bloomberg</t>
        </is>
      </c>
      <c r="I34" s="141" t="inlineStr">
        <is>
          <t>Total</t>
        </is>
      </c>
      <c r="J34" s="141" t="inlineStr">
        <is>
          <t>USD</t>
        </is>
      </c>
      <c r="K34" s="141" t="inlineStr">
        <is>
          <t>Condicional</t>
        </is>
      </c>
      <c r="L34" s="141" t="inlineStr">
        <is>
          <t>Con GLD/USO/DBA crear mezcla neutral</t>
        </is>
      </c>
      <c r="M34" s="141" t="n"/>
    </row>
    <row r="37">
      <c r="C37" s="483" t="inlineStr">
        <is>
          <t>3. IMPLEMENTACIÓN ADMISIBLE (NO SON PESOS NI SLEEVES ADICIONALES)</t>
        </is>
      </c>
      <c r="D37" s="425" t="n"/>
      <c r="E37" s="425" t="n"/>
      <c r="F37" s="425" t="n"/>
      <c r="G37" s="425" t="n"/>
      <c r="H37" s="425" t="n"/>
      <c r="I37" s="425" t="n"/>
      <c r="J37" s="425" t="n"/>
      <c r="K37" s="425" t="n"/>
      <c r="L37" s="425" t="n"/>
      <c r="M37" s="425" t="n"/>
    </row>
    <row r="38" ht="32" customHeight="1">
      <c r="C38" s="248" t="inlineStr">
        <is>
          <t>Sleeve</t>
        </is>
      </c>
      <c r="D38" s="248" t="inlineStr">
        <is>
          <t>Instrumento</t>
        </is>
      </c>
      <c r="E38" s="248" t="inlineStr">
        <is>
          <t>Rol</t>
        </is>
      </c>
      <c r="F38" s="248" t="inlineStr">
        <is>
          <t>Tratamiento</t>
        </is>
      </c>
      <c r="G38" s="248" t="inlineStr">
        <is>
          <t>¿Serie separada?</t>
        </is>
      </c>
      <c r="H38" s="248" t="inlineStr">
        <is>
          <t>Decisión pendiente</t>
        </is>
      </c>
      <c r="I38" s="248" t="inlineStr">
        <is>
          <t>Fuente</t>
        </is>
      </c>
      <c r="J38" s="248" t="inlineStr">
        <is>
          <t>Estado</t>
        </is>
      </c>
      <c r="L38" s="487" t="inlineStr">
        <is>
          <t>DECISIONES DE ESTA HOJA</t>
        </is>
      </c>
      <c r="M38" s="425" t="n"/>
      <c r="N38" s="425" t="n"/>
      <c r="O38" s="425" t="n"/>
      <c r="P38" s="425" t="n"/>
      <c r="Q38" s="425" t="n"/>
      <c r="R38" s="425" t="n"/>
    </row>
    <row r="39" ht="34" customHeight="1">
      <c r="C39" s="141" t="inlineStr">
        <is>
          <t>EQ_CORE</t>
        </is>
      </c>
      <c r="D39" s="141" t="inlineStr">
        <is>
          <t>SPY</t>
        </is>
      </c>
      <c r="E39" s="141" t="inlineStr">
        <is>
          <t>Implementación base</t>
        </is>
      </c>
      <c r="F39" s="141" t="inlineStr">
        <is>
          <t>ETF S&amp;P 500</t>
        </is>
      </c>
      <c r="G39" s="141" t="inlineStr">
        <is>
          <t>No</t>
        </is>
      </c>
      <c r="H39" s="141" t="inlineStr">
        <is>
          <t>Confirmar SPY vs VOO</t>
        </is>
      </c>
      <c r="I39" s="141" t="inlineStr">
        <is>
          <t>State Street</t>
        </is>
      </c>
      <c r="J39" s="141" t="inlineStr">
        <is>
          <t>Admisible</t>
        </is>
      </c>
      <c r="L39" s="266" t="inlineStr">
        <is>
          <t>• VCLT y TLH permanecen simultáneamente como sleeves distintos.
• Ambos renuevan sus bonos y mantienen exposición de duración; su liquidez permite rebalancear, no evita una repricing inmediata.
• GOVZ queda como candidato para inmunización inicial exacta, sujeto a límites.
• SPY/VOO representa un solo sleeve pasivo del S&amp;P 500.
• Momentum, BAB y commodities entrarán como series de estrategias.
• Los pesos siguen vacíos hasta completar datos, backtests y restricciones.</t>
        </is>
      </c>
      <c r="M39" s="488" t="n"/>
      <c r="N39" s="488" t="n"/>
      <c r="O39" s="488" t="n"/>
      <c r="P39" s="488" t="n"/>
      <c r="Q39" s="488" t="n"/>
      <c r="R39" s="489" t="n"/>
    </row>
    <row r="40" ht="34" customHeight="1">
      <c r="C40" s="141" t="inlineStr">
        <is>
          <t>EQ_CORE</t>
        </is>
      </c>
      <c r="D40" s="141" t="inlineStr">
        <is>
          <t>VOO</t>
        </is>
      </c>
      <c r="E40" s="141" t="inlineStr">
        <is>
          <t>Alternativa de menor costo</t>
        </is>
      </c>
      <c r="F40" s="141" t="inlineStr">
        <is>
          <t>Sustituto, no nueva clase</t>
        </is>
      </c>
      <c r="G40" s="141" t="inlineStr">
        <is>
          <t>No</t>
        </is>
      </c>
      <c r="H40" s="141" t="inlineStr">
        <is>
          <t>Comparar costos/liquidez</t>
        </is>
      </c>
      <c r="I40" s="141" t="inlineStr">
        <is>
          <t>Vanguard</t>
        </is>
      </c>
      <c r="J40" s="141" t="inlineStr">
        <is>
          <t>Admisible</t>
        </is>
      </c>
      <c r="L40" s="490" t="n"/>
      <c r="R40" s="491" t="n"/>
    </row>
    <row r="41" ht="34" customHeight="1">
      <c r="C41" s="141" t="inlineStr">
        <is>
          <t>MOM_EQ</t>
        </is>
      </c>
      <c r="D41" s="141" t="inlineStr">
        <is>
          <t>Acciones S&amp;P 500</t>
        </is>
      </c>
      <c r="E41" s="141" t="inlineStr">
        <is>
          <t>Selección momentum</t>
        </is>
      </c>
      <c r="F41" s="141" t="inlineStr">
        <is>
          <t>Constituyentes del backtest</t>
        </is>
      </c>
      <c r="G41" s="141" t="inlineStr">
        <is>
          <t>No</t>
        </is>
      </c>
      <c r="H41" s="141" t="inlineStr">
        <is>
          <t>Ventana, ranking y número</t>
        </is>
      </c>
      <c r="I41" s="141" t="inlineStr">
        <is>
          <t>S&amp;P 500</t>
        </is>
      </c>
      <c r="J41" s="141" t="inlineStr">
        <is>
          <t>Pendiente</t>
        </is>
      </c>
      <c r="L41" s="490" t="n"/>
      <c r="R41" s="491" t="n"/>
    </row>
    <row r="42" ht="34" customHeight="1">
      <c r="C42" s="141" t="inlineStr">
        <is>
          <t>BAB_EQ</t>
        </is>
      </c>
      <c r="D42" s="141" t="inlineStr">
        <is>
          <t>Acciones S&amp;P 500</t>
        </is>
      </c>
      <c r="E42" s="141" t="inlineStr">
        <is>
          <t>Selección baja beta</t>
        </is>
      </c>
      <c r="F42" s="141" t="inlineStr">
        <is>
          <t>Constituyentes del backtest</t>
        </is>
      </c>
      <c r="G42" s="141" t="inlineStr">
        <is>
          <t>No</t>
        </is>
      </c>
      <c r="H42" s="141" t="inlineStr">
        <is>
          <t>Beta objetivo y apalancamiento</t>
        </is>
      </c>
      <c r="I42" s="141" t="inlineStr">
        <is>
          <t>S&amp;P 500</t>
        </is>
      </c>
      <c r="J42" s="141" t="inlineStr">
        <is>
          <t>Pendiente</t>
        </is>
      </c>
      <c r="L42" s="490" t="n"/>
      <c r="R42" s="491" t="n"/>
    </row>
    <row r="43" ht="34" customHeight="1">
      <c r="C43" s="141" t="inlineStr">
        <is>
          <t>MOM_CMD</t>
        </is>
      </c>
      <c r="D43" s="141" t="inlineStr">
        <is>
          <t>GLD</t>
        </is>
      </c>
      <c r="E43" s="141" t="inlineStr">
        <is>
          <t>Oro</t>
        </is>
      </c>
      <c r="F43" s="141" t="inlineStr">
        <is>
          <t>Parte del backtest</t>
        </is>
      </c>
      <c r="G43" s="141" t="inlineStr">
        <is>
          <t>No</t>
        </is>
      </c>
      <c r="H43" s="141" t="inlineStr">
        <is>
          <t>Regla de señal</t>
        </is>
      </c>
      <c r="I43" s="141" t="inlineStr">
        <is>
          <t>State Street</t>
        </is>
      </c>
      <c r="J43" s="141" t="inlineStr">
        <is>
          <t>Provisional</t>
        </is>
      </c>
      <c r="L43" s="490" t="n"/>
      <c r="R43" s="491" t="n"/>
    </row>
    <row r="44" ht="34" customHeight="1">
      <c r="C44" s="141" t="inlineStr">
        <is>
          <t>MOM_CMD</t>
        </is>
      </c>
      <c r="D44" s="141" t="inlineStr">
        <is>
          <t>USO</t>
        </is>
      </c>
      <c r="E44" s="141" t="inlineStr">
        <is>
          <t>Petróleo</t>
        </is>
      </c>
      <c r="F44" s="141" t="inlineStr">
        <is>
          <t>Parte del backtest</t>
        </is>
      </c>
      <c r="G44" s="141" t="inlineStr">
        <is>
          <t>No</t>
        </is>
      </c>
      <c r="H44" s="141" t="inlineStr">
        <is>
          <t>Riesgo de roll yield</t>
        </is>
      </c>
      <c r="I44" s="141" t="inlineStr">
        <is>
          <t>USCF</t>
        </is>
      </c>
      <c r="J44" s="141" t="inlineStr">
        <is>
          <t>Provisional</t>
        </is>
      </c>
      <c r="L44" s="490" t="n"/>
      <c r="R44" s="491" t="n"/>
    </row>
    <row r="45" ht="34" customHeight="1">
      <c r="C45" s="141" t="inlineStr">
        <is>
          <t>MOM_CMD</t>
        </is>
      </c>
      <c r="D45" s="141" t="inlineStr">
        <is>
          <t>DBA</t>
        </is>
      </c>
      <c r="E45" s="141" t="inlineStr">
        <is>
          <t>Agricultura</t>
        </is>
      </c>
      <c r="F45" s="141" t="inlineStr">
        <is>
          <t>Parte del backtest</t>
        </is>
      </c>
      <c r="G45" s="141" t="inlineStr">
        <is>
          <t>No</t>
        </is>
      </c>
      <c r="H45" s="141" t="inlineStr">
        <is>
          <t>Regla de señal</t>
        </is>
      </c>
      <c r="I45" s="141" t="inlineStr">
        <is>
          <t>Invesco</t>
        </is>
      </c>
      <c r="J45" s="141" t="inlineStr">
        <is>
          <t>Provisional</t>
        </is>
      </c>
      <c r="L45" s="492" t="n"/>
      <c r="M45" s="493" t="n"/>
      <c r="N45" s="493" t="n"/>
      <c r="O45" s="493" t="n"/>
      <c r="P45" s="493" t="n"/>
      <c r="Q45" s="493" t="n"/>
      <c r="R45" s="494" t="n"/>
    </row>
    <row r="48">
      <c r="C48" s="495" t="inlineStr">
        <is>
          <t>Nota: GOVZ hace factible el objetivo por duración en términos de universo, pero su alta sensibilidad a tasas exige límites de concentración y validación mediante Solver.</t>
        </is>
      </c>
      <c r="D48" s="425" t="n"/>
      <c r="E48" s="425" t="n"/>
      <c r="F48" s="425" t="n"/>
      <c r="G48" s="425" t="n"/>
      <c r="H48" s="425" t="n"/>
      <c r="I48" s="425" t="n"/>
      <c r="J48" s="425" t="n"/>
      <c r="K48" s="425" t="n"/>
      <c r="L48" s="425" t="n"/>
      <c r="M48" s="425" t="n"/>
      <c r="N48" s="425" t="n"/>
      <c r="O48" s="425" t="n"/>
      <c r="P48" s="425" t="n"/>
      <c r="Q48" s="425" t="n"/>
      <c r="R48" s="425" t="n"/>
    </row>
  </sheetData>
  <mergeCells count="11">
    <mergeCell ref="C2:R2"/>
    <mergeCell ref="L39:R45"/>
    <mergeCell ref="H5:M5"/>
    <mergeCell ref="O13:R13"/>
    <mergeCell ref="C48:R48"/>
    <mergeCell ref="C3:R3"/>
    <mergeCell ref="C25:M25"/>
    <mergeCell ref="L38:R38"/>
    <mergeCell ref="C5:F5"/>
    <mergeCell ref="C13:M13"/>
    <mergeCell ref="C37:M37"/>
  </mergeCells>
  <conditionalFormatting sqref="M15:M22">
    <cfRule type="containsText" priority="1" operator="containsText" dxfId="4" text="pendiente"/>
  </conditionalFormatting>
  <conditionalFormatting sqref="R15:R20">
    <cfRule type="containsText" priority="2" operator="containsText" dxfId="0" text="REVISAR"/>
  </conditionalFormatting>
  <conditionalFormatting sqref="K27:K34">
    <cfRule type="containsText" priority="3" operator="containsText" dxfId="6" text="Correcto"/>
    <cfRule type="containsText" priority="4" operator="containsText" dxfId="4" text="Condicional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C2:Z214"/>
  <sheetViews>
    <sheetView showGridLines="0" workbookViewId="0">
      <pane xSplit="3" ySplit="18" topLeftCell="D19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29" customWidth="1" min="4" max="4"/>
    <col width="34" customWidth="1" min="5" max="5"/>
    <col width="3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  <col width="15" customWidth="1" min="18" max="18"/>
    <col width="30" customWidth="1" min="19" max="19"/>
    <col width="3" customWidth="1" min="20" max="20"/>
    <col width="3" customWidth="1" min="21" max="21"/>
    <col width="3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2" ht="30" customHeight="1">
      <c r="C2" s="496" t="inlineStr">
        <is>
          <t>MODELO NEXUM - DATOS HISTÓRICOS Y RETORNOS MENSUALES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  <c r="S2" s="425" t="n"/>
      <c r="T2" s="425" t="n"/>
      <c r="U2" s="425" t="n"/>
    </row>
    <row r="3">
      <c r="C3" s="426" t="inlineStr">
        <is>
          <t>Calendario común, fuentes y fórmulas que alimentarán backtests, covarianzas, Markowitz y Solver. Sin pesos de cartera.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  <c r="S3" s="425" t="n"/>
      <c r="T3" s="425" t="n"/>
      <c r="U3" s="425" t="n"/>
    </row>
    <row r="5">
      <c r="C5" s="497" t="inlineStr">
        <is>
          <t>PARÁMETROS DEL HISTÓRICO</t>
        </is>
      </c>
      <c r="D5" s="425" t="n"/>
      <c r="E5" s="425" t="n"/>
      <c r="F5" s="425" t="n"/>
      <c r="G5" s="425" t="n"/>
      <c r="I5" s="497" t="inlineStr">
        <is>
          <t>REGLA DE CONSTRUCCIÓN</t>
        </is>
      </c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S5" s="425" t="n"/>
      <c r="T5" s="425" t="n"/>
      <c r="U5" s="425" t="n"/>
    </row>
    <row r="6">
      <c r="C6" s="141" t="inlineStr">
        <is>
          <t>Inicio objetivo</t>
        </is>
      </c>
      <c r="D6" s="498" t="n">
        <v>40574</v>
      </c>
      <c r="E6" s="141" t="inlineStr">
        <is>
          <t>Mes cierre</t>
        </is>
      </c>
      <c r="F6" s="141" t="inlineStr">
        <is>
          <t>Permite más de un ciclo de tasas</t>
        </is>
      </c>
      <c r="G6" s="141" t="n"/>
      <c r="I6" s="307" t="inlineStr">
        <is>
          <t>1</t>
        </is>
      </c>
      <c r="J6" s="499" t="n"/>
      <c r="K6" s="309" t="inlineStr">
        <is>
          <t>Índices</t>
        </is>
      </c>
      <c r="L6" s="499" t="n"/>
      <c r="M6" s="84" t="inlineStr">
        <is>
          <t>Priorizar benchmark total return para historia larga</t>
        </is>
      </c>
      <c r="N6" s="500" t="n"/>
      <c r="O6" s="500" t="n"/>
      <c r="P6" s="500" t="n"/>
      <c r="Q6" s="500" t="n"/>
      <c r="R6" s="500" t="n"/>
      <c r="S6" s="500" t="n"/>
      <c r="T6" s="500" t="n"/>
      <c r="U6" s="499" t="n"/>
    </row>
    <row r="7">
      <c r="C7" s="141" t="inlineStr">
        <is>
          <t>Fin del análisis</t>
        </is>
      </c>
      <c r="D7" s="498" t="n">
        <v>46265</v>
      </c>
      <c r="E7" s="141" t="inlineStr">
        <is>
          <t>Mes cierre</t>
        </is>
      </c>
      <c r="F7" s="141" t="inlineStr">
        <is>
          <t>Último mes completo anterior al modelo</t>
        </is>
      </c>
      <c r="G7" s="141" t="n"/>
      <c r="I7" s="307" t="inlineStr">
        <is>
          <t>2</t>
        </is>
      </c>
      <c r="J7" s="499" t="n"/>
      <c r="K7" s="309" t="inlineStr">
        <is>
          <t>ETF</t>
        </is>
      </c>
      <c r="L7" s="499" t="n"/>
      <c r="M7" s="84" t="inlineStr">
        <is>
          <t>Usar ETF para validar implementación, tracking y costos</t>
        </is>
      </c>
      <c r="N7" s="500" t="n"/>
      <c r="O7" s="500" t="n"/>
      <c r="P7" s="500" t="n"/>
      <c r="Q7" s="500" t="n"/>
      <c r="R7" s="500" t="n"/>
      <c r="S7" s="500" t="n"/>
      <c r="T7" s="500" t="n"/>
      <c r="U7" s="499" t="n"/>
    </row>
    <row r="8">
      <c r="C8" s="141" t="inlineStr">
        <is>
          <t>Frecuencia</t>
        </is>
      </c>
      <c r="D8" s="273" t="inlineStr">
        <is>
          <t>Mensual</t>
        </is>
      </c>
      <c r="E8" s="141" t="n"/>
      <c r="F8" s="141" t="inlineStr">
        <is>
          <t>Cierre de mes</t>
        </is>
      </c>
      <c r="G8" s="141" t="n"/>
      <c r="I8" s="307" t="inlineStr">
        <is>
          <t>3</t>
        </is>
      </c>
      <c r="J8" s="499" t="n"/>
      <c r="K8" s="309" t="inlineStr">
        <is>
          <t>Activas</t>
        </is>
      </c>
      <c r="L8" s="499" t="n"/>
      <c r="M8" s="84" t="inlineStr">
        <is>
          <t>Usar retorno neto del backtest, sin look-ahead bias</t>
        </is>
      </c>
      <c r="N8" s="500" t="n"/>
      <c r="O8" s="500" t="n"/>
      <c r="P8" s="500" t="n"/>
      <c r="Q8" s="500" t="n"/>
      <c r="R8" s="500" t="n"/>
      <c r="S8" s="500" t="n"/>
      <c r="T8" s="500" t="n"/>
      <c r="U8" s="499" t="n"/>
    </row>
    <row r="9">
      <c r="C9" s="141" t="inlineStr">
        <is>
          <t>Moneda funcional</t>
        </is>
      </c>
      <c r="D9" s="273" t="inlineStr">
        <is>
          <t>USD</t>
        </is>
      </c>
      <c r="E9" s="141" t="n"/>
      <c r="F9" s="141" t="inlineStr">
        <is>
          <t>Sin convertir series USD</t>
        </is>
      </c>
      <c r="G9" s="141" t="n"/>
      <c r="I9" s="307" t="inlineStr">
        <is>
          <t>4</t>
        </is>
      </c>
      <c r="J9" s="499" t="n"/>
      <c r="K9" s="309" t="inlineStr">
        <is>
          <t>Alineación</t>
        </is>
      </c>
      <c r="L9" s="499" t="n"/>
      <c r="M9" s="84" t="inlineStr">
        <is>
          <t>Conservar solo meses disponibles para todos los sleeves</t>
        </is>
      </c>
      <c r="N9" s="500" t="n"/>
      <c r="O9" s="500" t="n"/>
      <c r="P9" s="500" t="n"/>
      <c r="Q9" s="500" t="n"/>
      <c r="R9" s="500" t="n"/>
      <c r="S9" s="500" t="n"/>
      <c r="T9" s="500" t="n"/>
      <c r="U9" s="499" t="n"/>
    </row>
    <row r="10">
      <c r="C10" s="141" t="inlineStr">
        <is>
          <t>Tipo de retorno</t>
        </is>
      </c>
      <c r="D10" s="273" t="inlineStr">
        <is>
          <t>Total Return</t>
        </is>
      </c>
      <c r="E10" s="141" t="n"/>
      <c r="F10" s="141" t="inlineStr">
        <is>
          <t>Incluye distribuciones</t>
        </is>
      </c>
      <c r="G10" s="141" t="n"/>
      <c r="I10" s="307" t="inlineStr">
        <is>
          <t>5</t>
        </is>
      </c>
      <c r="J10" s="499" t="n"/>
      <c r="K10" s="309" t="inlineStr">
        <is>
          <t>Retorno</t>
        </is>
      </c>
      <c r="L10" s="499" t="n"/>
      <c r="M10" s="84" t="inlineStr">
        <is>
          <t>R(t)=Nivel(t)/Nivel(t−1)−1</t>
        </is>
      </c>
      <c r="N10" s="500" t="n"/>
      <c r="O10" s="500" t="n"/>
      <c r="P10" s="500" t="n"/>
      <c r="Q10" s="500" t="n"/>
      <c r="R10" s="500" t="n"/>
      <c r="S10" s="500" t="n"/>
      <c r="T10" s="500" t="n"/>
      <c r="U10" s="499" t="n"/>
    </row>
    <row r="11">
      <c r="C11" s="141" t="inlineStr">
        <is>
          <t>Regla de muestra</t>
        </is>
      </c>
      <c r="D11" s="273" t="inlineStr">
        <is>
          <t>Complete case</t>
        </is>
      </c>
      <c r="E11" s="141" t="n"/>
      <c r="F11" s="141" t="inlineStr">
        <is>
          <t>Mismos meses para todas las series</t>
        </is>
      </c>
      <c r="G11" s="141" t="n"/>
      <c r="I11" s="307" t="inlineStr">
        <is>
          <t>6</t>
        </is>
      </c>
      <c r="J11" s="499" t="n"/>
      <c r="K11" s="309" t="inlineStr">
        <is>
          <t>Vacíos</t>
        </is>
      </c>
      <c r="L11" s="499" t="n"/>
      <c r="M11" s="84" t="inlineStr">
        <is>
          <t>No reemplazar datos faltantes por cero</t>
        </is>
      </c>
      <c r="N11" s="500" t="n"/>
      <c r="O11" s="500" t="n"/>
      <c r="P11" s="500" t="n"/>
      <c r="Q11" s="500" t="n"/>
      <c r="R11" s="500" t="n"/>
      <c r="S11" s="500" t="n"/>
      <c r="T11" s="500" t="n"/>
      <c r="U11" s="499" t="n"/>
    </row>
    <row r="12">
      <c r="C12" s="141" t="inlineStr">
        <is>
          <t>Meses esperados</t>
        </is>
      </c>
      <c r="D12" s="275">
        <f>(YEAR(D7)-YEAR(D6))*12+MONTH(D7)-MONTH(D6)+1</f>
        <v/>
      </c>
      <c r="E12" s="141" t="inlineStr">
        <is>
          <t>observaciones</t>
        </is>
      </c>
      <c r="F12" s="141" t="inlineStr">
        <is>
          <t>Incluye mes inicial de niveles</t>
        </is>
      </c>
      <c r="G12" s="141" t="n"/>
      <c r="I12" s="307" t="inlineStr">
        <is>
          <t>7</t>
        </is>
      </c>
      <c r="J12" s="499" t="n"/>
      <c r="K12" s="309" t="inlineStr">
        <is>
          <t>Rebalanceo</t>
        </is>
      </c>
      <c r="L12" s="499" t="n"/>
      <c r="M12" s="84" t="inlineStr">
        <is>
          <t>Series activas respetan la frecuencia definida ex ante</t>
        </is>
      </c>
      <c r="N12" s="500" t="n"/>
      <c r="O12" s="500" t="n"/>
      <c r="P12" s="500" t="n"/>
      <c r="Q12" s="500" t="n"/>
      <c r="R12" s="500" t="n"/>
      <c r="S12" s="500" t="n"/>
      <c r="T12" s="500" t="n"/>
      <c r="U12" s="499" t="n"/>
    </row>
    <row r="14">
      <c r="C14" s="497" t="inlineStr">
        <is>
          <t>1. MAPA DE SERIES Y COBERTURA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O14" s="425" t="n"/>
      <c r="P14" s="425" t="n"/>
      <c r="Q14" s="425" t="n"/>
      <c r="R14" s="425" t="n"/>
      <c r="S14" s="425" t="n"/>
      <c r="T14" s="425" t="n"/>
      <c r="U14" s="425" t="n"/>
      <c r="W14" s="497" t="inlineStr">
        <is>
          <t>CONTROLES</t>
        </is>
      </c>
      <c r="X14" s="425" t="n"/>
      <c r="Y14" s="425" t="n"/>
      <c r="Z14" s="425" t="n"/>
    </row>
    <row r="15" ht="34" customHeight="1">
      <c r="C15" s="284" t="inlineStr">
        <is>
          <t>ID</t>
        </is>
      </c>
      <c r="D15" s="284" t="inlineStr">
        <is>
          <t>Sleeve</t>
        </is>
      </c>
      <c r="E15" s="284" t="inlineStr">
        <is>
          <t>Serie primaria</t>
        </is>
      </c>
      <c r="F15" s="284" t="inlineStr">
        <is>
          <t>Serie de validación</t>
        </is>
      </c>
      <c r="G15" s="284" t="inlineStr">
        <is>
          <t>Inicio deseado</t>
        </is>
      </c>
      <c r="H15" s="284" t="inlineStr">
        <is>
          <t>Fin deseado</t>
        </is>
      </c>
      <c r="I15" s="284" t="inlineStr">
        <is>
          <t>Frecuencia</t>
        </is>
      </c>
      <c r="J15" s="284" t="inlineStr">
        <is>
          <t>Retorno</t>
        </is>
      </c>
      <c r="K15" s="284" t="inlineStr">
        <is>
          <t>Moneda</t>
        </is>
      </c>
      <c r="L15" s="284" t="inlineStr">
        <is>
          <t>Fuente primaria</t>
        </is>
      </c>
      <c r="M15" s="284" t="inlineStr">
        <is>
          <t>Nivel cargado</t>
        </is>
      </c>
      <c r="N15" s="284" t="inlineStr">
        <is>
          <t>Retornos válidos</t>
        </is>
      </c>
      <c r="O15" s="284" t="inlineStr">
        <is>
          <t>Faltantes</t>
        </is>
      </c>
      <c r="P15" s="284" t="inlineStr">
        <is>
          <t>Cobertura</t>
        </is>
      </c>
      <c r="Q15" s="284" t="inlineStr">
        <is>
          <t>Uso</t>
        </is>
      </c>
      <c r="R15" s="284" t="inlineStr">
        <is>
          <t>Estado</t>
        </is>
      </c>
      <c r="S15" s="284" t="inlineStr">
        <is>
          <t>Observación</t>
        </is>
      </c>
      <c r="T15" s="284" t="str"/>
      <c r="U15" s="284" t="str"/>
      <c r="W15" s="284" t="inlineStr">
        <is>
          <t>Control</t>
        </is>
      </c>
      <c r="X15" s="284" t="inlineStr">
        <is>
          <t>Resultado</t>
        </is>
      </c>
      <c r="Y15" s="284" t="inlineStr">
        <is>
          <t>Objetivo</t>
        </is>
      </c>
      <c r="Z15" s="284" t="inlineStr">
        <is>
          <t>Estado</t>
        </is>
      </c>
    </row>
    <row r="16" ht="38" customHeight="1">
      <c r="C16" s="141" t="inlineStr">
        <is>
          <t>LDI_CORP</t>
        </is>
      </c>
      <c r="D16" s="141" t="inlineStr">
        <is>
          <t>Bonos corporativos largos</t>
        </is>
      </c>
      <c r="E16" s="141" t="inlineStr">
        <is>
          <t>VCLT Adjusted Close</t>
        </is>
      </c>
      <c r="F16" s="141" t="inlineStr">
        <is>
          <t>Bloomberg US 10+ Year Corporate TR</t>
        </is>
      </c>
      <c r="G16" s="501">
        <f>$D$6</f>
        <v/>
      </c>
      <c r="H16" s="501">
        <f>$D$7</f>
        <v/>
      </c>
      <c r="I16" s="141" t="inlineStr">
        <is>
          <t>Mensual</t>
        </is>
      </c>
      <c r="J16" s="141" t="inlineStr">
        <is>
          <t>Total</t>
        </is>
      </c>
      <c r="K16" s="141" t="inlineStr">
        <is>
          <t>USD</t>
        </is>
      </c>
      <c r="L16" s="141" t="inlineStr">
        <is>
          <t>Yahoo Finance, Adj Close, 10-sep-2026</t>
        </is>
      </c>
      <c r="M16" s="141">
        <f>COUNT(D$27:D$214)</f>
        <v/>
      </c>
      <c r="N16" s="141">
        <f>MAX(0,M16-1)</f>
        <v/>
      </c>
      <c r="O16" s="141">
        <f>$D$12-M16</f>
        <v/>
      </c>
      <c r="P16" s="502">
        <f>IF($D$12=0,0,M16/$D$12)</f>
        <v/>
      </c>
      <c r="Q16" s="141" t="inlineStr">
        <is>
          <t>Markowitz + control</t>
        </is>
      </c>
      <c r="R16" s="287">
        <f>IF(P16=1,"Completa",IF(M16=0,"Pendiente","Parcial"))</f>
        <v/>
      </c>
      <c r="S16" s="141" t="inlineStr">
        <is>
          <t>ETF implementable; incluye crédito y gastos</t>
        </is>
      </c>
      <c r="T16" s="141" t="n"/>
      <c r="U16" s="141" t="n"/>
      <c r="W16" s="141" t="inlineStr">
        <is>
          <t>Fechas esperadas</t>
        </is>
      </c>
      <c r="X16" s="141">
        <f>COUNT(C27:C214)</f>
        <v/>
      </c>
      <c r="Y16" s="141">
        <f>$D$12</f>
        <v/>
      </c>
      <c r="Z16" s="296">
        <f>IF(X16=Y16,"OK","REVISAR")</f>
        <v/>
      </c>
    </row>
    <row r="17" ht="38" customHeight="1">
      <c r="C17" s="141" t="inlineStr">
        <is>
          <t>LDI_TSY</t>
        </is>
      </c>
      <c r="D17" s="141" t="inlineStr">
        <is>
          <t>Treasuries 10–20 años</t>
        </is>
      </c>
      <c r="E17" s="141" t="inlineStr">
        <is>
          <t>TLH Adjusted Close</t>
        </is>
      </c>
      <c r="F17" s="141" t="inlineStr">
        <is>
          <t>ICE US Treasury 10–20 Year TR</t>
        </is>
      </c>
      <c r="G17" s="501">
        <f>$D$6</f>
        <v/>
      </c>
      <c r="H17" s="501">
        <f>$D$7</f>
        <v/>
      </c>
      <c r="I17" s="141" t="inlineStr">
        <is>
          <t>Mensual</t>
        </is>
      </c>
      <c r="J17" s="141" t="inlineStr">
        <is>
          <t>Total</t>
        </is>
      </c>
      <c r="K17" s="141" t="inlineStr">
        <is>
          <t>USD</t>
        </is>
      </c>
      <c r="L17" s="141" t="inlineStr">
        <is>
          <t>Yahoo Finance, Adj Close, 10-sep-2026</t>
        </is>
      </c>
      <c r="M17" s="141">
        <f>COUNT(E$27:E$214)</f>
        <v/>
      </c>
      <c r="N17" s="141">
        <f>MAX(0,M17-1)</f>
        <v/>
      </c>
      <c r="O17" s="141">
        <f>$D$12-M17</f>
        <v/>
      </c>
      <c r="P17" s="502">
        <f>IF($D$12=0,0,M17/$D$12)</f>
        <v/>
      </c>
      <c r="Q17" s="141" t="inlineStr">
        <is>
          <t>Markowitz + control</t>
        </is>
      </c>
      <c r="R17" s="287">
        <f>IF(P17=1,"Completa",IF(M17=0,"Pendiente","Parcial"))</f>
        <v/>
      </c>
      <c r="S17" s="141" t="inlineStr">
        <is>
          <t>ETF implementable; Treasury sin spread corporativo</t>
        </is>
      </c>
      <c r="T17" s="141" t="n"/>
      <c r="U17" s="141" t="n"/>
      <c r="W17" s="141" t="inlineStr">
        <is>
          <t>Fechas duplicadas</t>
        </is>
      </c>
      <c r="X17" s="141" t="n">
        <v>0</v>
      </c>
      <c r="Y17" s="141" t="n">
        <v>0</v>
      </c>
      <c r="Z17" s="296">
        <f>IF(X17=Y17,"OK","REVISAR")</f>
        <v/>
      </c>
    </row>
    <row r="18" ht="38" customHeight="1">
      <c r="C18" s="141" t="inlineStr">
        <is>
          <t>LDI_STRIPS</t>
        </is>
      </c>
      <c r="D18" s="141" t="inlineStr">
        <is>
          <t>Treasury STRIPS largos</t>
        </is>
      </c>
      <c r="E18" s="141" t="inlineStr">
        <is>
          <t>EDV Adjusted Close (proxy GOVZ)</t>
        </is>
      </c>
      <c r="F18" s="141" t="inlineStr">
        <is>
          <t>GOVZ / ICE BofA Principal STRIPS TR</t>
        </is>
      </c>
      <c r="G18" s="501">
        <f>$D$6</f>
        <v/>
      </c>
      <c r="H18" s="501">
        <f>$D$7</f>
        <v/>
      </c>
      <c r="I18" s="141" t="inlineStr">
        <is>
          <t>Mensual</t>
        </is>
      </c>
      <c r="J18" s="141" t="inlineStr">
        <is>
          <t>Total</t>
        </is>
      </c>
      <c r="K18" s="141" t="inlineStr">
        <is>
          <t>USD</t>
        </is>
      </c>
      <c r="L18" s="141" t="inlineStr">
        <is>
          <t>Yahoo Finance, Adj Close, 10-sep-2026</t>
        </is>
      </c>
      <c r="M18" s="141">
        <f>COUNT(F$27:F$214)</f>
        <v/>
      </c>
      <c r="N18" s="141">
        <f>MAX(0,M18-1)</f>
        <v/>
      </c>
      <c r="O18" s="141">
        <f>$D$12-M18</f>
        <v/>
      </c>
      <c r="P18" s="502">
        <f>IF($D$12=0,0,M18/$D$12)</f>
        <v/>
      </c>
      <c r="Q18" s="141" t="inlineStr">
        <is>
          <t>Markowitz + control</t>
        </is>
      </c>
      <c r="R18" s="287">
        <f>IF(P18=1,"Completa",IF(M18=0,"Pendiente","Parcial"))</f>
        <v/>
      </c>
      <c r="S18" s="141" t="inlineStr">
        <is>
          <t>Proxy larga desde 2011; GOVZ se valida desde 2020</t>
        </is>
      </c>
      <c r="T18" s="141" t="n"/>
      <c r="U18" s="141" t="n"/>
      <c r="W18" s="141" t="inlineStr">
        <is>
          <t>Series completas</t>
        </is>
      </c>
      <c r="X18" s="141">
        <f>COUNTIF(R16:R23,"Completa")</f>
        <v/>
      </c>
      <c r="Y18" s="141" t="n">
        <v>8</v>
      </c>
      <c r="Z18" s="296">
        <f>IF(X18=Y18,"OK","REVISAR")</f>
        <v/>
      </c>
    </row>
    <row r="19" ht="38" customHeight="1">
      <c r="C19" s="141" t="inlineStr">
        <is>
          <t>EQ_CORE</t>
        </is>
      </c>
      <c r="D19" s="141" t="inlineStr">
        <is>
          <t>Beta pasiva S&amp;P 500</t>
        </is>
      </c>
      <c r="E19" s="141" t="inlineStr">
        <is>
          <t>SPY Adjusted Close</t>
        </is>
      </c>
      <c r="F19" s="141" t="inlineStr">
        <is>
          <t>S&amp;P 500 Total Return</t>
        </is>
      </c>
      <c r="G19" s="501">
        <f>$D$6</f>
        <v/>
      </c>
      <c r="H19" s="501">
        <f>$D$7</f>
        <v/>
      </c>
      <c r="I19" s="141" t="inlineStr">
        <is>
          <t>Mensual</t>
        </is>
      </c>
      <c r="J19" s="141" t="inlineStr">
        <is>
          <t>Total</t>
        </is>
      </c>
      <c r="K19" s="141" t="inlineStr">
        <is>
          <t>USD</t>
        </is>
      </c>
      <c r="L19" s="141" t="inlineStr">
        <is>
          <t>Yahoo Finance, Adj Close, 10-sep-2026</t>
        </is>
      </c>
      <c r="M19" s="141">
        <f>COUNT(G$27:G$214)</f>
        <v/>
      </c>
      <c r="N19" s="141">
        <f>MAX(0,M19-1)</f>
        <v/>
      </c>
      <c r="O19" s="141">
        <f>$D$12-M19</f>
        <v/>
      </c>
      <c r="P19" s="502">
        <f>IF($D$12=0,0,M19/$D$12)</f>
        <v/>
      </c>
      <c r="Q19" s="141" t="inlineStr">
        <is>
          <t>Markowitz + control</t>
        </is>
      </c>
      <c r="R19" s="287">
        <f>IF(P19=1,"Completa",IF(M19=0,"Pendiente","Parcial"))</f>
        <v/>
      </c>
      <c r="S19" s="141" t="inlineStr">
        <is>
          <t>ETF implementable del sleeve pasivo</t>
        </is>
      </c>
      <c r="T19" s="141" t="n"/>
      <c r="U19" s="141" t="n"/>
      <c r="W19" s="141" t="inlineStr">
        <is>
          <t>Ceros usados como faltante</t>
        </is>
      </c>
      <c r="X19" s="141">
        <f>COUNTIF(D27:K214,0)</f>
        <v/>
      </c>
      <c r="Y19" s="141" t="n">
        <v>0</v>
      </c>
      <c r="Z19" s="296">
        <f>IF(X19=Y19,"OK","REVISAR")</f>
        <v/>
      </c>
    </row>
    <row r="20" ht="38" customHeight="1">
      <c r="C20" s="141" t="inlineStr">
        <is>
          <t>CASH</t>
        </is>
      </c>
      <c r="D20" s="141" t="inlineStr">
        <is>
          <t>Liquidez / T-Bills</t>
        </is>
      </c>
      <c r="E20" s="141" t="inlineStr">
        <is>
          <t>BIL Adjusted Close (proxy SGOV)</t>
        </is>
      </c>
      <c r="F20" s="141" t="inlineStr">
        <is>
          <t>SGOV / ICE 0–3 Month Treasury TR</t>
        </is>
      </c>
      <c r="G20" s="501">
        <f>$D$6</f>
        <v/>
      </c>
      <c r="H20" s="501">
        <f>$D$7</f>
        <v/>
      </c>
      <c r="I20" s="141" t="inlineStr">
        <is>
          <t>Mensual</t>
        </is>
      </c>
      <c r="J20" s="141" t="inlineStr">
        <is>
          <t>Total</t>
        </is>
      </c>
      <c r="K20" s="141" t="inlineStr">
        <is>
          <t>USD</t>
        </is>
      </c>
      <c r="L20" s="141" t="inlineStr">
        <is>
          <t>Yahoo Finance, Adj Close, 10-sep-2026</t>
        </is>
      </c>
      <c r="M20" s="141">
        <f>COUNT(H$27:H$214)</f>
        <v/>
      </c>
      <c r="N20" s="141">
        <f>MAX(0,M20-1)</f>
        <v/>
      </c>
      <c r="O20" s="141">
        <f>$D$12-M20</f>
        <v/>
      </c>
      <c r="P20" s="502">
        <f>IF($D$12=0,0,M20/$D$12)</f>
        <v/>
      </c>
      <c r="Q20" s="141" t="inlineStr">
        <is>
          <t>Markowitz + control</t>
        </is>
      </c>
      <c r="R20" s="287">
        <f>IF(P20=1,"Completa",IF(M20=0,"Pendiente","Parcial"))</f>
        <v/>
      </c>
      <c r="S20" s="141" t="inlineStr">
        <is>
          <t>Proxy de T-Bills desde 2011; SGOV se valida desde 2020</t>
        </is>
      </c>
      <c r="T20" s="141" t="n"/>
      <c r="U20" s="141" t="n"/>
      <c r="W20" s="141" t="inlineStr">
        <is>
          <t>Retornos fuera de rango ±50%</t>
        </is>
      </c>
      <c r="X20" s="141">
        <f>IF(X18&lt;8,0,COUNTIF(N28:U214,"&gt;0.5")+COUNTIF(N28:U214,"&lt;-0.5"))</f>
        <v/>
      </c>
      <c r="Y20" s="141" t="n">
        <v>0</v>
      </c>
      <c r="Z20" s="296">
        <f>IF(X20=Y20,"OK","REVISAR")</f>
        <v/>
      </c>
    </row>
    <row r="21" ht="38" customHeight="1">
      <c r="C21" s="141" t="inlineStr">
        <is>
          <t>MOM_EQ</t>
        </is>
      </c>
      <c r="D21" s="141" t="inlineStr">
        <is>
          <t>Momentum renta variable</t>
        </is>
      </c>
      <c r="E21" s="141" t="inlineStr">
        <is>
          <t>SPMO Adjusted Close (proxy)</t>
        </is>
      </c>
      <c r="F21" s="141" t="inlineStr">
        <is>
          <t>S&amp;P 500 Momentum Index TR</t>
        </is>
      </c>
      <c r="G21" s="501">
        <f>$D$6</f>
        <v/>
      </c>
      <c r="H21" s="501">
        <f>$D$7</f>
        <v/>
      </c>
      <c r="I21" s="141" t="inlineStr">
        <is>
          <t>Mensual</t>
        </is>
      </c>
      <c r="J21" s="141" t="inlineStr">
        <is>
          <t>Total</t>
        </is>
      </c>
      <c r="K21" s="141" t="inlineStr">
        <is>
          <t>USD</t>
        </is>
      </c>
      <c r="L21" s="141" t="inlineStr">
        <is>
          <t>Yahoo Finance / Invesco, 10-sep-2026</t>
        </is>
      </c>
      <c r="M21" s="141">
        <f>COUNT(I$27:I$214)</f>
        <v/>
      </c>
      <c r="N21" s="141">
        <f>MAX(0,M21-1)</f>
        <v/>
      </c>
      <c r="O21" s="141">
        <f>$D$12-M21</f>
        <v/>
      </c>
      <c r="P21" s="502">
        <f>IF($D$12=0,0,M21/$D$12)</f>
        <v/>
      </c>
      <c r="Q21" s="141" t="inlineStr">
        <is>
          <t>Markowitz + backtest</t>
        </is>
      </c>
      <c r="R21" s="287">
        <f>IF(P21=1,"Completa",IF(M21=0,"Pendiente","Parcial"))</f>
        <v/>
      </c>
      <c r="S21" s="141" t="inlineStr">
        <is>
          <t>Proxy provisional; no sustituye selección individual</t>
        </is>
      </c>
      <c r="T21" s="141" t="n"/>
      <c r="U21" s="141" t="n"/>
      <c r="W21" s="141" t="inlineStr">
        <is>
          <t>Apto para Markowitz</t>
        </is>
      </c>
      <c r="X21" s="141">
        <f>IF(AND(X16=Y16,X17=Y17,X18=Y18,X19=Y19,X20=Y20),1,0)</f>
        <v/>
      </c>
      <c r="Y21" s="141" t="n">
        <v>1</v>
      </c>
      <c r="Z21" s="296">
        <f>IF(X21=Y21,"OK","REVISAR")</f>
        <v/>
      </c>
    </row>
    <row r="22" ht="38" customHeight="1">
      <c r="C22" s="141" t="inlineStr">
        <is>
          <t>BAB_EQ</t>
        </is>
      </c>
      <c r="D22" s="141" t="inlineStr">
        <is>
          <t>Betting Against Beta</t>
        </is>
      </c>
      <c r="E22" s="141" t="inlineStr">
        <is>
          <t>SPLV Adjusted Close (proxy)</t>
        </is>
      </c>
      <c r="F22" s="141" t="inlineStr">
        <is>
          <t>Benchmark beta-matched</t>
        </is>
      </c>
      <c r="G22" s="501">
        <f>$D$6</f>
        <v/>
      </c>
      <c r="H22" s="501">
        <f>$D$7</f>
        <v/>
      </c>
      <c r="I22" s="141" t="inlineStr">
        <is>
          <t>Mensual</t>
        </is>
      </c>
      <c r="J22" s="141" t="inlineStr">
        <is>
          <t>Total</t>
        </is>
      </c>
      <c r="K22" s="141" t="inlineStr">
        <is>
          <t>USD</t>
        </is>
      </c>
      <c r="L22" s="141" t="inlineStr">
        <is>
          <t>Yahoo Finance / Invesco, 10-sep-2026</t>
        </is>
      </c>
      <c r="M22" s="141">
        <f>COUNT(J$27:J$214)</f>
        <v/>
      </c>
      <c r="N22" s="141">
        <f>MAX(0,M22-1)</f>
        <v/>
      </c>
      <c r="O22" s="141">
        <f>$D$12-M22</f>
        <v/>
      </c>
      <c r="P22" s="502">
        <f>IF($D$12=0,0,M22/$D$12)</f>
        <v/>
      </c>
      <c r="Q22" s="141" t="inlineStr">
        <is>
          <t>Markowitz + backtest</t>
        </is>
      </c>
      <c r="R22" s="287">
        <f>IF(P22=1,"Completa",IF(M22=0,"Pendiente","Parcial"))</f>
        <v/>
      </c>
      <c r="S22" s="141" t="inlineStr">
        <is>
          <t>Baja volatilidad ≠ baja beta; validar beta realizada</t>
        </is>
      </c>
      <c r="T22" s="141" t="n"/>
      <c r="U22" s="141" t="n"/>
    </row>
    <row r="23" ht="38" customHeight="1">
      <c r="C23" s="141" t="inlineStr">
        <is>
          <t>MOM_CMD</t>
        </is>
      </c>
      <c r="D23" s="141" t="inlineStr">
        <is>
          <t>Momentum commodities</t>
        </is>
      </c>
      <c r="E23" s="141" t="inlineStr">
        <is>
          <t>Índice neto Commodity Momentum</t>
        </is>
      </c>
      <c r="F23" s="141" t="inlineStr">
        <is>
          <t>Bloomberg Commodity TR</t>
        </is>
      </c>
      <c r="G23" s="501">
        <f>$D$6</f>
        <v/>
      </c>
      <c r="H23" s="501">
        <f>$D$7</f>
        <v/>
      </c>
      <c r="I23" s="141" t="inlineStr">
        <is>
          <t>Mensual</t>
        </is>
      </c>
      <c r="J23" s="141" t="inlineStr">
        <is>
          <t>Total</t>
        </is>
      </c>
      <c r="K23" s="141" t="inlineStr">
        <is>
          <t>USD</t>
        </is>
      </c>
      <c r="L23" s="141" t="inlineStr">
        <is>
          <t>Modelo Nexum + Yahoo Finance, 10-sep-2026</t>
        </is>
      </c>
      <c r="M23" s="141">
        <f>COUNT(K$27:K$214)</f>
        <v/>
      </c>
      <c r="N23" s="141">
        <f>MAX(0,M23-1)</f>
        <v/>
      </c>
      <c r="O23" s="141">
        <f>$D$12-M23</f>
        <v/>
      </c>
      <c r="P23" s="502">
        <f>IF($D$12=0,0,M23/$D$12)</f>
        <v/>
      </c>
      <c r="Q23" s="141" t="inlineStr">
        <is>
          <t>Markowitz + backtest</t>
        </is>
      </c>
      <c r="R23" s="287">
        <f>IF(P23=1,"Completa",IF(M23=0,"Pendiente","Parcial"))</f>
        <v/>
      </c>
      <c r="S23" s="141" t="inlineStr">
        <is>
          <t>Backtest ETF GLD/USO/DBA; BIL sin señal</t>
        </is>
      </c>
      <c r="T23" s="141" t="n"/>
      <c r="U23" s="141" t="n"/>
    </row>
    <row r="24">
      <c r="W24" s="310" t="inlineStr">
        <is>
          <t>ESTADO DE ESTA ETAPA
Cargadas 5 exposiciones pasivas con 188 niveles ajustados mensuales cada una.
EDV extiende la historia de GOVZ y BIL extiende la de SGOV. Estas proxies son implementables, pero no son idénticas a los ETF finales; se validarán por solapamiento desde 2020.
Las tres estrategias activas permanecen pendientes hasta construir backtests sin look-ahead bias. Markowitz continúa bloqueado hasta completar las ocho series.</t>
        </is>
      </c>
      <c r="X24" s="488" t="n"/>
      <c r="Y24" s="488" t="n"/>
      <c r="Z24" s="489" t="n"/>
    </row>
    <row r="25">
      <c r="C25" s="497" t="inlineStr">
        <is>
          <t>2. NIVELES TOTAL RETURN / ÍNDICES (INPUT)</t>
        </is>
      </c>
      <c r="D25" s="425" t="n"/>
      <c r="E25" s="425" t="n"/>
      <c r="F25" s="425" t="n"/>
      <c r="G25" s="425" t="n"/>
      <c r="H25" s="425" t="n"/>
      <c r="I25" s="425" t="n"/>
      <c r="J25" s="425" t="n"/>
      <c r="K25" s="425" t="n"/>
      <c r="M25" s="497" t="inlineStr">
        <is>
          <t>3. RETORNOS MENSUALES (CÁLCULO)</t>
        </is>
      </c>
      <c r="N25" s="425" t="n"/>
      <c r="O25" s="425" t="n"/>
      <c r="P25" s="425" t="n"/>
      <c r="Q25" s="425" t="n"/>
      <c r="R25" s="425" t="n"/>
      <c r="S25" s="425" t="n"/>
      <c r="T25" s="425" t="n"/>
      <c r="U25" s="425" t="n"/>
      <c r="W25" s="490" t="n"/>
      <c r="Z25" s="491" t="n"/>
    </row>
    <row r="26" ht="30" customHeight="1">
      <c r="C26" s="291" t="inlineStr">
        <is>
          <t>Fecha</t>
        </is>
      </c>
      <c r="D26" s="291" t="inlineStr">
        <is>
          <t>LDI_CORP</t>
        </is>
      </c>
      <c r="E26" s="291" t="inlineStr">
        <is>
          <t>LDI_TSY</t>
        </is>
      </c>
      <c r="F26" s="291" t="inlineStr">
        <is>
          <t>LDI_STRIPS</t>
        </is>
      </c>
      <c r="G26" s="291" t="inlineStr">
        <is>
          <t>EQ_CORE</t>
        </is>
      </c>
      <c r="H26" s="291" t="inlineStr">
        <is>
          <t>CASH</t>
        </is>
      </c>
      <c r="I26" s="291" t="inlineStr">
        <is>
          <t>MOM_EQ</t>
        </is>
      </c>
      <c r="J26" s="291" t="inlineStr">
        <is>
          <t>BAB_EQ</t>
        </is>
      </c>
      <c r="K26" s="291" t="inlineStr">
        <is>
          <t>MOM_CMD</t>
        </is>
      </c>
      <c r="M26" s="291" t="inlineStr">
        <is>
          <t>Fecha</t>
        </is>
      </c>
      <c r="N26" s="291" t="inlineStr">
        <is>
          <t>LDI_CORP</t>
        </is>
      </c>
      <c r="O26" s="291" t="inlineStr">
        <is>
          <t>LDI_TSY</t>
        </is>
      </c>
      <c r="P26" s="291" t="inlineStr">
        <is>
          <t>LDI_STRIPS</t>
        </is>
      </c>
      <c r="Q26" s="291" t="inlineStr">
        <is>
          <t>EQ_CORE</t>
        </is>
      </c>
      <c r="R26" s="291" t="inlineStr">
        <is>
          <t>CASH</t>
        </is>
      </c>
      <c r="S26" s="291" t="inlineStr">
        <is>
          <t>MOM_EQ</t>
        </is>
      </c>
      <c r="T26" s="291" t="inlineStr">
        <is>
          <t>BAB_EQ</t>
        </is>
      </c>
      <c r="U26" s="291" t="inlineStr">
        <is>
          <t>MOM_CMD</t>
        </is>
      </c>
      <c r="W26" s="490" t="n"/>
      <c r="Z26" s="491" t="n"/>
    </row>
    <row r="27">
      <c r="C27" s="503" t="n">
        <v>40574</v>
      </c>
      <c r="D27" s="293" t="n">
        <v>38.32810592651367</v>
      </c>
      <c r="E27" s="293" t="n">
        <v>73.71907806396484</v>
      </c>
      <c r="F27" s="293" t="n">
        <v>40.94168090820312</v>
      </c>
      <c r="G27" s="293" t="n">
        <v>97.91944122314453</v>
      </c>
      <c r="H27" s="293" t="n">
        <v>73.22471618652344</v>
      </c>
      <c r="I27" s="293" t="n"/>
      <c r="J27" s="293" t="n"/>
      <c r="K27" s="293">
        <f>'07_Backtest_CMD'!AL40</f>
        <v/>
      </c>
      <c r="M27" s="503" t="n">
        <v>40574</v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W27" s="490" t="n"/>
      <c r="Z27" s="491" t="n"/>
    </row>
    <row r="28">
      <c r="C28" s="503" t="n">
        <v>40602</v>
      </c>
      <c r="D28" s="293" t="n">
        <v>39.00014877319336</v>
      </c>
      <c r="E28" s="293" t="n">
        <v>74.27191162109375</v>
      </c>
      <c r="F28" s="293" t="n">
        <v>42.04864883422852</v>
      </c>
      <c r="G28" s="293" t="n">
        <v>101.3209228515625</v>
      </c>
      <c r="H28" s="293" t="n">
        <v>73.22471618652344</v>
      </c>
      <c r="I28" s="293" t="n"/>
      <c r="J28" s="293" t="n"/>
      <c r="K28" s="293">
        <f>'07_Backtest_CMD'!AL41</f>
        <v/>
      </c>
      <c r="M28" s="503" t="n">
        <v>40602</v>
      </c>
      <c r="N28" s="504">
        <f>IF(OR(D28="",D27=""),"",D28/D27-1)</f>
        <v/>
      </c>
      <c r="O28" s="504">
        <f>IF(OR(E28="",E27=""),"",E28/E27-1)</f>
        <v/>
      </c>
      <c r="P28" s="504">
        <f>IF(OR(F28="",F27=""),"",F28/F27-1)</f>
        <v/>
      </c>
      <c r="Q28" s="504">
        <f>IF(OR(G28="",G27=""),"",G28/G27-1)</f>
        <v/>
      </c>
      <c r="R28" s="504">
        <f>IF(OR(H28="",H27=""),"",H28/H27-1)</f>
        <v/>
      </c>
      <c r="S28" s="504">
        <f>IF(OR(I28="",I27=""),"",I28/I27-1)</f>
        <v/>
      </c>
      <c r="T28" s="504">
        <f>IF(OR(J28="",J27=""),"",J28/J27-1)</f>
        <v/>
      </c>
      <c r="U28" s="504">
        <f>IF(OR(K28="",K27=""),"",K28/K27-1)</f>
        <v/>
      </c>
      <c r="W28" s="490" t="n"/>
      <c r="Z28" s="491" t="n"/>
    </row>
    <row r="29">
      <c r="C29" s="503" t="n">
        <v>40633</v>
      </c>
      <c r="D29" s="293" t="n">
        <v>38.75415420532227</v>
      </c>
      <c r="E29" s="293" t="n">
        <v>74.11943817138672</v>
      </c>
      <c r="F29" s="293" t="n">
        <v>41.99740600585938</v>
      </c>
      <c r="G29" s="293" t="n">
        <v>101.3330841064453</v>
      </c>
      <c r="H29" s="293" t="n">
        <v>73.22471618652344</v>
      </c>
      <c r="I29" s="293" t="n"/>
      <c r="J29" s="293" t="n"/>
      <c r="K29" s="293">
        <f>'07_Backtest_CMD'!AL42</f>
        <v/>
      </c>
      <c r="M29" s="503" t="n">
        <v>40633</v>
      </c>
      <c r="N29" s="504">
        <f>IF(OR(D29="",D28=""),"",D29/D28-1)</f>
        <v/>
      </c>
      <c r="O29" s="504">
        <f>IF(OR(E29="",E28=""),"",E29/E28-1)</f>
        <v/>
      </c>
      <c r="P29" s="504">
        <f>IF(OR(F29="",F28=""),"",F29/F28-1)</f>
        <v/>
      </c>
      <c r="Q29" s="504">
        <f>IF(OR(G29="",G28=""),"",G29/G28-1)</f>
        <v/>
      </c>
      <c r="R29" s="504">
        <f>IF(OR(H29="",H28=""),"",H29/H28-1)</f>
        <v/>
      </c>
      <c r="S29" s="504">
        <f>IF(OR(I29="",I28=""),"",I29/I28-1)</f>
        <v/>
      </c>
      <c r="T29" s="504">
        <f>IF(OR(J29="",J28=""),"",J29/J28-1)</f>
        <v/>
      </c>
      <c r="U29" s="504">
        <f>IF(OR(K29="",K28=""),"",K29/K28-1)</f>
        <v/>
      </c>
      <c r="W29" s="490" t="n"/>
      <c r="Z29" s="491" t="n"/>
    </row>
    <row r="30">
      <c r="C30" s="503" t="n">
        <v>40663</v>
      </c>
      <c r="D30" s="293" t="n">
        <v>39.80669021606445</v>
      </c>
      <c r="E30" s="293" t="n">
        <v>75.54847717285156</v>
      </c>
      <c r="F30" s="293" t="n">
        <v>43.30714416503906</v>
      </c>
      <c r="G30" s="293" t="n">
        <v>104.2678070068359</v>
      </c>
      <c r="H30" s="293" t="n">
        <v>73.22471618652344</v>
      </c>
      <c r="I30" s="293" t="n"/>
      <c r="J30" s="293" t="n"/>
      <c r="K30" s="293">
        <f>'07_Backtest_CMD'!AL43</f>
        <v/>
      </c>
      <c r="M30" s="503" t="n">
        <v>40663</v>
      </c>
      <c r="N30" s="504">
        <f>IF(OR(D30="",D29=""),"",D30/D29-1)</f>
        <v/>
      </c>
      <c r="O30" s="504">
        <f>IF(OR(E30="",E29=""),"",E30/E29-1)</f>
        <v/>
      </c>
      <c r="P30" s="504">
        <f>IF(OR(F30="",F29=""),"",F30/F29-1)</f>
        <v/>
      </c>
      <c r="Q30" s="504">
        <f>IF(OR(G30="",G29=""),"",G30/G29-1)</f>
        <v/>
      </c>
      <c r="R30" s="504">
        <f>IF(OR(H30="",H29=""),"",H30/H29-1)</f>
        <v/>
      </c>
      <c r="S30" s="504">
        <f>IF(OR(I30="",I29=""),"",I30/I29-1)</f>
        <v/>
      </c>
      <c r="T30" s="504">
        <f>IF(OR(J30="",J29=""),"",J30/J29-1)</f>
        <v/>
      </c>
      <c r="U30" s="504">
        <f>IF(OR(K30="",K29=""),"",K30/K29-1)</f>
        <v/>
      </c>
      <c r="W30" s="490" t="n"/>
      <c r="Z30" s="491" t="n"/>
    </row>
    <row r="31">
      <c r="C31" s="503" t="n">
        <v>40694</v>
      </c>
      <c r="D31" s="293" t="n">
        <v>40.89783096313477</v>
      </c>
      <c r="E31" s="293" t="n">
        <v>77.69645690917969</v>
      </c>
      <c r="F31" s="293" t="n">
        <v>45.78823089599609</v>
      </c>
      <c r="G31" s="293" t="n">
        <v>103.0985336303711</v>
      </c>
      <c r="H31" s="293" t="n">
        <v>73.24069213867188</v>
      </c>
      <c r="I31" s="293" t="n"/>
      <c r="J31" s="293" t="n">
        <v>17.8462085723877</v>
      </c>
      <c r="K31" s="293">
        <f>'07_Backtest_CMD'!AL44</f>
        <v/>
      </c>
      <c r="M31" s="503" t="n">
        <v>40694</v>
      </c>
      <c r="N31" s="504">
        <f>IF(OR(D31="",D30=""),"",D31/D30-1)</f>
        <v/>
      </c>
      <c r="O31" s="504">
        <f>IF(OR(E31="",E30=""),"",E31/E30-1)</f>
        <v/>
      </c>
      <c r="P31" s="504">
        <f>IF(OR(F31="",F30=""),"",F31/F30-1)</f>
        <v/>
      </c>
      <c r="Q31" s="504">
        <f>IF(OR(G31="",G30=""),"",G31/G30-1)</f>
        <v/>
      </c>
      <c r="R31" s="504">
        <f>IF(OR(H31="",H30=""),"",H31/H30-1)</f>
        <v/>
      </c>
      <c r="S31" s="504">
        <f>IF(OR(I31="",I30=""),"",I31/I30-1)</f>
        <v/>
      </c>
      <c r="T31" s="504">
        <f>IF(OR(J31="",J30=""),"",J31/J30-1)</f>
        <v/>
      </c>
      <c r="U31" s="504">
        <f>IF(OR(K31="",K30=""),"",K31/K30-1)</f>
        <v/>
      </c>
      <c r="W31" s="492" t="n"/>
      <c r="X31" s="493" t="n"/>
      <c r="Y31" s="493" t="n"/>
      <c r="Z31" s="494" t="n"/>
    </row>
    <row r="32">
      <c r="C32" s="503" t="n">
        <v>40724</v>
      </c>
      <c r="D32" s="293" t="n">
        <v>40.03116226196289</v>
      </c>
      <c r="E32" s="293" t="n">
        <v>76.62975311279297</v>
      </c>
      <c r="F32" s="293" t="n">
        <v>43.80043792724609</v>
      </c>
      <c r="G32" s="293" t="n">
        <v>101.3592987060547</v>
      </c>
      <c r="H32" s="293" t="n">
        <v>73.24069213867188</v>
      </c>
      <c r="I32" s="293" t="n"/>
      <c r="J32" s="293" t="n">
        <v>17.63852882385254</v>
      </c>
      <c r="K32" s="293">
        <f>'07_Backtest_CMD'!AL45</f>
        <v/>
      </c>
      <c r="M32" s="503" t="n">
        <v>40724</v>
      </c>
      <c r="N32" s="504">
        <f>IF(OR(D32="",D31=""),"",D32/D31-1)</f>
        <v/>
      </c>
      <c r="O32" s="504">
        <f>IF(OR(E32="",E31=""),"",E32/E31-1)</f>
        <v/>
      </c>
      <c r="P32" s="504">
        <f>IF(OR(F32="",F31=""),"",F32/F31-1)</f>
        <v/>
      </c>
      <c r="Q32" s="504">
        <f>IF(OR(G32="",G31=""),"",G32/G31-1)</f>
        <v/>
      </c>
      <c r="R32" s="504">
        <f>IF(OR(H32="",H31=""),"",H32/H31-1)</f>
        <v/>
      </c>
      <c r="S32" s="504">
        <f>IF(OR(I32="",I31=""),"",I32/I31-1)</f>
        <v/>
      </c>
      <c r="T32" s="504">
        <f>IF(OR(J32="",J31=""),"",J32/J31-1)</f>
        <v/>
      </c>
      <c r="U32" s="504">
        <f>IF(OR(K32="",K31=""),"",K32/K31-1)</f>
        <v/>
      </c>
    </row>
    <row r="33">
      <c r="C33" s="503" t="n">
        <v>40755</v>
      </c>
      <c r="D33" s="293" t="n">
        <v>41.60383987426758</v>
      </c>
      <c r="E33" s="293" t="n">
        <v>79.64695739746094</v>
      </c>
      <c r="F33" s="293" t="n">
        <v>46.42534637451172</v>
      </c>
      <c r="G33" s="293" t="n">
        <v>99.33162689208984</v>
      </c>
      <c r="H33" s="293" t="n">
        <v>73.24069213867188</v>
      </c>
      <c r="I33" s="293" t="n"/>
      <c r="J33" s="293" t="n">
        <v>17.22610664367676</v>
      </c>
      <c r="K33" s="293">
        <f>'07_Backtest_CMD'!AL46</f>
        <v/>
      </c>
      <c r="M33" s="503" t="n">
        <v>40755</v>
      </c>
      <c r="N33" s="504">
        <f>IF(OR(D33="",D32=""),"",D33/D32-1)</f>
        <v/>
      </c>
      <c r="O33" s="504">
        <f>IF(OR(E33="",E32=""),"",E33/E32-1)</f>
        <v/>
      </c>
      <c r="P33" s="504">
        <f>IF(OR(F33="",F32=""),"",F33/F32-1)</f>
        <v/>
      </c>
      <c r="Q33" s="504">
        <f>IF(OR(G33="",G32=""),"",G33/G32-1)</f>
        <v/>
      </c>
      <c r="R33" s="504">
        <f>IF(OR(H33="",H32=""),"",H33/H32-1)</f>
        <v/>
      </c>
      <c r="S33" s="504">
        <f>IF(OR(I33="",I32=""),"",I33/I32-1)</f>
        <v/>
      </c>
      <c r="T33" s="504">
        <f>IF(OR(J33="",J32=""),"",J33/J32-1)</f>
        <v/>
      </c>
      <c r="U33" s="504">
        <f>IF(OR(K33="",K32=""),"",K33/K32-1)</f>
        <v/>
      </c>
    </row>
    <row r="34">
      <c r="C34" s="503" t="n">
        <v>40786</v>
      </c>
      <c r="D34" s="293" t="n">
        <v>42.11846542358398</v>
      </c>
      <c r="E34" s="293" t="n">
        <v>84.84606170654297</v>
      </c>
      <c r="F34" s="293" t="n">
        <v>54.02572250366211</v>
      </c>
      <c r="G34" s="293" t="n">
        <v>93.87084197998047</v>
      </c>
      <c r="H34" s="293" t="n">
        <v>73.24069213867188</v>
      </c>
      <c r="I34" s="293" t="n"/>
      <c r="J34" s="293" t="n">
        <v>17.23822402954102</v>
      </c>
      <c r="K34" s="293">
        <f>'07_Backtest_CMD'!AL47</f>
        <v/>
      </c>
      <c r="M34" s="503" t="n">
        <v>40786</v>
      </c>
      <c r="N34" s="504">
        <f>IF(OR(D34="",D33=""),"",D34/D33-1)</f>
        <v/>
      </c>
      <c r="O34" s="504">
        <f>IF(OR(E34="",E33=""),"",E34/E33-1)</f>
        <v/>
      </c>
      <c r="P34" s="504">
        <f>IF(OR(F34="",F33=""),"",F34/F33-1)</f>
        <v/>
      </c>
      <c r="Q34" s="504">
        <f>IF(OR(G34="",G33=""),"",G34/G33-1)</f>
        <v/>
      </c>
      <c r="R34" s="504">
        <f>IF(OR(H34="",H33=""),"",H34/H33-1)</f>
        <v/>
      </c>
      <c r="S34" s="504">
        <f>IF(OR(I34="",I33=""),"",I34/I33-1)</f>
        <v/>
      </c>
      <c r="T34" s="504">
        <f>IF(OR(J34="",J33=""),"",J34/J33-1)</f>
        <v/>
      </c>
      <c r="U34" s="504">
        <f>IF(OR(K34="",K33=""),"",K34/K33-1)</f>
        <v/>
      </c>
    </row>
    <row r="35">
      <c r="C35" s="503" t="n">
        <v>40816</v>
      </c>
      <c r="D35" s="293" t="n">
        <v>43.54874801635742</v>
      </c>
      <c r="E35" s="293" t="n">
        <v>89.13599395751953</v>
      </c>
      <c r="F35" s="293" t="n">
        <v>66.86454772949219</v>
      </c>
      <c r="G35" s="293" t="n">
        <v>87.35421752929688</v>
      </c>
      <c r="H35" s="293" t="n">
        <v>73.22471618652344</v>
      </c>
      <c r="I35" s="293" t="n"/>
      <c r="J35" s="293" t="n">
        <v>16.8688793182373</v>
      </c>
      <c r="K35" s="293">
        <f>'07_Backtest_CMD'!AL48</f>
        <v/>
      </c>
      <c r="M35" s="503" t="n">
        <v>40816</v>
      </c>
      <c r="N35" s="504">
        <f>IF(OR(D35="",D34=""),"",D35/D34-1)</f>
        <v/>
      </c>
      <c r="O35" s="504">
        <f>IF(OR(E35="",E34=""),"",E35/E34-1)</f>
        <v/>
      </c>
      <c r="P35" s="504">
        <f>IF(OR(F35="",F34=""),"",F35/F34-1)</f>
        <v/>
      </c>
      <c r="Q35" s="504">
        <f>IF(OR(G35="",G34=""),"",G35/G34-1)</f>
        <v/>
      </c>
      <c r="R35" s="504">
        <f>IF(OR(H35="",H34=""),"",H35/H34-1)</f>
        <v/>
      </c>
      <c r="S35" s="504">
        <f>IF(OR(I35="",I34=""),"",I35/I34-1)</f>
        <v/>
      </c>
      <c r="T35" s="504">
        <f>IF(OR(J35="",J34=""),"",J35/J34-1)</f>
        <v/>
      </c>
      <c r="U35" s="504">
        <f>IF(OR(K35="",K34=""),"",K35/K34-1)</f>
        <v/>
      </c>
    </row>
    <row r="36">
      <c r="C36" s="503" t="n">
        <v>40847</v>
      </c>
      <c r="D36" s="293" t="n">
        <v>45.02249526977539</v>
      </c>
      <c r="E36" s="293" t="n">
        <v>87.31151580810547</v>
      </c>
      <c r="F36" s="293" t="n">
        <v>62.39970397949219</v>
      </c>
      <c r="G36" s="293" t="n">
        <v>96.88868713378906</v>
      </c>
      <c r="H36" s="293" t="n">
        <v>73.19277191162109</v>
      </c>
      <c r="I36" s="293" t="n"/>
      <c r="J36" s="293" t="n">
        <v>17.87264442443848</v>
      </c>
      <c r="K36" s="293">
        <f>'07_Backtest_CMD'!AL49</f>
        <v/>
      </c>
      <c r="M36" s="503" t="n">
        <v>40847</v>
      </c>
      <c r="N36" s="504">
        <f>IF(OR(D36="",D35=""),"",D36/D35-1)</f>
        <v/>
      </c>
      <c r="O36" s="504">
        <f>IF(OR(E36="",E35=""),"",E36/E35-1)</f>
        <v/>
      </c>
      <c r="P36" s="504">
        <f>IF(OR(F36="",F35=""),"",F36/F35-1)</f>
        <v/>
      </c>
      <c r="Q36" s="504">
        <f>IF(OR(G36="",G35=""),"",G36/G35-1)</f>
        <v/>
      </c>
      <c r="R36" s="504">
        <f>IF(OR(H36="",H35=""),"",H36/H35-1)</f>
        <v/>
      </c>
      <c r="S36" s="504">
        <f>IF(OR(I36="",I35=""),"",I36/I35-1)</f>
        <v/>
      </c>
      <c r="T36" s="504">
        <f>IF(OR(J36="",J35=""),"",J36/J35-1)</f>
        <v/>
      </c>
      <c r="U36" s="504">
        <f>IF(OR(K36="",K35=""),"",K36/K35-1)</f>
        <v/>
      </c>
    </row>
    <row r="37">
      <c r="C37" s="503" t="n">
        <v>40877</v>
      </c>
      <c r="D37" s="293" t="n">
        <v>43.54495620727539</v>
      </c>
      <c r="E37" s="293" t="n">
        <v>88.30101013183594</v>
      </c>
      <c r="F37" s="293" t="n">
        <v>64.55628967285156</v>
      </c>
      <c r="G37" s="293" t="n">
        <v>96.49495697021484</v>
      </c>
      <c r="H37" s="293" t="n">
        <v>73.20873260498047</v>
      </c>
      <c r="I37" s="293" t="n"/>
      <c r="J37" s="293" t="n">
        <v>18.05942535400391</v>
      </c>
      <c r="K37" s="293">
        <f>'07_Backtest_CMD'!AL50</f>
        <v/>
      </c>
      <c r="M37" s="503" t="n">
        <v>40877</v>
      </c>
      <c r="N37" s="504">
        <f>IF(OR(D37="",D36=""),"",D37/D36-1)</f>
        <v/>
      </c>
      <c r="O37" s="504">
        <f>IF(OR(E37="",E36=""),"",E37/E36-1)</f>
        <v/>
      </c>
      <c r="P37" s="504">
        <f>IF(OR(F37="",F36=""),"",F37/F36-1)</f>
        <v/>
      </c>
      <c r="Q37" s="504">
        <f>IF(OR(G37="",G36=""),"",G37/G36-1)</f>
        <v/>
      </c>
      <c r="R37" s="504">
        <f>IF(OR(H37="",H36=""),"",H37/H36-1)</f>
        <v/>
      </c>
      <c r="S37" s="504">
        <f>IF(OR(I37="",I36=""),"",I37/I36-1)</f>
        <v/>
      </c>
      <c r="T37" s="504">
        <f>IF(OR(J37="",J36=""),"",J37/J36-1)</f>
        <v/>
      </c>
      <c r="U37" s="504">
        <f>IF(OR(K37="",K36=""),"",K37/K36-1)</f>
        <v/>
      </c>
    </row>
    <row r="38">
      <c r="C38" s="503" t="n">
        <v>40908</v>
      </c>
      <c r="D38" s="293" t="n">
        <v>45.42592620849609</v>
      </c>
      <c r="E38" s="293" t="n">
        <v>90.38977813720703</v>
      </c>
      <c r="F38" s="293" t="n">
        <v>68.05914306640625</v>
      </c>
      <c r="G38" s="293" t="n">
        <v>97.50320434570312</v>
      </c>
      <c r="H38" s="293" t="n">
        <v>73.19595336914062</v>
      </c>
      <c r="I38" s="293" t="n"/>
      <c r="J38" s="293" t="n">
        <v>18.62248420715332</v>
      </c>
      <c r="K38" s="293">
        <f>'07_Backtest_CMD'!AL51</f>
        <v/>
      </c>
      <c r="M38" s="503" t="n">
        <v>40908</v>
      </c>
      <c r="N38" s="504">
        <f>IF(OR(D38="",D37=""),"",D38/D37-1)</f>
        <v/>
      </c>
      <c r="O38" s="504">
        <f>IF(OR(E38="",E37=""),"",E38/E37-1)</f>
        <v/>
      </c>
      <c r="P38" s="504">
        <f>IF(OR(F38="",F37=""),"",F38/F37-1)</f>
        <v/>
      </c>
      <c r="Q38" s="504">
        <f>IF(OR(G38="",G37=""),"",G38/G37-1)</f>
        <v/>
      </c>
      <c r="R38" s="504">
        <f>IF(OR(H38="",H37=""),"",H38/H37-1)</f>
        <v/>
      </c>
      <c r="S38" s="504">
        <f>IF(OR(I38="",I37=""),"",I38/I37-1)</f>
        <v/>
      </c>
      <c r="T38" s="504">
        <f>IF(OR(J38="",J37=""),"",J38/J37-1)</f>
        <v/>
      </c>
      <c r="U38" s="504">
        <f>IF(OR(K38="",K37=""),"",K38/K37-1)</f>
        <v/>
      </c>
    </row>
    <row r="39">
      <c r="C39" s="503" t="n">
        <v>40939</v>
      </c>
      <c r="D39" s="293" t="n">
        <v>46.17779541015625</v>
      </c>
      <c r="E39" s="293" t="n">
        <v>90.90647888183594</v>
      </c>
      <c r="F39" s="293" t="n">
        <v>67.02101898193359</v>
      </c>
      <c r="G39" s="293" t="n">
        <v>102.0248565673828</v>
      </c>
      <c r="H39" s="293" t="n">
        <v>73.18000030517578</v>
      </c>
      <c r="I39" s="293" t="n"/>
      <c r="J39" s="293" t="n">
        <v>18.51972007751465</v>
      </c>
      <c r="K39" s="293">
        <f>'07_Backtest_CMD'!AL52</f>
        <v/>
      </c>
      <c r="M39" s="503" t="n">
        <v>40939</v>
      </c>
      <c r="N39" s="504">
        <f>IF(OR(D39="",D38=""),"",D39/D38-1)</f>
        <v/>
      </c>
      <c r="O39" s="504">
        <f>IF(OR(E39="",E38=""),"",E39/E38-1)</f>
        <v/>
      </c>
      <c r="P39" s="504">
        <f>IF(OR(F39="",F38=""),"",F39/F38-1)</f>
        <v/>
      </c>
      <c r="Q39" s="504">
        <f>IF(OR(G39="",G38=""),"",G39/G38-1)</f>
        <v/>
      </c>
      <c r="R39" s="504">
        <f>IF(OR(H39="",H38=""),"",H39/H38-1)</f>
        <v/>
      </c>
      <c r="S39" s="504">
        <f>IF(OR(I39="",I38=""),"",I39/I38-1)</f>
        <v/>
      </c>
      <c r="T39" s="504">
        <f>IF(OR(J39="",J38=""),"",J39/J38-1)</f>
        <v/>
      </c>
      <c r="U39" s="504">
        <f>IF(OR(K39="",K38=""),"",K39/K38-1)</f>
        <v/>
      </c>
    </row>
    <row r="40">
      <c r="C40" s="503" t="n">
        <v>40968</v>
      </c>
      <c r="D40" s="293" t="n">
        <v>46.76644897460938</v>
      </c>
      <c r="E40" s="293" t="n">
        <v>89.57499694824219</v>
      </c>
      <c r="F40" s="293" t="n">
        <v>64.82199096679688</v>
      </c>
      <c r="G40" s="293" t="n">
        <v>106.453254699707</v>
      </c>
      <c r="H40" s="293" t="n">
        <v>73.19595336914062</v>
      </c>
      <c r="I40" s="293" t="n"/>
      <c r="J40" s="293" t="n">
        <v>18.85714530944824</v>
      </c>
      <c r="K40" s="293">
        <f>'07_Backtest_CMD'!AL53</f>
        <v/>
      </c>
      <c r="M40" s="503" t="n">
        <v>40968</v>
      </c>
      <c r="N40" s="504">
        <f>IF(OR(D40="",D39=""),"",D40/D39-1)</f>
        <v/>
      </c>
      <c r="O40" s="504">
        <f>IF(OR(E40="",E39=""),"",E40/E39-1)</f>
        <v/>
      </c>
      <c r="P40" s="504">
        <f>IF(OR(F40="",F39=""),"",F40/F39-1)</f>
        <v/>
      </c>
      <c r="Q40" s="504">
        <f>IF(OR(G40="",G39=""),"",G40/G39-1)</f>
        <v/>
      </c>
      <c r="R40" s="504">
        <f>IF(OR(H40="",H39=""),"",H40/H39-1)</f>
        <v/>
      </c>
      <c r="S40" s="504">
        <f>IF(OR(I40="",I39=""),"",I40/I39-1)</f>
        <v/>
      </c>
      <c r="T40" s="504">
        <f>IF(OR(J40="",J39=""),"",J40/J39-1)</f>
        <v/>
      </c>
      <c r="U40" s="504">
        <f>IF(OR(K40="",K39=""),"",K40/K39-1)</f>
        <v/>
      </c>
    </row>
    <row r="41">
      <c r="C41" s="503" t="n">
        <v>40999</v>
      </c>
      <c r="D41" s="293" t="n">
        <v>45.02048492431641</v>
      </c>
      <c r="E41" s="293" t="n">
        <v>87.23442077636719</v>
      </c>
      <c r="F41" s="293" t="n">
        <v>60.52565383911133</v>
      </c>
      <c r="G41" s="293" t="n">
        <v>109.8772201538086</v>
      </c>
      <c r="H41" s="293" t="n">
        <v>73.18000030517578</v>
      </c>
      <c r="I41" s="293" t="n"/>
      <c r="J41" s="293" t="n">
        <v>19.3984260559082</v>
      </c>
      <c r="K41" s="293">
        <f>'07_Backtest_CMD'!AL54</f>
        <v/>
      </c>
      <c r="M41" s="503" t="n">
        <v>40999</v>
      </c>
      <c r="N41" s="504">
        <f>IF(OR(D41="",D40=""),"",D41/D40-1)</f>
        <v/>
      </c>
      <c r="O41" s="504">
        <f>IF(OR(E41="",E40=""),"",E41/E40-1)</f>
        <v/>
      </c>
      <c r="P41" s="504">
        <f>IF(OR(F41="",F40=""),"",F41/F40-1)</f>
        <v/>
      </c>
      <c r="Q41" s="504">
        <f>IF(OR(G41="",G40=""),"",G41/G40-1)</f>
        <v/>
      </c>
      <c r="R41" s="504">
        <f>IF(OR(H41="",H40=""),"",H41/H40-1)</f>
        <v/>
      </c>
      <c r="S41" s="504">
        <f>IF(OR(I41="",I40=""),"",I41/I40-1)</f>
        <v/>
      </c>
      <c r="T41" s="504">
        <f>IF(OR(J41="",J40=""),"",J41/J40-1)</f>
        <v/>
      </c>
      <c r="U41" s="504">
        <f>IF(OR(K41="",K40=""),"",K41/K40-1)</f>
        <v/>
      </c>
    </row>
    <row r="42">
      <c r="C42" s="503" t="n">
        <v>41029</v>
      </c>
      <c r="D42" s="293" t="n">
        <v>46.02799224853516</v>
      </c>
      <c r="E42" s="293" t="n">
        <v>90.34657287597656</v>
      </c>
      <c r="F42" s="293" t="n">
        <v>64.59069061279297</v>
      </c>
      <c r="G42" s="293" t="n">
        <v>109.1436920166016</v>
      </c>
      <c r="H42" s="293" t="n">
        <v>73.19595336914062</v>
      </c>
      <c r="I42" s="293" t="n"/>
      <c r="J42" s="293" t="n">
        <v>19.60508918762207</v>
      </c>
      <c r="K42" s="293">
        <f>'07_Backtest_CMD'!AL55</f>
        <v/>
      </c>
      <c r="M42" s="503" t="n">
        <v>41029</v>
      </c>
      <c r="N42" s="504">
        <f>IF(OR(D42="",D41=""),"",D42/D41-1)</f>
        <v/>
      </c>
      <c r="O42" s="504">
        <f>IF(OR(E42="",E41=""),"",E42/E41-1)</f>
        <v/>
      </c>
      <c r="P42" s="504">
        <f>IF(OR(F42="",F41=""),"",F42/F41-1)</f>
        <v/>
      </c>
      <c r="Q42" s="504">
        <f>IF(OR(G42="",G41=""),"",G42/G41-1)</f>
        <v/>
      </c>
      <c r="R42" s="504">
        <f>IF(OR(H42="",H41=""),"",H42/H41-1)</f>
        <v/>
      </c>
      <c r="S42" s="504">
        <f>IF(OR(I42="",I41=""),"",I42/I41-1)</f>
        <v/>
      </c>
      <c r="T42" s="504">
        <f>IF(OR(J42="",J41=""),"",J42/J41-1)</f>
        <v/>
      </c>
      <c r="U42" s="504">
        <f>IF(OR(K42="",K41=""),"",K42/K41-1)</f>
        <v/>
      </c>
    </row>
    <row r="43">
      <c r="C43" s="503" t="n">
        <v>41060</v>
      </c>
      <c r="D43" s="293" t="n">
        <v>47.38567352294922</v>
      </c>
      <c r="E43" s="293" t="n">
        <v>94.79021453857422</v>
      </c>
      <c r="F43" s="293" t="n">
        <v>73.68778991699219</v>
      </c>
      <c r="G43" s="293" t="n">
        <v>102.5890121459961</v>
      </c>
      <c r="H43" s="293" t="n">
        <v>73.19595336914062</v>
      </c>
      <c r="I43" s="293" t="n"/>
      <c r="J43" s="293" t="n">
        <v>19.30242156982422</v>
      </c>
      <c r="K43" s="293">
        <f>'07_Backtest_CMD'!AL56</f>
        <v/>
      </c>
      <c r="M43" s="503" t="n">
        <v>41060</v>
      </c>
      <c r="N43" s="504">
        <f>IF(OR(D43="",D42=""),"",D43/D42-1)</f>
        <v/>
      </c>
      <c r="O43" s="504">
        <f>IF(OR(E43="",E42=""),"",E43/E42-1)</f>
        <v/>
      </c>
      <c r="P43" s="504">
        <f>IF(OR(F43="",F42=""),"",F43/F42-1)</f>
        <v/>
      </c>
      <c r="Q43" s="504">
        <f>IF(OR(G43="",G42=""),"",G43/G42-1)</f>
        <v/>
      </c>
      <c r="R43" s="504">
        <f>IF(OR(H43="",H42=""),"",H43/H42-1)</f>
        <v/>
      </c>
      <c r="S43" s="504">
        <f>IF(OR(I43="",I42=""),"",I43/I42-1)</f>
        <v/>
      </c>
      <c r="T43" s="504">
        <f>IF(OR(J43="",J42=""),"",J43/J42-1)</f>
        <v/>
      </c>
      <c r="U43" s="504">
        <f>IF(OR(K43="",K42=""),"",K43/K42-1)</f>
        <v/>
      </c>
    </row>
    <row r="44">
      <c r="C44" s="503" t="n">
        <v>41090</v>
      </c>
      <c r="D44" s="293" t="n">
        <v>47.84976577758789</v>
      </c>
      <c r="E44" s="293" t="n">
        <v>93.86069488525391</v>
      </c>
      <c r="F44" s="293" t="n">
        <v>72.04780578613281</v>
      </c>
      <c r="G44" s="293" t="n">
        <v>106.7521820068359</v>
      </c>
      <c r="H44" s="293" t="n">
        <v>73.16400146484375</v>
      </c>
      <c r="I44" s="293" t="n"/>
      <c r="J44" s="293" t="n">
        <v>20.10685348510742</v>
      </c>
      <c r="K44" s="293">
        <f>'07_Backtest_CMD'!AL57</f>
        <v/>
      </c>
      <c r="M44" s="503" t="n">
        <v>41090</v>
      </c>
      <c r="N44" s="504">
        <f>IF(OR(D44="",D43=""),"",D44/D43-1)</f>
        <v/>
      </c>
      <c r="O44" s="504">
        <f>IF(OR(E44="",E43=""),"",E44/E43-1)</f>
        <v/>
      </c>
      <c r="P44" s="504">
        <f>IF(OR(F44="",F43=""),"",F44/F43-1)</f>
        <v/>
      </c>
      <c r="Q44" s="504">
        <f>IF(OR(G44="",G43=""),"",G44/G43-1)</f>
        <v/>
      </c>
      <c r="R44" s="504">
        <f>IF(OR(H44="",H43=""),"",H44/H43-1)</f>
        <v/>
      </c>
      <c r="S44" s="504">
        <f>IF(OR(I44="",I43=""),"",I44/I43-1)</f>
        <v/>
      </c>
      <c r="T44" s="504">
        <f>IF(OR(J44="",J43=""),"",J44/J43-1)</f>
        <v/>
      </c>
      <c r="U44" s="504">
        <f>IF(OR(K44="",K43=""),"",K44/K43-1)</f>
        <v/>
      </c>
    </row>
    <row r="45">
      <c r="C45" s="503" t="n">
        <v>41121</v>
      </c>
      <c r="D45" s="293" t="n">
        <v>50.4438362121582</v>
      </c>
      <c r="E45" s="293" t="n">
        <v>95.87300109863281</v>
      </c>
      <c r="F45" s="293" t="n">
        <v>76.23694610595703</v>
      </c>
      <c r="G45" s="293" t="n">
        <v>108.0149917602539</v>
      </c>
      <c r="H45" s="293" t="n">
        <v>73.16400146484375</v>
      </c>
      <c r="I45" s="293" t="n"/>
      <c r="J45" s="293" t="n">
        <v>20.51460456848145</v>
      </c>
      <c r="K45" s="293">
        <f>'07_Backtest_CMD'!AL58</f>
        <v/>
      </c>
      <c r="M45" s="503" t="n">
        <v>41121</v>
      </c>
      <c r="N45" s="504">
        <f>IF(OR(D45="",D44=""),"",D45/D44-1)</f>
        <v/>
      </c>
      <c r="O45" s="504">
        <f>IF(OR(E45="",E44=""),"",E45/E44-1)</f>
        <v/>
      </c>
      <c r="P45" s="504">
        <f>IF(OR(F45="",F44=""),"",F45/F44-1)</f>
        <v/>
      </c>
      <c r="Q45" s="504">
        <f>IF(OR(G45="",G44=""),"",G45/G44-1)</f>
        <v/>
      </c>
      <c r="R45" s="504">
        <f>IF(OR(H45="",H44=""),"",H45/H44-1)</f>
        <v/>
      </c>
      <c r="S45" s="504">
        <f>IF(OR(I45="",I44=""),"",I45/I44-1)</f>
        <v/>
      </c>
      <c r="T45" s="504">
        <f>IF(OR(J45="",J44=""),"",J45/J44-1)</f>
        <v/>
      </c>
      <c r="U45" s="504">
        <f>IF(OR(K45="",K44=""),"",K45/K44-1)</f>
        <v/>
      </c>
    </row>
    <row r="46">
      <c r="C46" s="503" t="n">
        <v>41152</v>
      </c>
      <c r="D46" s="293" t="n">
        <v>50.35871887207031</v>
      </c>
      <c r="E46" s="293" t="n">
        <v>95.3773193359375</v>
      </c>
      <c r="F46" s="293" t="n">
        <v>74.30089569091797</v>
      </c>
      <c r="G46" s="293" t="n">
        <v>110.721076965332</v>
      </c>
      <c r="H46" s="293" t="n">
        <v>73.16400146484375</v>
      </c>
      <c r="I46" s="293" t="n"/>
      <c r="J46" s="293" t="n">
        <v>20.33805847167969</v>
      </c>
      <c r="K46" s="293">
        <f>'07_Backtest_CMD'!AL59</f>
        <v/>
      </c>
      <c r="M46" s="503" t="n">
        <v>41152</v>
      </c>
      <c r="N46" s="504">
        <f>IF(OR(D46="",D45=""),"",D46/D45-1)</f>
        <v/>
      </c>
      <c r="O46" s="504">
        <f>IF(OR(E46="",E45=""),"",E46/E45-1)</f>
        <v/>
      </c>
      <c r="P46" s="504">
        <f>IF(OR(F46="",F45=""),"",F46/F45-1)</f>
        <v/>
      </c>
      <c r="Q46" s="504">
        <f>IF(OR(G46="",G45=""),"",G46/G45-1)</f>
        <v/>
      </c>
      <c r="R46" s="504">
        <f>IF(OR(H46="",H45=""),"",H46/H45-1)</f>
        <v/>
      </c>
      <c r="S46" s="504">
        <f>IF(OR(I46="",I45=""),"",I46/I45-1)</f>
        <v/>
      </c>
      <c r="T46" s="504">
        <f>IF(OR(J46="",J45=""),"",J46/J45-1)</f>
        <v/>
      </c>
      <c r="U46" s="504">
        <f>IF(OR(K46="",K45=""),"",K46/K45-1)</f>
        <v/>
      </c>
    </row>
    <row r="47">
      <c r="C47" s="503" t="n">
        <v>41182</v>
      </c>
      <c r="D47" s="293" t="n">
        <v>50.35454177856445</v>
      </c>
      <c r="E47" s="293" t="n">
        <v>94.42166137695312</v>
      </c>
      <c r="F47" s="293" t="n">
        <v>71.30693054199219</v>
      </c>
      <c r="G47" s="293" t="n">
        <v>113.5279388427734</v>
      </c>
      <c r="H47" s="293" t="n">
        <v>73.16400146484375</v>
      </c>
      <c r="I47" s="293" t="n"/>
      <c r="J47" s="293" t="n">
        <v>20.6830997467041</v>
      </c>
      <c r="K47" s="293">
        <f>'07_Backtest_CMD'!AL60</f>
        <v/>
      </c>
      <c r="M47" s="503" t="n">
        <v>41182</v>
      </c>
      <c r="N47" s="504">
        <f>IF(OR(D47="",D46=""),"",D47/D46-1)</f>
        <v/>
      </c>
      <c r="O47" s="504">
        <f>IF(OR(E47="",E46=""),"",E47/E46-1)</f>
        <v/>
      </c>
      <c r="P47" s="504">
        <f>IF(OR(F47="",F46=""),"",F47/F46-1)</f>
        <v/>
      </c>
      <c r="Q47" s="504">
        <f>IF(OR(G47="",G46=""),"",G47/G46-1)</f>
        <v/>
      </c>
      <c r="R47" s="504">
        <f>IF(OR(H47="",H46=""),"",H47/H46-1)</f>
        <v/>
      </c>
      <c r="S47" s="504">
        <f>IF(OR(I47="",I46=""),"",I47/I46-1)</f>
        <v/>
      </c>
      <c r="T47" s="504">
        <f>IF(OR(J47="",J46=""),"",J47/J46-1)</f>
        <v/>
      </c>
      <c r="U47" s="504">
        <f>IF(OR(K47="",K46=""),"",K47/K46-1)</f>
        <v/>
      </c>
    </row>
    <row r="48">
      <c r="C48" s="503" t="n">
        <v>41213</v>
      </c>
      <c r="D48" s="293" t="n">
        <v>51.01546859741211</v>
      </c>
      <c r="E48" s="293" t="n">
        <v>94.11736297607422</v>
      </c>
      <c r="F48" s="293" t="n">
        <v>71.02739715576172</v>
      </c>
      <c r="G48" s="293" t="n">
        <v>111.4619750976562</v>
      </c>
      <c r="H48" s="293" t="n">
        <v>73.18000030517578</v>
      </c>
      <c r="I48" s="293" t="n"/>
      <c r="J48" s="293" t="n">
        <v>20.68474769592285</v>
      </c>
      <c r="K48" s="293">
        <f>'07_Backtest_CMD'!AL61</f>
        <v/>
      </c>
      <c r="M48" s="503" t="n">
        <v>41213</v>
      </c>
      <c r="N48" s="504">
        <f>IF(OR(D48="",D47=""),"",D48/D47-1)</f>
        <v/>
      </c>
      <c r="O48" s="504">
        <f>IF(OR(E48="",E47=""),"",E48/E47-1)</f>
        <v/>
      </c>
      <c r="P48" s="504">
        <f>IF(OR(F48="",F47=""),"",F48/F47-1)</f>
        <v/>
      </c>
      <c r="Q48" s="504">
        <f>IF(OR(G48="",G47=""),"",G48/G47-1)</f>
        <v/>
      </c>
      <c r="R48" s="504">
        <f>IF(OR(H48="",H47=""),"",H48/H47-1)</f>
        <v/>
      </c>
      <c r="S48" s="504">
        <f>IF(OR(I48="",I47=""),"",I48/I47-1)</f>
        <v/>
      </c>
      <c r="T48" s="504">
        <f>IF(OR(J48="",J47=""),"",J48/J47-1)</f>
        <v/>
      </c>
      <c r="U48" s="504">
        <f>IF(OR(K48="",K47=""),"",K48/K47-1)</f>
        <v/>
      </c>
    </row>
    <row r="49">
      <c r="C49" s="503" t="n">
        <v>41243</v>
      </c>
      <c r="D49" s="293" t="n">
        <v>50.63764953613281</v>
      </c>
      <c r="E49" s="293" t="n">
        <v>95.21018981933594</v>
      </c>
      <c r="F49" s="293" t="n">
        <v>72.29384613037109</v>
      </c>
      <c r="G49" s="293" t="n">
        <v>112.0927886962891</v>
      </c>
      <c r="H49" s="293" t="n">
        <v>73.16400146484375</v>
      </c>
      <c r="I49" s="293" t="n"/>
      <c r="J49" s="293" t="n">
        <v>20.6440486907959</v>
      </c>
      <c r="K49" s="293">
        <f>'07_Backtest_CMD'!AL62</f>
        <v/>
      </c>
      <c r="M49" s="503" t="n">
        <v>41243</v>
      </c>
      <c r="N49" s="504">
        <f>IF(OR(D49="",D48=""),"",D49/D48-1)</f>
        <v/>
      </c>
      <c r="O49" s="504">
        <f>IF(OR(E49="",E48=""),"",E49/E48-1)</f>
        <v/>
      </c>
      <c r="P49" s="504">
        <f>IF(OR(F49="",F48=""),"",F49/F48-1)</f>
        <v/>
      </c>
      <c r="Q49" s="504">
        <f>IF(OR(G49="",G48=""),"",G49/G48-1)</f>
        <v/>
      </c>
      <c r="R49" s="504">
        <f>IF(OR(H49="",H48=""),"",H49/H48-1)</f>
        <v/>
      </c>
      <c r="S49" s="504">
        <f>IF(OR(I49="",I48=""),"",I49/I48-1)</f>
        <v/>
      </c>
      <c r="T49" s="504">
        <f>IF(OR(J49="",J48=""),"",J49/J48-1)</f>
        <v/>
      </c>
      <c r="U49" s="504">
        <f>IF(OR(K49="",K48=""),"",K49/K48-1)</f>
        <v/>
      </c>
    </row>
    <row r="50">
      <c r="C50" s="503" t="n">
        <v>41274</v>
      </c>
      <c r="D50" s="293" t="n">
        <v>50.33998489379883</v>
      </c>
      <c r="E50" s="293" t="n">
        <v>93.59357452392578</v>
      </c>
      <c r="F50" s="293" t="n">
        <v>69.69522857666016</v>
      </c>
      <c r="G50" s="293" t="n">
        <v>113.0942459106445</v>
      </c>
      <c r="H50" s="293" t="n">
        <v>73.16400146484375</v>
      </c>
      <c r="I50" s="293" t="n"/>
      <c r="J50" s="293" t="n">
        <v>20.50045204162598</v>
      </c>
      <c r="K50" s="293">
        <f>'07_Backtest_CMD'!AL63</f>
        <v/>
      </c>
      <c r="M50" s="503" t="n">
        <v>41274</v>
      </c>
      <c r="N50" s="504">
        <f>IF(OR(D50="",D49=""),"",D50/D49-1)</f>
        <v/>
      </c>
      <c r="O50" s="504">
        <f>IF(OR(E50="",E49=""),"",E50/E49-1)</f>
        <v/>
      </c>
      <c r="P50" s="504">
        <f>IF(OR(F50="",F49=""),"",F50/F49-1)</f>
        <v/>
      </c>
      <c r="Q50" s="504">
        <f>IF(OR(G50="",G49=""),"",G50/G49-1)</f>
        <v/>
      </c>
      <c r="R50" s="504">
        <f>IF(OR(H50="",H49=""),"",H50/H49-1)</f>
        <v/>
      </c>
      <c r="S50" s="504">
        <f>IF(OR(I50="",I49=""),"",I50/I49-1)</f>
        <v/>
      </c>
      <c r="T50" s="504">
        <f>IF(OR(J50="",J49=""),"",J50/J49-1)</f>
        <v/>
      </c>
      <c r="U50" s="504">
        <f>IF(OR(K50="",K49=""),"",K50/K49-1)</f>
        <v/>
      </c>
    </row>
    <row r="51">
      <c r="C51" s="503" t="n">
        <v>41305</v>
      </c>
      <c r="D51" s="293" t="n">
        <v>49.19650650024414</v>
      </c>
      <c r="E51" s="293" t="n">
        <v>91.72669982910156</v>
      </c>
      <c r="F51" s="293" t="n">
        <v>66.19243621826172</v>
      </c>
      <c r="G51" s="293" t="n">
        <v>118.8835983276367</v>
      </c>
      <c r="H51" s="293" t="n">
        <v>73.16400146484375</v>
      </c>
      <c r="I51" s="293" t="n"/>
      <c r="J51" s="293" t="n">
        <v>21.4961986541748</v>
      </c>
      <c r="K51" s="293">
        <f>'07_Backtest_CMD'!AL64</f>
        <v/>
      </c>
      <c r="M51" s="503" t="n">
        <v>41305</v>
      </c>
      <c r="N51" s="504">
        <f>IF(OR(D51="",D50=""),"",D51/D50-1)</f>
        <v/>
      </c>
      <c r="O51" s="504">
        <f>IF(OR(E51="",E50=""),"",E51/E50-1)</f>
        <v/>
      </c>
      <c r="P51" s="504">
        <f>IF(OR(F51="",F50=""),"",F51/F50-1)</f>
        <v/>
      </c>
      <c r="Q51" s="504">
        <f>IF(OR(G51="",G50=""),"",G51/G50-1)</f>
        <v/>
      </c>
      <c r="R51" s="504">
        <f>IF(OR(H51="",H50=""),"",H51/H50-1)</f>
        <v/>
      </c>
      <c r="S51" s="504">
        <f>IF(OR(I51="",I50=""),"",I51/I50-1)</f>
        <v/>
      </c>
      <c r="T51" s="504">
        <f>IF(OR(J51="",J50=""),"",J51/J50-1)</f>
        <v/>
      </c>
      <c r="U51" s="504">
        <f>IF(OR(K51="",K50=""),"",K51/K50-1)</f>
        <v/>
      </c>
    </row>
    <row r="52">
      <c r="C52" s="503" t="n">
        <v>41333</v>
      </c>
      <c r="D52" s="293" t="n">
        <v>50.04953002929688</v>
      </c>
      <c r="E52" s="293" t="n">
        <v>92.80844879150391</v>
      </c>
      <c r="F52" s="293" t="n">
        <v>67.21982574462891</v>
      </c>
      <c r="G52" s="293" t="n">
        <v>120.400390625</v>
      </c>
      <c r="H52" s="293" t="n">
        <v>73.16400146484375</v>
      </c>
      <c r="I52" s="293" t="n"/>
      <c r="J52" s="293" t="n">
        <v>22.10440826416016</v>
      </c>
      <c r="K52" s="293">
        <f>'07_Backtest_CMD'!AL65</f>
        <v/>
      </c>
      <c r="M52" s="503" t="n">
        <v>41333</v>
      </c>
      <c r="N52" s="504">
        <f>IF(OR(D52="",D51=""),"",D52/D51-1)</f>
        <v/>
      </c>
      <c r="O52" s="504">
        <f>IF(OR(E52="",E51=""),"",E52/E51-1)</f>
        <v/>
      </c>
      <c r="P52" s="504">
        <f>IF(OR(F52="",F51=""),"",F52/F51-1)</f>
        <v/>
      </c>
      <c r="Q52" s="504">
        <f>IF(OR(G52="",G51=""),"",G52/G51-1)</f>
        <v/>
      </c>
      <c r="R52" s="504">
        <f>IF(OR(H52="",H51=""),"",H52/H51-1)</f>
        <v/>
      </c>
      <c r="S52" s="504">
        <f>IF(OR(I52="",I51=""),"",I52/I51-1)</f>
        <v/>
      </c>
      <c r="T52" s="504">
        <f>IF(OR(J52="",J51=""),"",J52/J51-1)</f>
        <v/>
      </c>
      <c r="U52" s="504">
        <f>IF(OR(K52="",K51=""),"",K52/K51-1)</f>
        <v/>
      </c>
    </row>
    <row r="53">
      <c r="C53" s="503" t="n">
        <v>41364</v>
      </c>
      <c r="D53" s="293" t="n">
        <v>49.50142288208008</v>
      </c>
      <c r="E53" s="293" t="n">
        <v>93.15462493896484</v>
      </c>
      <c r="F53" s="293" t="n">
        <v>66.74858856201172</v>
      </c>
      <c r="G53" s="293" t="n">
        <v>124.9721450805664</v>
      </c>
      <c r="H53" s="293" t="n">
        <v>73.16400146484375</v>
      </c>
      <c r="I53" s="293" t="n"/>
      <c r="J53" s="293" t="n">
        <v>23.18560409545898</v>
      </c>
      <c r="K53" s="293">
        <f>'07_Backtest_CMD'!AL66</f>
        <v/>
      </c>
      <c r="M53" s="503" t="n">
        <v>41364</v>
      </c>
      <c r="N53" s="504">
        <f>IF(OR(D53="",D52=""),"",D53/D52-1)</f>
        <v/>
      </c>
      <c r="O53" s="504">
        <f>IF(OR(E53="",E52=""),"",E53/E52-1)</f>
        <v/>
      </c>
      <c r="P53" s="504">
        <f>IF(OR(F53="",F52=""),"",F53/F52-1)</f>
        <v/>
      </c>
      <c r="Q53" s="504">
        <f>IF(OR(G53="",G52=""),"",G53/G52-1)</f>
        <v/>
      </c>
      <c r="R53" s="504">
        <f>IF(OR(H53="",H52=""),"",H53/H52-1)</f>
        <v/>
      </c>
      <c r="S53" s="504">
        <f>IF(OR(I53="",I52=""),"",I53/I52-1)</f>
        <v/>
      </c>
      <c r="T53" s="504">
        <f>IF(OR(J53="",J52=""),"",J53/J52-1)</f>
        <v/>
      </c>
      <c r="U53" s="504">
        <f>IF(OR(K53="",K52=""),"",K53/K52-1)</f>
        <v/>
      </c>
    </row>
    <row r="54">
      <c r="C54" s="503" t="n">
        <v>41394</v>
      </c>
      <c r="D54" s="293" t="n">
        <v>51.7288818359375</v>
      </c>
      <c r="E54" s="293" t="n">
        <v>95.46214294433594</v>
      </c>
      <c r="F54" s="293" t="n">
        <v>71.63738250732422</v>
      </c>
      <c r="G54" s="293" t="n">
        <v>127.3731689453125</v>
      </c>
      <c r="H54" s="293" t="n">
        <v>73.14805603027344</v>
      </c>
      <c r="I54" s="293" t="n"/>
      <c r="J54" s="293" t="n">
        <v>24.05990409851074</v>
      </c>
      <c r="K54" s="293">
        <f>'07_Backtest_CMD'!AL67</f>
        <v/>
      </c>
      <c r="M54" s="503" t="n">
        <v>41394</v>
      </c>
      <c r="N54" s="504">
        <f>IF(OR(D54="",D53=""),"",D54/D53-1)</f>
        <v/>
      </c>
      <c r="O54" s="504">
        <f>IF(OR(E54="",E53=""),"",E54/E53-1)</f>
        <v/>
      </c>
      <c r="P54" s="504">
        <f>IF(OR(F54="",F53=""),"",F54/F53-1)</f>
        <v/>
      </c>
      <c r="Q54" s="504">
        <f>IF(OR(G54="",G53=""),"",G54/G53-1)</f>
        <v/>
      </c>
      <c r="R54" s="504">
        <f>IF(OR(H54="",H53=""),"",H54/H53-1)</f>
        <v/>
      </c>
      <c r="S54" s="504">
        <f>IF(OR(I54="",I53=""),"",I54/I53-1)</f>
        <v/>
      </c>
      <c r="T54" s="504">
        <f>IF(OR(J54="",J53=""),"",J54/J53-1)</f>
        <v/>
      </c>
      <c r="U54" s="504">
        <f>IF(OR(K54="",K53=""),"",K54/K53-1)</f>
        <v/>
      </c>
    </row>
    <row r="55">
      <c r="C55" s="503" t="n">
        <v>41425</v>
      </c>
      <c r="D55" s="293" t="n">
        <v>48.72599029541016</v>
      </c>
      <c r="E55" s="293" t="n">
        <v>91.31833648681641</v>
      </c>
      <c r="F55" s="293" t="n">
        <v>64.63697052001953</v>
      </c>
      <c r="G55" s="293" t="n">
        <v>130.3803558349609</v>
      </c>
      <c r="H55" s="293" t="n">
        <v>73.16400146484375</v>
      </c>
      <c r="I55" s="293" t="n"/>
      <c r="J55" s="293" t="n">
        <v>23.19124603271484</v>
      </c>
      <c r="K55" s="293">
        <f>'07_Backtest_CMD'!AL68</f>
        <v/>
      </c>
      <c r="M55" s="503" t="n">
        <v>41425</v>
      </c>
      <c r="N55" s="504">
        <f>IF(OR(D55="",D54=""),"",D55/D54-1)</f>
        <v/>
      </c>
      <c r="O55" s="504">
        <f>IF(OR(E55="",E54=""),"",E55/E54-1)</f>
        <v/>
      </c>
      <c r="P55" s="504">
        <f>IF(OR(F55="",F54=""),"",F55/F54-1)</f>
        <v/>
      </c>
      <c r="Q55" s="504">
        <f>IF(OR(G55="",G54=""),"",G55/G54-1)</f>
        <v/>
      </c>
      <c r="R55" s="504">
        <f>IF(OR(H55="",H54=""),"",H55/H54-1)</f>
        <v/>
      </c>
      <c r="S55" s="504">
        <f>IF(OR(I55="",I54=""),"",I55/I54-1)</f>
        <v/>
      </c>
      <c r="T55" s="504">
        <f>IF(OR(J55="",J54=""),"",J55/J54-1)</f>
        <v/>
      </c>
      <c r="U55" s="504">
        <f>IF(OR(K55="",K54=""),"",K55/K54-1)</f>
        <v/>
      </c>
    </row>
    <row r="56">
      <c r="C56" s="503" t="n">
        <v>41455</v>
      </c>
      <c r="D56" s="293" t="n">
        <v>46.57157516479492</v>
      </c>
      <c r="E56" s="293" t="n">
        <v>88.608642578125</v>
      </c>
      <c r="F56" s="293" t="n">
        <v>61.6862907409668</v>
      </c>
      <c r="G56" s="293" t="n">
        <v>128.6405029296875</v>
      </c>
      <c r="H56" s="293" t="n">
        <v>73.14805603027344</v>
      </c>
      <c r="I56" s="293" t="n"/>
      <c r="J56" s="293" t="n">
        <v>23.37310791015625</v>
      </c>
      <c r="K56" s="293">
        <f>'07_Backtest_CMD'!AL69</f>
        <v/>
      </c>
      <c r="M56" s="503" t="n">
        <v>41455</v>
      </c>
      <c r="N56" s="504">
        <f>IF(OR(D56="",D55=""),"",D56/D55-1)</f>
        <v/>
      </c>
      <c r="O56" s="504">
        <f>IF(OR(E56="",E55=""),"",E56/E55-1)</f>
        <v/>
      </c>
      <c r="P56" s="504">
        <f>IF(OR(F56="",F55=""),"",F56/F55-1)</f>
        <v/>
      </c>
      <c r="Q56" s="504">
        <f>IF(OR(G56="",G55=""),"",G56/G55-1)</f>
        <v/>
      </c>
      <c r="R56" s="504">
        <f>IF(OR(H56="",H55=""),"",H56/H55-1)</f>
        <v/>
      </c>
      <c r="S56" s="504">
        <f>IF(OR(I56="",I55=""),"",I56/I55-1)</f>
        <v/>
      </c>
      <c r="T56" s="504">
        <f>IF(OR(J56="",J55=""),"",J56/J55-1)</f>
        <v/>
      </c>
      <c r="U56" s="504">
        <f>IF(OR(K56="",K55=""),"",K56/K55-1)</f>
        <v/>
      </c>
    </row>
    <row r="57">
      <c r="C57" s="503" t="n">
        <v>41486</v>
      </c>
      <c r="D57" s="293" t="n">
        <v>47.02959823608398</v>
      </c>
      <c r="E57" s="293" t="n">
        <v>87.78224182128906</v>
      </c>
      <c r="F57" s="293" t="n">
        <v>59.45811462402344</v>
      </c>
      <c r="G57" s="293" t="n">
        <v>135.2882385253906</v>
      </c>
      <c r="H57" s="293" t="n">
        <v>73.14805603027344</v>
      </c>
      <c r="I57" s="293" t="n"/>
      <c r="J57" s="293" t="n">
        <v>24.35214424133301</v>
      </c>
      <c r="K57" s="293">
        <f>'07_Backtest_CMD'!AL70</f>
        <v/>
      </c>
      <c r="M57" s="503" t="n">
        <v>41486</v>
      </c>
      <c r="N57" s="504">
        <f>IF(OR(D57="",D56=""),"",D57/D56-1)</f>
        <v/>
      </c>
      <c r="O57" s="504">
        <f>IF(OR(E57="",E56=""),"",E57/E56-1)</f>
        <v/>
      </c>
      <c r="P57" s="504">
        <f>IF(OR(F57="",F56=""),"",F57/F56-1)</f>
        <v/>
      </c>
      <c r="Q57" s="504">
        <f>IF(OR(G57="",G56=""),"",G57/G56-1)</f>
        <v/>
      </c>
      <c r="R57" s="504">
        <f>IF(OR(H57="",H56=""),"",H57/H56-1)</f>
        <v/>
      </c>
      <c r="S57" s="504">
        <f>IF(OR(I57="",I56=""),"",I57/I56-1)</f>
        <v/>
      </c>
      <c r="T57" s="504">
        <f>IF(OR(J57="",J56=""),"",J57/J56-1)</f>
        <v/>
      </c>
      <c r="U57" s="504">
        <f>IF(OR(K57="",K56=""),"",K57/K56-1)</f>
        <v/>
      </c>
    </row>
    <row r="58">
      <c r="C58" s="503" t="n">
        <v>41517</v>
      </c>
      <c r="D58" s="293" t="n">
        <v>46.3426628112793</v>
      </c>
      <c r="E58" s="293" t="n">
        <v>86.93096923828125</v>
      </c>
      <c r="F58" s="293" t="n">
        <v>58.78049468994141</v>
      </c>
      <c r="G58" s="293" t="n">
        <v>131.2306213378906</v>
      </c>
      <c r="H58" s="293" t="n">
        <v>73.14805603027344</v>
      </c>
      <c r="I58" s="293" t="n"/>
      <c r="J58" s="293" t="n">
        <v>23.12450981140137</v>
      </c>
      <c r="K58" s="293">
        <f>'07_Backtest_CMD'!AL71</f>
        <v/>
      </c>
      <c r="M58" s="503" t="n">
        <v>41517</v>
      </c>
      <c r="N58" s="504">
        <f>IF(OR(D58="",D57=""),"",D58/D57-1)</f>
        <v/>
      </c>
      <c r="O58" s="504">
        <f>IF(OR(E58="",E57=""),"",E58/E57-1)</f>
        <v/>
      </c>
      <c r="P58" s="504">
        <f>IF(OR(F58="",F57=""),"",F58/F57-1)</f>
        <v/>
      </c>
      <c r="Q58" s="504">
        <f>IF(OR(G58="",G57=""),"",G58/G57-1)</f>
        <v/>
      </c>
      <c r="R58" s="504">
        <f>IF(OR(H58="",H57=""),"",H58/H57-1)</f>
        <v/>
      </c>
      <c r="S58" s="504">
        <f>IF(OR(I58="",I57=""),"",I58/I57-1)</f>
        <v/>
      </c>
      <c r="T58" s="504">
        <f>IF(OR(J58="",J57=""),"",J58/J57-1)</f>
        <v/>
      </c>
      <c r="U58" s="504">
        <f>IF(OR(K58="",K57=""),"",K58/K57-1)</f>
        <v/>
      </c>
    </row>
    <row r="59">
      <c r="C59" s="503" t="n">
        <v>41547</v>
      </c>
      <c r="D59" s="293" t="n">
        <v>46.60771560668945</v>
      </c>
      <c r="E59" s="293" t="n">
        <v>88.17767333984375</v>
      </c>
      <c r="F59" s="293" t="n">
        <v>58.5400276184082</v>
      </c>
      <c r="G59" s="293" t="n">
        <v>135.3836975097656</v>
      </c>
      <c r="H59" s="293" t="n">
        <v>73.13211059570312</v>
      </c>
      <c r="I59" s="293" t="n"/>
      <c r="J59" s="293" t="n">
        <v>23.59634017944336</v>
      </c>
      <c r="K59" s="293">
        <f>'07_Backtest_CMD'!AL72</f>
        <v/>
      </c>
      <c r="M59" s="503" t="n">
        <v>41547</v>
      </c>
      <c r="N59" s="504">
        <f>IF(OR(D59="",D58=""),"",D59/D58-1)</f>
        <v/>
      </c>
      <c r="O59" s="504">
        <f>IF(OR(E59="",E58=""),"",E59/E58-1)</f>
        <v/>
      </c>
      <c r="P59" s="504">
        <f>IF(OR(F59="",F58=""),"",F59/F58-1)</f>
        <v/>
      </c>
      <c r="Q59" s="504">
        <f>IF(OR(G59="",G58=""),"",G59/G58-1)</f>
        <v/>
      </c>
      <c r="R59" s="504">
        <f>IF(OR(H59="",H58=""),"",H59/H58-1)</f>
        <v/>
      </c>
      <c r="S59" s="504">
        <f>IF(OR(I59="",I58=""),"",I59/I58-1)</f>
        <v/>
      </c>
      <c r="T59" s="504">
        <f>IF(OR(J59="",J58=""),"",J59/J58-1)</f>
        <v/>
      </c>
      <c r="U59" s="504">
        <f>IF(OR(K59="",K58=""),"",K59/K58-1)</f>
        <v/>
      </c>
    </row>
    <row r="60">
      <c r="C60" s="503" t="n">
        <v>41578</v>
      </c>
      <c r="D60" s="293" t="n">
        <v>47.77400207519531</v>
      </c>
      <c r="E60" s="293" t="n">
        <v>89.07105255126953</v>
      </c>
      <c r="F60" s="293" t="n">
        <v>59.64569854736328</v>
      </c>
      <c r="G60" s="293" t="n">
        <v>141.6528625488281</v>
      </c>
      <c r="H60" s="293" t="n">
        <v>73.11611938476562</v>
      </c>
      <c r="I60" s="293" t="n"/>
      <c r="J60" s="293" t="n">
        <v>24.69169616699219</v>
      </c>
      <c r="K60" s="293">
        <f>'07_Backtest_CMD'!AL73</f>
        <v/>
      </c>
      <c r="M60" s="503" t="n">
        <v>41578</v>
      </c>
      <c r="N60" s="504">
        <f>IF(OR(D60="",D59=""),"",D60/D59-1)</f>
        <v/>
      </c>
      <c r="O60" s="504">
        <f>IF(OR(E60="",E59=""),"",E60/E59-1)</f>
        <v/>
      </c>
      <c r="P60" s="504">
        <f>IF(OR(F60="",F59=""),"",F60/F59-1)</f>
        <v/>
      </c>
      <c r="Q60" s="504">
        <f>IF(OR(G60="",G59=""),"",G60/G59-1)</f>
        <v/>
      </c>
      <c r="R60" s="504">
        <f>IF(OR(H60="",H59=""),"",H60/H59-1)</f>
        <v/>
      </c>
      <c r="S60" s="504">
        <f>IF(OR(I60="",I59=""),"",I60/I59-1)</f>
        <v/>
      </c>
      <c r="T60" s="504">
        <f>IF(OR(J60="",J59=""),"",J60/J59-1)</f>
        <v/>
      </c>
      <c r="U60" s="504">
        <f>IF(OR(K60="",K59=""),"",K60/K59-1)</f>
        <v/>
      </c>
    </row>
    <row r="61">
      <c r="C61" s="503" t="n">
        <v>41608</v>
      </c>
      <c r="D61" s="293" t="n">
        <v>47.33028793334961</v>
      </c>
      <c r="E61" s="293" t="n">
        <v>87.45755767822266</v>
      </c>
      <c r="F61" s="293" t="n">
        <v>57.04118347167969</v>
      </c>
      <c r="G61" s="293" t="n">
        <v>145.8511047363281</v>
      </c>
      <c r="H61" s="293" t="n">
        <v>73.10013580322266</v>
      </c>
      <c r="I61" s="293" t="n"/>
      <c r="J61" s="293" t="n">
        <v>24.96507453918457</v>
      </c>
      <c r="K61" s="293">
        <f>'07_Backtest_CMD'!AL74</f>
        <v/>
      </c>
      <c r="M61" s="503" t="n">
        <v>41608</v>
      </c>
      <c r="N61" s="504">
        <f>IF(OR(D61="",D60=""),"",D61/D60-1)</f>
        <v/>
      </c>
      <c r="O61" s="504">
        <f>IF(OR(E61="",E60=""),"",E61/E60-1)</f>
        <v/>
      </c>
      <c r="P61" s="504">
        <f>IF(OR(F61="",F60=""),"",F61/F60-1)</f>
        <v/>
      </c>
      <c r="Q61" s="504">
        <f>IF(OR(G61="",G60=""),"",G61/G60-1)</f>
        <v/>
      </c>
      <c r="R61" s="504">
        <f>IF(OR(H61="",H60=""),"",H61/H60-1)</f>
        <v/>
      </c>
      <c r="S61" s="504">
        <f>IF(OR(I61="",I60=""),"",I61/I60-1)</f>
        <v/>
      </c>
      <c r="T61" s="504">
        <f>IF(OR(J61="",J60=""),"",J61/J60-1)</f>
        <v/>
      </c>
      <c r="U61" s="504">
        <f>IF(OR(K61="",K60=""),"",K61/K60-1)</f>
        <v/>
      </c>
    </row>
    <row r="62">
      <c r="C62" s="503" t="n">
        <v>41639</v>
      </c>
      <c r="D62" s="293" t="n">
        <v>47.73094940185547</v>
      </c>
      <c r="E62" s="293" t="n">
        <v>85.85250091552734</v>
      </c>
      <c r="F62" s="293" t="n">
        <v>55.89500045776367</v>
      </c>
      <c r="G62" s="293" t="n">
        <v>149.6324920654297</v>
      </c>
      <c r="H62" s="293" t="n">
        <v>73.10013580322266</v>
      </c>
      <c r="I62" s="293" t="n"/>
      <c r="J62" s="293" t="n">
        <v>25.24629020690918</v>
      </c>
      <c r="K62" s="293">
        <f>'07_Backtest_CMD'!AL75</f>
        <v/>
      </c>
      <c r="M62" s="503" t="n">
        <v>41639</v>
      </c>
      <c r="N62" s="504">
        <f>IF(OR(D62="",D61=""),"",D62/D61-1)</f>
        <v/>
      </c>
      <c r="O62" s="504">
        <f>IF(OR(E62="",E61=""),"",E62/E61-1)</f>
        <v/>
      </c>
      <c r="P62" s="504">
        <f>IF(OR(F62="",F61=""),"",F62/F61-1)</f>
        <v/>
      </c>
      <c r="Q62" s="504">
        <f>IF(OR(G62="",G61=""),"",G62/G61-1)</f>
        <v/>
      </c>
      <c r="R62" s="504">
        <f>IF(OR(H62="",H61=""),"",H62/H61-1)</f>
        <v/>
      </c>
      <c r="S62" s="504">
        <f>IF(OR(I62="",I61=""),"",I62/I61-1)</f>
        <v/>
      </c>
      <c r="T62" s="504">
        <f>IF(OR(J62="",J61=""),"",J62/J61-1)</f>
        <v/>
      </c>
      <c r="U62" s="504">
        <f>IF(OR(K62="",K61=""),"",K62/K61-1)</f>
        <v/>
      </c>
    </row>
    <row r="63">
      <c r="C63" s="503" t="n">
        <v>41670</v>
      </c>
      <c r="D63" s="293" t="n">
        <v>49.4736328125</v>
      </c>
      <c r="E63" s="293" t="n">
        <v>89.35986328125</v>
      </c>
      <c r="F63" s="293" t="n">
        <v>61.32269668579102</v>
      </c>
      <c r="G63" s="293" t="n">
        <v>144.3582153320312</v>
      </c>
      <c r="H63" s="293" t="n">
        <v>73.10013580322266</v>
      </c>
      <c r="I63" s="293" t="n"/>
      <c r="J63" s="293" t="n">
        <v>24.59670829772949</v>
      </c>
      <c r="K63" s="293">
        <f>'07_Backtest_CMD'!AL76</f>
        <v/>
      </c>
      <c r="M63" s="503" t="n">
        <v>41670</v>
      </c>
      <c r="N63" s="504">
        <f>IF(OR(D63="",D62=""),"",D63/D62-1)</f>
        <v/>
      </c>
      <c r="O63" s="504">
        <f>IF(OR(E63="",E62=""),"",E63/E62-1)</f>
        <v/>
      </c>
      <c r="P63" s="504">
        <f>IF(OR(F63="",F62=""),"",F63/F62-1)</f>
        <v/>
      </c>
      <c r="Q63" s="504">
        <f>IF(OR(G63="",G62=""),"",G63/G62-1)</f>
        <v/>
      </c>
      <c r="R63" s="504">
        <f>IF(OR(H63="",H62=""),"",H63/H62-1)</f>
        <v/>
      </c>
      <c r="S63" s="504">
        <f>IF(OR(I63="",I62=""),"",I63/I62-1)</f>
        <v/>
      </c>
      <c r="T63" s="504">
        <f>IF(OR(J63="",J62=""),"",J63/J62-1)</f>
        <v/>
      </c>
      <c r="U63" s="504">
        <f>IF(OR(K63="",K62=""),"",K63/K62-1)</f>
        <v/>
      </c>
    </row>
    <row r="64">
      <c r="C64" s="503" t="n">
        <v>41698</v>
      </c>
      <c r="D64" s="293" t="n">
        <v>50.15674209594727</v>
      </c>
      <c r="E64" s="293" t="n">
        <v>89.83647155761719</v>
      </c>
      <c r="F64" s="293" t="n">
        <v>61.5367431640625</v>
      </c>
      <c r="G64" s="293" t="n">
        <v>150.9287567138672</v>
      </c>
      <c r="H64" s="293" t="n">
        <v>73.11611938476562</v>
      </c>
      <c r="I64" s="293" t="n"/>
      <c r="J64" s="293" t="n">
        <v>25.53000259399414</v>
      </c>
      <c r="K64" s="293">
        <f>'07_Backtest_CMD'!AL77</f>
        <v/>
      </c>
      <c r="M64" s="503" t="n">
        <v>41698</v>
      </c>
      <c r="N64" s="504">
        <f>IF(OR(D64="",D63=""),"",D64/D63-1)</f>
        <v/>
      </c>
      <c r="O64" s="504">
        <f>IF(OR(E64="",E63=""),"",E64/E63-1)</f>
        <v/>
      </c>
      <c r="P64" s="504">
        <f>IF(OR(F64="",F63=""),"",F64/F63-1)</f>
        <v/>
      </c>
      <c r="Q64" s="504">
        <f>IF(OR(G64="",G63=""),"",G64/G63-1)</f>
        <v/>
      </c>
      <c r="R64" s="504">
        <f>IF(OR(H64="",H63=""),"",H64/H63-1)</f>
        <v/>
      </c>
      <c r="S64" s="504">
        <f>IF(OR(I64="",I63=""),"",I64/I63-1)</f>
        <v/>
      </c>
      <c r="T64" s="504">
        <f>IF(OR(J64="",J63=""),"",J64/J63-1)</f>
        <v/>
      </c>
      <c r="U64" s="504">
        <f>IF(OR(K64="",K63=""),"",K64/K63-1)</f>
        <v/>
      </c>
    </row>
    <row r="65">
      <c r="C65" s="503" t="n">
        <v>41729</v>
      </c>
      <c r="D65" s="293" t="n">
        <v>50.57753753662109</v>
      </c>
      <c r="E65" s="293" t="n">
        <v>89.86997222900391</v>
      </c>
      <c r="F65" s="293" t="n">
        <v>62.72065353393555</v>
      </c>
      <c r="G65" s="293" t="n">
        <v>152.1808013916016</v>
      </c>
      <c r="H65" s="293" t="n">
        <v>73.10013580322266</v>
      </c>
      <c r="I65" s="293" t="n"/>
      <c r="J65" s="293" t="n">
        <v>26.073974609375</v>
      </c>
      <c r="K65" s="293">
        <f>'07_Backtest_CMD'!AL78</f>
        <v/>
      </c>
      <c r="M65" s="503" t="n">
        <v>41729</v>
      </c>
      <c r="N65" s="504">
        <f>IF(OR(D65="",D64=""),"",D65/D64-1)</f>
        <v/>
      </c>
      <c r="O65" s="504">
        <f>IF(OR(E65="",E64=""),"",E65/E64-1)</f>
        <v/>
      </c>
      <c r="P65" s="504">
        <f>IF(OR(F65="",F64=""),"",F65/F64-1)</f>
        <v/>
      </c>
      <c r="Q65" s="504">
        <f>IF(OR(G65="",G64=""),"",G65/G64-1)</f>
        <v/>
      </c>
      <c r="R65" s="504">
        <f>IF(OR(H65="",H64=""),"",H65/H64-1)</f>
        <v/>
      </c>
      <c r="S65" s="504">
        <f>IF(OR(I65="",I64=""),"",I65/I64-1)</f>
        <v/>
      </c>
      <c r="T65" s="504">
        <f>IF(OR(J65="",J64=""),"",J65/J64-1)</f>
        <v/>
      </c>
      <c r="U65" s="504">
        <f>IF(OR(K65="",K64=""),"",K65/K64-1)</f>
        <v/>
      </c>
    </row>
    <row r="66">
      <c r="C66" s="503" t="n">
        <v>41759</v>
      </c>
      <c r="D66" s="293" t="n">
        <v>51.88618469238281</v>
      </c>
      <c r="E66" s="293" t="n">
        <v>90.88656616210938</v>
      </c>
      <c r="F66" s="293" t="n">
        <v>64.56742858886719</v>
      </c>
      <c r="G66" s="293" t="n">
        <v>153.2387390136719</v>
      </c>
      <c r="H66" s="293" t="n">
        <v>73.10013580322266</v>
      </c>
      <c r="I66" s="293" t="n"/>
      <c r="J66" s="293" t="n">
        <v>26.55740928649902</v>
      </c>
      <c r="K66" s="293">
        <f>'07_Backtest_CMD'!AL79</f>
        <v/>
      </c>
      <c r="M66" s="503" t="n">
        <v>41759</v>
      </c>
      <c r="N66" s="504">
        <f>IF(OR(D66="",D65=""),"",D66/D65-1)</f>
        <v/>
      </c>
      <c r="O66" s="504">
        <f>IF(OR(E66="",E65=""),"",E66/E65-1)</f>
        <v/>
      </c>
      <c r="P66" s="504">
        <f>IF(OR(F66="",F65=""),"",F66/F65-1)</f>
        <v/>
      </c>
      <c r="Q66" s="504">
        <f>IF(OR(G66="",G65=""),"",G66/G65-1)</f>
        <v/>
      </c>
      <c r="R66" s="504">
        <f>IF(OR(H66="",H65=""),"",H66/H65-1)</f>
        <v/>
      </c>
      <c r="S66" s="504">
        <f>IF(OR(I66="",I65=""),"",I66/I65-1)</f>
        <v/>
      </c>
      <c r="T66" s="504">
        <f>IF(OR(J66="",J65=""),"",J66/J65-1)</f>
        <v/>
      </c>
      <c r="U66" s="504">
        <f>IF(OR(K66="",K65=""),"",K66/K65-1)</f>
        <v/>
      </c>
    </row>
    <row r="67">
      <c r="C67" s="503" t="n">
        <v>41790</v>
      </c>
      <c r="D67" s="293" t="n">
        <v>52.85210037231445</v>
      </c>
      <c r="E67" s="293" t="n">
        <v>92.86410522460938</v>
      </c>
      <c r="F67" s="293" t="n">
        <v>67.21382904052734</v>
      </c>
      <c r="G67" s="293" t="n">
        <v>156.7948303222656</v>
      </c>
      <c r="H67" s="293" t="n">
        <v>73.10013580322266</v>
      </c>
      <c r="I67" s="293" t="n"/>
      <c r="J67" s="293" t="n">
        <v>26.84210586547852</v>
      </c>
      <c r="K67" s="293">
        <f>'07_Backtest_CMD'!AL80</f>
        <v/>
      </c>
      <c r="M67" s="503" t="n">
        <v>41790</v>
      </c>
      <c r="N67" s="504">
        <f>IF(OR(D67="",D66=""),"",D67/D66-1)</f>
        <v/>
      </c>
      <c r="O67" s="504">
        <f>IF(OR(E67="",E66=""),"",E67/E66-1)</f>
        <v/>
      </c>
      <c r="P67" s="504">
        <f>IF(OR(F67="",F66=""),"",F67/F66-1)</f>
        <v/>
      </c>
      <c r="Q67" s="504">
        <f>IF(OR(G67="",G66=""),"",G67/G66-1)</f>
        <v/>
      </c>
      <c r="R67" s="504">
        <f>IF(OR(H67="",H66=""),"",H67/H66-1)</f>
        <v/>
      </c>
      <c r="S67" s="504">
        <f>IF(OR(I67="",I66=""),"",I67/I66-1)</f>
        <v/>
      </c>
      <c r="T67" s="504">
        <f>IF(OR(J67="",J66=""),"",J67/J66-1)</f>
        <v/>
      </c>
      <c r="U67" s="504">
        <f>IF(OR(K67="",K66=""),"",K67/K66-1)</f>
        <v/>
      </c>
    </row>
    <row r="68">
      <c r="C68" s="503" t="n">
        <v>41820</v>
      </c>
      <c r="D68" s="293" t="n">
        <v>52.89140701293945</v>
      </c>
      <c r="E68" s="293" t="n">
        <v>92.59903717041016</v>
      </c>
      <c r="F68" s="293" t="n">
        <v>67.04145812988281</v>
      </c>
      <c r="G68" s="293" t="n">
        <v>160.0317840576172</v>
      </c>
      <c r="H68" s="293" t="n">
        <v>73.08419036865234</v>
      </c>
      <c r="I68" s="293" t="n"/>
      <c r="J68" s="293" t="n">
        <v>27.43503189086914</v>
      </c>
      <c r="K68" s="293">
        <f>'07_Backtest_CMD'!AL81</f>
        <v/>
      </c>
      <c r="M68" s="503" t="n">
        <v>41820</v>
      </c>
      <c r="N68" s="504">
        <f>IF(OR(D68="",D67=""),"",D68/D67-1)</f>
        <v/>
      </c>
      <c r="O68" s="504">
        <f>IF(OR(E68="",E67=""),"",E68/E67-1)</f>
        <v/>
      </c>
      <c r="P68" s="504">
        <f>IF(OR(F68="",F67=""),"",F68/F67-1)</f>
        <v/>
      </c>
      <c r="Q68" s="504">
        <f>IF(OR(G68="",G67=""),"",G68/G67-1)</f>
        <v/>
      </c>
      <c r="R68" s="504">
        <f>IF(OR(H68="",H67=""),"",H68/H67-1)</f>
        <v/>
      </c>
      <c r="S68" s="504">
        <f>IF(OR(I68="",I67=""),"",I68/I67-1)</f>
        <v/>
      </c>
      <c r="T68" s="504">
        <f>IF(OR(J68="",J67=""),"",J68/J67-1)</f>
        <v/>
      </c>
      <c r="U68" s="504">
        <f>IF(OR(K68="",K67=""),"",K68/K67-1)</f>
        <v/>
      </c>
    </row>
    <row r="69">
      <c r="C69" s="503" t="n">
        <v>41851</v>
      </c>
      <c r="D69" s="293" t="n">
        <v>52.94195938110352</v>
      </c>
      <c r="E69" s="293" t="n">
        <v>92.65789031982422</v>
      </c>
      <c r="F69" s="293" t="n">
        <v>68.03359222412109</v>
      </c>
      <c r="G69" s="293" t="n">
        <v>157.8814239501953</v>
      </c>
      <c r="H69" s="293" t="n">
        <v>73.06819915771484</v>
      </c>
      <c r="I69" s="293" t="n"/>
      <c r="J69" s="293" t="n">
        <v>26.33778953552246</v>
      </c>
      <c r="K69" s="293">
        <f>'07_Backtest_CMD'!AL82</f>
        <v/>
      </c>
      <c r="M69" s="503" t="n">
        <v>41851</v>
      </c>
      <c r="N69" s="504">
        <f>IF(OR(D69="",D68=""),"",D69/D68-1)</f>
        <v/>
      </c>
      <c r="O69" s="504">
        <f>IF(OR(E69="",E68=""),"",E69/E68-1)</f>
        <v/>
      </c>
      <c r="P69" s="504">
        <f>IF(OR(F69="",F68=""),"",F69/F68-1)</f>
        <v/>
      </c>
      <c r="Q69" s="504">
        <f>IF(OR(G69="",G68=""),"",G69/G68-1)</f>
        <v/>
      </c>
      <c r="R69" s="504">
        <f>IF(OR(H69="",H68=""),"",H69/H68-1)</f>
        <v/>
      </c>
      <c r="S69" s="504">
        <f>IF(OR(I69="",I68=""),"",I69/I68-1)</f>
        <v/>
      </c>
      <c r="T69" s="504">
        <f>IF(OR(J69="",J68=""),"",J69/J68-1)</f>
        <v/>
      </c>
      <c r="U69" s="504">
        <f>IF(OR(K69="",K68=""),"",K69/K68-1)</f>
        <v/>
      </c>
    </row>
    <row r="70">
      <c r="C70" s="503" t="n">
        <v>41882</v>
      </c>
      <c r="D70" s="293" t="n">
        <v>54.66593551635742</v>
      </c>
      <c r="E70" s="293" t="n">
        <v>95.12891387939453</v>
      </c>
      <c r="F70" s="293" t="n">
        <v>72.77652740478516</v>
      </c>
      <c r="G70" s="293" t="n">
        <v>164.1119384765625</v>
      </c>
      <c r="H70" s="293" t="n">
        <v>73.08419036865234</v>
      </c>
      <c r="I70" s="293" t="n"/>
      <c r="J70" s="293" t="n">
        <v>27.35147476196289</v>
      </c>
      <c r="K70" s="293">
        <f>'07_Backtest_CMD'!AL83</f>
        <v/>
      </c>
      <c r="M70" s="503" t="n">
        <v>41882</v>
      </c>
      <c r="N70" s="504">
        <f>IF(OR(D70="",D69=""),"",D70/D69-1)</f>
        <v/>
      </c>
      <c r="O70" s="504">
        <f>IF(OR(E70="",E69=""),"",E70/E69-1)</f>
        <v/>
      </c>
      <c r="P70" s="504">
        <f>IF(OR(F70="",F69=""),"",F70/F69-1)</f>
        <v/>
      </c>
      <c r="Q70" s="504">
        <f>IF(OR(G70="",G69=""),"",G70/G69-1)</f>
        <v/>
      </c>
      <c r="R70" s="504">
        <f>IF(OR(H70="",H69=""),"",H70/H69-1)</f>
        <v/>
      </c>
      <c r="S70" s="504">
        <f>IF(OR(I70="",I69=""),"",I70/I69-1)</f>
        <v/>
      </c>
      <c r="T70" s="504">
        <f>IF(OR(J70="",J69=""),"",J70/J69-1)</f>
        <v/>
      </c>
      <c r="U70" s="504">
        <f>IF(OR(K70="",K69=""),"",K70/K69-1)</f>
        <v/>
      </c>
    </row>
    <row r="71">
      <c r="C71" s="503" t="n">
        <v>41912</v>
      </c>
      <c r="D71" s="293" t="n">
        <v>53.04534912109375</v>
      </c>
      <c r="E71" s="293" t="n">
        <v>93.8900146484375</v>
      </c>
      <c r="F71" s="293" t="n">
        <v>70.61534881591797</v>
      </c>
      <c r="G71" s="293" t="n">
        <v>161.8478240966797</v>
      </c>
      <c r="H71" s="293" t="n">
        <v>73.08419036865234</v>
      </c>
      <c r="I71" s="293" t="n"/>
      <c r="J71" s="293" t="n">
        <v>27.11562538146973</v>
      </c>
      <c r="K71" s="293">
        <f>'07_Backtest_CMD'!AL84</f>
        <v/>
      </c>
      <c r="M71" s="503" t="n">
        <v>41912</v>
      </c>
      <c r="N71" s="504">
        <f>IF(OR(D71="",D70=""),"",D71/D70-1)</f>
        <v/>
      </c>
      <c r="O71" s="504">
        <f>IF(OR(E71="",E70=""),"",E71/E70-1)</f>
        <v/>
      </c>
      <c r="P71" s="504">
        <f>IF(OR(F71="",F70=""),"",F71/F70-1)</f>
        <v/>
      </c>
      <c r="Q71" s="504">
        <f>IF(OR(G71="",G70=""),"",G71/G70-1)</f>
        <v/>
      </c>
      <c r="R71" s="504">
        <f>IF(OR(H71="",H70=""),"",H71/H70-1)</f>
        <v/>
      </c>
      <c r="S71" s="504">
        <f>IF(OR(I71="",I70=""),"",I71/I70-1)</f>
        <v/>
      </c>
      <c r="T71" s="504">
        <f>IF(OR(J71="",J70=""),"",J71/J70-1)</f>
        <v/>
      </c>
      <c r="U71" s="504">
        <f>IF(OR(K71="",K70=""),"",K71/K70-1)</f>
        <v/>
      </c>
    </row>
    <row r="72">
      <c r="C72" s="503" t="n">
        <v>41943</v>
      </c>
      <c r="D72" s="293" t="n">
        <v>54.26395416259766</v>
      </c>
      <c r="E72" s="293" t="n">
        <v>95.58031463623047</v>
      </c>
      <c r="F72" s="293" t="n">
        <v>73.57673645019531</v>
      </c>
      <c r="G72" s="293" t="n">
        <v>165.6594390869141</v>
      </c>
      <c r="H72" s="293" t="n">
        <v>73.06819915771484</v>
      </c>
      <c r="I72" s="293" t="n"/>
      <c r="J72" s="293" t="n">
        <v>28.44062995910645</v>
      </c>
      <c r="K72" s="293">
        <f>'07_Backtest_CMD'!AL85</f>
        <v/>
      </c>
      <c r="M72" s="503" t="n">
        <v>41943</v>
      </c>
      <c r="N72" s="504">
        <f>IF(OR(D72="",D71=""),"",D72/D71-1)</f>
        <v/>
      </c>
      <c r="O72" s="504">
        <f>IF(OR(E72="",E71=""),"",E72/E71-1)</f>
        <v/>
      </c>
      <c r="P72" s="504">
        <f>IF(OR(F72="",F71=""),"",F72/F71-1)</f>
        <v/>
      </c>
      <c r="Q72" s="504">
        <f>IF(OR(G72="",G71=""),"",G72/G71-1)</f>
        <v/>
      </c>
      <c r="R72" s="504">
        <f>IF(OR(H72="",H71=""),"",H72/H71-1)</f>
        <v/>
      </c>
      <c r="S72" s="504">
        <f>IF(OR(I72="",I71=""),"",I72/I71-1)</f>
        <v/>
      </c>
      <c r="T72" s="504">
        <f>IF(OR(J72="",J71=""),"",J72/J71-1)</f>
        <v/>
      </c>
      <c r="U72" s="504">
        <f>IF(OR(K72="",K71=""),"",K72/K71-1)</f>
        <v/>
      </c>
    </row>
    <row r="73">
      <c r="C73" s="503" t="n">
        <v>41973</v>
      </c>
      <c r="D73" s="293" t="n">
        <v>54.59103393554688</v>
      </c>
      <c r="E73" s="293" t="n">
        <v>96.74114990234375</v>
      </c>
      <c r="F73" s="293" t="n">
        <v>76.77040100097656</v>
      </c>
      <c r="G73" s="293" t="n">
        <v>170.2104339599609</v>
      </c>
      <c r="H73" s="293" t="n">
        <v>73.06819915771484</v>
      </c>
      <c r="I73" s="293" t="n"/>
      <c r="J73" s="293" t="n">
        <v>29.2612361907959</v>
      </c>
      <c r="K73" s="293">
        <f>'07_Backtest_CMD'!AL86</f>
        <v/>
      </c>
      <c r="M73" s="503" t="n">
        <v>41973</v>
      </c>
      <c r="N73" s="504">
        <f>IF(OR(D73="",D72=""),"",D73/D72-1)</f>
        <v/>
      </c>
      <c r="O73" s="504">
        <f>IF(OR(E73="",E72=""),"",E73/E72-1)</f>
        <v/>
      </c>
      <c r="P73" s="504">
        <f>IF(OR(F73="",F72=""),"",F73/F72-1)</f>
        <v/>
      </c>
      <c r="Q73" s="504">
        <f>IF(OR(G73="",G72=""),"",G73/G72-1)</f>
        <v/>
      </c>
      <c r="R73" s="504">
        <f>IF(OR(H73="",H72=""),"",H73/H72-1)</f>
        <v/>
      </c>
      <c r="S73" s="504">
        <f>IF(OR(I73="",I72=""),"",I73/I72-1)</f>
        <v/>
      </c>
      <c r="T73" s="504">
        <f>IF(OR(J73="",J72=""),"",J73/J72-1)</f>
        <v/>
      </c>
      <c r="U73" s="504">
        <f>IF(OR(K73="",K72=""),"",K73/K72-1)</f>
        <v/>
      </c>
    </row>
    <row r="74">
      <c r="C74" s="503" t="n">
        <v>42004</v>
      </c>
      <c r="D74" s="293" t="n">
        <v>55.56077575683594</v>
      </c>
      <c r="E74" s="293" t="n">
        <v>98.11811065673828</v>
      </c>
      <c r="F74" s="293" t="n">
        <v>79.96406555175781</v>
      </c>
      <c r="G74" s="293" t="n">
        <v>169.7787017822266</v>
      </c>
      <c r="H74" s="293" t="n">
        <v>73.05220794677734</v>
      </c>
      <c r="I74" s="293" t="n"/>
      <c r="J74" s="293" t="n">
        <v>29.6086540222168</v>
      </c>
      <c r="K74" s="293">
        <f>'07_Backtest_CMD'!AL87</f>
        <v/>
      </c>
      <c r="M74" s="503" t="n">
        <v>42004</v>
      </c>
      <c r="N74" s="504">
        <f>IF(OR(D74="",D73=""),"",D74/D73-1)</f>
        <v/>
      </c>
      <c r="O74" s="504">
        <f>IF(OR(E74="",E73=""),"",E74/E73-1)</f>
        <v/>
      </c>
      <c r="P74" s="504">
        <f>IF(OR(F74="",F73=""),"",F74/F73-1)</f>
        <v/>
      </c>
      <c r="Q74" s="504">
        <f>IF(OR(G74="",G73=""),"",G74/G73-1)</f>
        <v/>
      </c>
      <c r="R74" s="504">
        <f>IF(OR(H74="",H73=""),"",H74/H73-1)</f>
        <v/>
      </c>
      <c r="S74" s="504">
        <f>IF(OR(I74="",I73=""),"",I74/I73-1)</f>
        <v/>
      </c>
      <c r="T74" s="504">
        <f>IF(OR(J74="",J73=""),"",J74/J73-1)</f>
        <v/>
      </c>
      <c r="U74" s="504">
        <f>IF(OR(K74="",K73=""),"",K74/K73-1)</f>
        <v/>
      </c>
    </row>
    <row r="75">
      <c r="C75" s="503" t="n">
        <v>42035</v>
      </c>
      <c r="D75" s="293" t="n">
        <v>58.69295883178711</v>
      </c>
      <c r="E75" s="293" t="n">
        <v>102.9742279052734</v>
      </c>
      <c r="F75" s="293" t="n">
        <v>91.35800170898438</v>
      </c>
      <c r="G75" s="293" t="n">
        <v>164.7482299804688</v>
      </c>
      <c r="H75" s="293" t="n">
        <v>73.0362548828125</v>
      </c>
      <c r="I75" s="293" t="n"/>
      <c r="J75" s="293" t="n">
        <v>29.4405403137207</v>
      </c>
      <c r="K75" s="293">
        <f>'07_Backtest_CMD'!AL88</f>
        <v/>
      </c>
      <c r="M75" s="503" t="n">
        <v>42035</v>
      </c>
      <c r="N75" s="504">
        <f>IF(OR(D75="",D74=""),"",D75/D74-1)</f>
        <v/>
      </c>
      <c r="O75" s="504">
        <f>IF(OR(E75="",E74=""),"",E75/E74-1)</f>
        <v/>
      </c>
      <c r="P75" s="504">
        <f>IF(OR(F75="",F74=""),"",F75/F74-1)</f>
        <v/>
      </c>
      <c r="Q75" s="504">
        <f>IF(OR(G75="",G74=""),"",G75/G74-1)</f>
        <v/>
      </c>
      <c r="R75" s="504">
        <f>IF(OR(H75="",H74=""),"",H75/H74-1)</f>
        <v/>
      </c>
      <c r="S75" s="504">
        <f>IF(OR(I75="",I74=""),"",I75/I74-1)</f>
        <v/>
      </c>
      <c r="T75" s="504">
        <f>IF(OR(J75="",J74=""),"",J75/J74-1)</f>
        <v/>
      </c>
      <c r="U75" s="504">
        <f>IF(OR(K75="",K74=""),"",K75/K74-1)</f>
        <v/>
      </c>
    </row>
    <row r="76">
      <c r="C76" s="503" t="n">
        <v>42063</v>
      </c>
      <c r="D76" s="293" t="n">
        <v>56.82020568847656</v>
      </c>
      <c r="E76" s="293" t="n">
        <v>100.0076599121094</v>
      </c>
      <c r="F76" s="293" t="n">
        <v>83.02871704101562</v>
      </c>
      <c r="G76" s="293" t="n">
        <v>174.0078582763672</v>
      </c>
      <c r="H76" s="293" t="n">
        <v>73.0362548828125</v>
      </c>
      <c r="I76" s="293" t="n"/>
      <c r="J76" s="293" t="n">
        <v>29.87078475952148</v>
      </c>
      <c r="K76" s="293">
        <f>'07_Backtest_CMD'!AL89</f>
        <v/>
      </c>
      <c r="M76" s="503" t="n">
        <v>42063</v>
      </c>
      <c r="N76" s="504">
        <f>IF(OR(D76="",D75=""),"",D76/D75-1)</f>
        <v/>
      </c>
      <c r="O76" s="504">
        <f>IF(OR(E76="",E75=""),"",E76/E75-1)</f>
        <v/>
      </c>
      <c r="P76" s="504">
        <f>IF(OR(F76="",F75=""),"",F76/F75-1)</f>
        <v/>
      </c>
      <c r="Q76" s="504">
        <f>IF(OR(G76="",G75=""),"",G76/G75-1)</f>
        <v/>
      </c>
      <c r="R76" s="504">
        <f>IF(OR(H76="",H75=""),"",H76/H75-1)</f>
        <v/>
      </c>
      <c r="S76" s="504">
        <f>IF(OR(I76="",I75=""),"",I76/I75-1)</f>
        <v/>
      </c>
      <c r="T76" s="504">
        <f>IF(OR(J76="",J75=""),"",J76/J75-1)</f>
        <v/>
      </c>
      <c r="U76" s="504">
        <f>IF(OR(K76="",K75=""),"",K76/K75-1)</f>
        <v/>
      </c>
    </row>
    <row r="77">
      <c r="C77" s="503" t="n">
        <v>42094</v>
      </c>
      <c r="D77" s="293" t="n">
        <v>56.92488098144531</v>
      </c>
      <c r="E77" s="293" t="n">
        <v>100.9187698364258</v>
      </c>
      <c r="F77" s="293" t="n">
        <v>84.22922515869141</v>
      </c>
      <c r="G77" s="293" t="n">
        <v>171.2749938964844</v>
      </c>
      <c r="H77" s="293" t="n">
        <v>73.0362548828125</v>
      </c>
      <c r="I77" s="293" t="n"/>
      <c r="J77" s="293" t="n">
        <v>29.76638221740723</v>
      </c>
      <c r="K77" s="293">
        <f>'07_Backtest_CMD'!AL90</f>
        <v/>
      </c>
      <c r="M77" s="503" t="n">
        <v>42094</v>
      </c>
      <c r="N77" s="504">
        <f>IF(OR(D77="",D76=""),"",D77/D76-1)</f>
        <v/>
      </c>
      <c r="O77" s="504">
        <f>IF(OR(E77="",E76=""),"",E77/E76-1)</f>
        <v/>
      </c>
      <c r="P77" s="504">
        <f>IF(OR(F77="",F76=""),"",F77/F76-1)</f>
        <v/>
      </c>
      <c r="Q77" s="504">
        <f>IF(OR(G77="",G76=""),"",G77/G76-1)</f>
        <v/>
      </c>
      <c r="R77" s="504">
        <f>IF(OR(H77="",H76=""),"",H77/H76-1)</f>
        <v/>
      </c>
      <c r="S77" s="504">
        <f>IF(OR(I77="",I76=""),"",I77/I76-1)</f>
        <v/>
      </c>
      <c r="T77" s="504">
        <f>IF(OR(J77="",J76=""),"",J77/J76-1)</f>
        <v/>
      </c>
      <c r="U77" s="504">
        <f>IF(OR(K77="",K76=""),"",K77/K76-1)</f>
        <v/>
      </c>
    </row>
    <row r="78">
      <c r="C78" s="503" t="n">
        <v>42124</v>
      </c>
      <c r="D78" s="293" t="n">
        <v>55.76406478881836</v>
      </c>
      <c r="E78" s="293" t="n">
        <v>99.80985260009766</v>
      </c>
      <c r="F78" s="293" t="n">
        <v>79.49898529052734</v>
      </c>
      <c r="G78" s="293" t="n">
        <v>172.9593353271484</v>
      </c>
      <c r="H78" s="293" t="n">
        <v>73.02028656005859</v>
      </c>
      <c r="I78" s="293" t="n"/>
      <c r="J78" s="293" t="n">
        <v>29.15917587280273</v>
      </c>
      <c r="K78" s="293">
        <f>'07_Backtest_CMD'!AL91</f>
        <v/>
      </c>
      <c r="M78" s="503" t="n">
        <v>42124</v>
      </c>
      <c r="N78" s="504">
        <f>IF(OR(D78="",D77=""),"",D78/D77-1)</f>
        <v/>
      </c>
      <c r="O78" s="504">
        <f>IF(OR(E78="",E77=""),"",E78/E77-1)</f>
        <v/>
      </c>
      <c r="P78" s="504">
        <f>IF(OR(F78="",F77=""),"",F78/F77-1)</f>
        <v/>
      </c>
      <c r="Q78" s="504">
        <f>IF(OR(G78="",G77=""),"",G78/G77-1)</f>
        <v/>
      </c>
      <c r="R78" s="504">
        <f>IF(OR(H78="",H77=""),"",H78/H77-1)</f>
        <v/>
      </c>
      <c r="S78" s="504">
        <f>IF(OR(I78="",I77=""),"",I78/I77-1)</f>
        <v/>
      </c>
      <c r="T78" s="504">
        <f>IF(OR(J78="",J77=""),"",J78/J77-1)</f>
        <v/>
      </c>
      <c r="U78" s="504">
        <f>IF(OR(K78="",K77=""),"",K78/K77-1)</f>
        <v/>
      </c>
    </row>
    <row r="79">
      <c r="C79" s="503" t="n">
        <v>42155</v>
      </c>
      <c r="D79" s="293" t="n">
        <v>54.17182159423828</v>
      </c>
      <c r="E79" s="293" t="n">
        <v>99.29745483398438</v>
      </c>
      <c r="F79" s="293" t="n">
        <v>76.60506439208984</v>
      </c>
      <c r="G79" s="293" t="n">
        <v>175.1828308105469</v>
      </c>
      <c r="H79" s="293" t="n">
        <v>73.00428771972656</v>
      </c>
      <c r="I79" s="293" t="n"/>
      <c r="J79" s="293" t="n">
        <v>29.43319320678711</v>
      </c>
      <c r="K79" s="293">
        <f>'07_Backtest_CMD'!AL92</f>
        <v/>
      </c>
      <c r="M79" s="503" t="n">
        <v>42155</v>
      </c>
      <c r="N79" s="504">
        <f>IF(OR(D79="",D78=""),"",D79/D78-1)</f>
        <v/>
      </c>
      <c r="O79" s="504">
        <f>IF(OR(E79="",E78=""),"",E79/E78-1)</f>
        <v/>
      </c>
      <c r="P79" s="504">
        <f>IF(OR(F79="",F78=""),"",F79/F78-1)</f>
        <v/>
      </c>
      <c r="Q79" s="504">
        <f>IF(OR(G79="",G78=""),"",G79/G78-1)</f>
        <v/>
      </c>
      <c r="R79" s="504">
        <f>IF(OR(H79="",H78=""),"",H79/H78-1)</f>
        <v/>
      </c>
      <c r="S79" s="504">
        <f>IF(OR(I79="",I78=""),"",I79/I78-1)</f>
        <v/>
      </c>
      <c r="T79" s="504">
        <f>IF(OR(J79="",J78=""),"",J79/J78-1)</f>
        <v/>
      </c>
      <c r="U79" s="504">
        <f>IF(OR(K79="",K78=""),"",K79/K78-1)</f>
        <v/>
      </c>
    </row>
    <row r="80">
      <c r="C80" s="503" t="n">
        <v>42185</v>
      </c>
      <c r="D80" s="293" t="n">
        <v>52.17789840698242</v>
      </c>
      <c r="E80" s="293" t="n">
        <v>97.31705474853516</v>
      </c>
      <c r="F80" s="293" t="n">
        <v>71.93966674804688</v>
      </c>
      <c r="G80" s="293" t="n">
        <v>171.6245574951172</v>
      </c>
      <c r="H80" s="293" t="n">
        <v>73.00428771972656</v>
      </c>
      <c r="I80" s="293" t="n"/>
      <c r="J80" s="293" t="n">
        <v>28.92900085449219</v>
      </c>
      <c r="K80" s="293">
        <f>'07_Backtest_CMD'!AL93</f>
        <v/>
      </c>
      <c r="M80" s="503" t="n">
        <v>42185</v>
      </c>
      <c r="N80" s="504">
        <f>IF(OR(D80="",D79=""),"",D80/D79-1)</f>
        <v/>
      </c>
      <c r="O80" s="504">
        <f>IF(OR(E80="",E79=""),"",E80/E79-1)</f>
        <v/>
      </c>
      <c r="P80" s="504">
        <f>IF(OR(F80="",F79=""),"",F80/F79-1)</f>
        <v/>
      </c>
      <c r="Q80" s="504">
        <f>IF(OR(G80="",G79=""),"",G80/G79-1)</f>
        <v/>
      </c>
      <c r="R80" s="504">
        <f>IF(OR(H80="",H79=""),"",H80/H79-1)</f>
        <v/>
      </c>
      <c r="S80" s="504">
        <f>IF(OR(I80="",I79=""),"",I80/I79-1)</f>
        <v/>
      </c>
      <c r="T80" s="504">
        <f>IF(OR(J80="",J79=""),"",J80/J79-1)</f>
        <v/>
      </c>
      <c r="U80" s="504">
        <f>IF(OR(K80="",K79=""),"",K80/K79-1)</f>
        <v/>
      </c>
    </row>
    <row r="81">
      <c r="C81" s="503" t="n">
        <v>42216</v>
      </c>
      <c r="D81" s="293" t="n">
        <v>53.62334442138672</v>
      </c>
      <c r="E81" s="293" t="n">
        <v>99.74781036376953</v>
      </c>
      <c r="F81" s="293" t="n">
        <v>77.00251770019531</v>
      </c>
      <c r="G81" s="293" t="n">
        <v>175.50146484375</v>
      </c>
      <c r="H81" s="293" t="n">
        <v>73.00428771972656</v>
      </c>
      <c r="I81" s="293" t="n"/>
      <c r="J81" s="293" t="n">
        <v>30.16987800598145</v>
      </c>
      <c r="K81" s="293">
        <f>'07_Backtest_CMD'!AL94</f>
        <v/>
      </c>
      <c r="M81" s="503" t="n">
        <v>42216</v>
      </c>
      <c r="N81" s="504">
        <f>IF(OR(D81="",D80=""),"",D81/D80-1)</f>
        <v/>
      </c>
      <c r="O81" s="504">
        <f>IF(OR(E81="",E80=""),"",E81/E80-1)</f>
        <v/>
      </c>
      <c r="P81" s="504">
        <f>IF(OR(F81="",F80=""),"",F81/F80-1)</f>
        <v/>
      </c>
      <c r="Q81" s="504">
        <f>IF(OR(G81="",G80=""),"",G81/G80-1)</f>
        <v/>
      </c>
      <c r="R81" s="504">
        <f>IF(OR(H81="",H80=""),"",H81/H80-1)</f>
        <v/>
      </c>
      <c r="S81" s="504">
        <f>IF(OR(I81="",I80=""),"",I81/I80-1)</f>
        <v/>
      </c>
      <c r="T81" s="504">
        <f>IF(OR(J81="",J80=""),"",J81/J80-1)</f>
        <v/>
      </c>
      <c r="U81" s="504">
        <f>IF(OR(K81="",K80=""),"",K81/K80-1)</f>
        <v/>
      </c>
    </row>
    <row r="82">
      <c r="C82" s="503" t="n">
        <v>42247</v>
      </c>
      <c r="D82" s="293" t="n">
        <v>52.48741149902344</v>
      </c>
      <c r="E82" s="293" t="n">
        <v>99.21370697021484</v>
      </c>
      <c r="F82" s="293" t="n">
        <v>76.39419555664062</v>
      </c>
      <c r="G82" s="293" t="n">
        <v>164.8045654296875</v>
      </c>
      <c r="H82" s="293" t="n">
        <v>73.00428771972656</v>
      </c>
      <c r="I82" s="293" t="n"/>
      <c r="J82" s="293" t="n">
        <v>28.65813636779785</v>
      </c>
      <c r="K82" s="293">
        <f>'07_Backtest_CMD'!AL95</f>
        <v/>
      </c>
      <c r="M82" s="503" t="n">
        <v>42247</v>
      </c>
      <c r="N82" s="504">
        <f>IF(OR(D82="",D81=""),"",D82/D81-1)</f>
        <v/>
      </c>
      <c r="O82" s="504">
        <f>IF(OR(E82="",E81=""),"",E82/E81-1)</f>
        <v/>
      </c>
      <c r="P82" s="504">
        <f>IF(OR(F82="",F81=""),"",F82/F81-1)</f>
        <v/>
      </c>
      <c r="Q82" s="504">
        <f>IF(OR(G82="",G81=""),"",G82/G81-1)</f>
        <v/>
      </c>
      <c r="R82" s="504">
        <f>IF(OR(H82="",H81=""),"",H82/H81-1)</f>
        <v/>
      </c>
      <c r="S82" s="504">
        <f>IF(OR(I82="",I81=""),"",I82/I81-1)</f>
        <v/>
      </c>
      <c r="T82" s="504">
        <f>IF(OR(J82="",J81=""),"",J82/J81-1)</f>
        <v/>
      </c>
      <c r="U82" s="504">
        <f>IF(OR(K82="",K81=""),"",K82/K81-1)</f>
        <v/>
      </c>
    </row>
    <row r="83">
      <c r="C83" s="503" t="n">
        <v>42277</v>
      </c>
      <c r="D83" s="293" t="n">
        <v>53.22801208496094</v>
      </c>
      <c r="E83" s="293" t="n">
        <v>101.0316925048828</v>
      </c>
      <c r="F83" s="293" t="n">
        <v>78.08345794677734</v>
      </c>
      <c r="G83" s="293" t="n">
        <v>160.5994415283203</v>
      </c>
      <c r="H83" s="293" t="n">
        <v>72.97238922119141</v>
      </c>
      <c r="I83" s="293" t="n"/>
      <c r="J83" s="293" t="n">
        <v>28.55358695983887</v>
      </c>
      <c r="K83" s="293">
        <f>'07_Backtest_CMD'!AL96</f>
        <v/>
      </c>
      <c r="M83" s="503" t="n">
        <v>42277</v>
      </c>
      <c r="N83" s="504">
        <f>IF(OR(D83="",D82=""),"",D83/D82-1)</f>
        <v/>
      </c>
      <c r="O83" s="504">
        <f>IF(OR(E83="",E82=""),"",E83/E82-1)</f>
        <v/>
      </c>
      <c r="P83" s="504">
        <f>IF(OR(F83="",F82=""),"",F83/F82-1)</f>
        <v/>
      </c>
      <c r="Q83" s="504">
        <f>IF(OR(G83="",G82=""),"",G83/G82-1)</f>
        <v/>
      </c>
      <c r="R83" s="504">
        <f>IF(OR(H83="",H82=""),"",H83/H82-1)</f>
        <v/>
      </c>
      <c r="S83" s="504">
        <f>IF(OR(I83="",I82=""),"",I83/I82-1)</f>
        <v/>
      </c>
      <c r="T83" s="504">
        <f>IF(OR(J83="",J82=""),"",J83/J82-1)</f>
        <v/>
      </c>
      <c r="U83" s="504">
        <f>IF(OR(K83="",K82=""),"",K83/K82-1)</f>
        <v/>
      </c>
    </row>
    <row r="84">
      <c r="C84" s="503" t="n">
        <v>42308</v>
      </c>
      <c r="D84" s="293" t="n">
        <v>53.73796463012695</v>
      </c>
      <c r="E84" s="293" t="n">
        <v>100.2472305297852</v>
      </c>
      <c r="F84" s="293" t="n">
        <v>77.76712036132812</v>
      </c>
      <c r="G84" s="293" t="n">
        <v>174.2599792480469</v>
      </c>
      <c r="H84" s="293" t="n">
        <v>72.95638275146484</v>
      </c>
      <c r="I84" s="293" t="n">
        <v>23.11306381225586</v>
      </c>
      <c r="J84" s="293" t="n">
        <v>30.51795387268066</v>
      </c>
      <c r="K84" s="293">
        <f>'07_Backtest_CMD'!AL97</f>
        <v/>
      </c>
      <c r="M84" s="503" t="n">
        <v>42308</v>
      </c>
      <c r="N84" s="504">
        <f>IF(OR(D84="",D83=""),"",D84/D83-1)</f>
        <v/>
      </c>
      <c r="O84" s="504">
        <f>IF(OR(E84="",E83=""),"",E84/E83-1)</f>
        <v/>
      </c>
      <c r="P84" s="504">
        <f>IF(OR(F84="",F83=""),"",F84/F83-1)</f>
        <v/>
      </c>
      <c r="Q84" s="504">
        <f>IF(OR(G84="",G83=""),"",G84/G83-1)</f>
        <v/>
      </c>
      <c r="R84" s="504">
        <f>IF(OR(H84="",H83=""),"",H84/H83-1)</f>
        <v/>
      </c>
      <c r="S84" s="504">
        <f>IF(OR(I84="",I83=""),"",I84/I83-1)</f>
        <v/>
      </c>
      <c r="T84" s="504">
        <f>IF(OR(J84="",J83=""),"",J84/J83-1)</f>
        <v/>
      </c>
      <c r="U84" s="504">
        <f>IF(OR(K84="",K83=""),"",K84/K83-1)</f>
        <v/>
      </c>
    </row>
    <row r="85">
      <c r="C85" s="503" t="n">
        <v>42338</v>
      </c>
      <c r="D85" s="293" t="n">
        <v>53.59767532348633</v>
      </c>
      <c r="E85" s="293" t="n">
        <v>99.84906005859375</v>
      </c>
      <c r="F85" s="293" t="n">
        <v>76.65332794189453</v>
      </c>
      <c r="G85" s="293" t="n">
        <v>174.8969421386719</v>
      </c>
      <c r="H85" s="293" t="n">
        <v>72.97238922119141</v>
      </c>
      <c r="I85" s="293" t="n">
        <v>23.35143280029297</v>
      </c>
      <c r="J85" s="293" t="n">
        <v>30.84316825866699</v>
      </c>
      <c r="K85" s="293">
        <f>'07_Backtest_CMD'!AL98</f>
        <v/>
      </c>
      <c r="M85" s="503" t="n">
        <v>42338</v>
      </c>
      <c r="N85" s="504">
        <f>IF(OR(D85="",D84=""),"",D85/D84-1)</f>
        <v/>
      </c>
      <c r="O85" s="504">
        <f>IF(OR(E85="",E84=""),"",E85/E84-1)</f>
        <v/>
      </c>
      <c r="P85" s="504">
        <f>IF(OR(F85="",F84=""),"",F85/F84-1)</f>
        <v/>
      </c>
      <c r="Q85" s="504">
        <f>IF(OR(G85="",G84=""),"",G85/G84-1)</f>
        <v/>
      </c>
      <c r="R85" s="504">
        <f>IF(OR(H85="",H84=""),"",H85/H84-1)</f>
        <v/>
      </c>
      <c r="S85" s="504">
        <f>IF(OR(I85="",I84=""),"",I85/I84-1)</f>
        <v/>
      </c>
      <c r="T85" s="504">
        <f>IF(OR(J85="",J84=""),"",J85/J84-1)</f>
        <v/>
      </c>
      <c r="U85" s="504">
        <f>IF(OR(K85="",K84=""),"",K85/K84-1)</f>
        <v/>
      </c>
    </row>
    <row r="86">
      <c r="C86" s="503" t="n">
        <v>42369</v>
      </c>
      <c r="D86" s="293" t="n">
        <v>52.91112899780273</v>
      </c>
      <c r="E86" s="293" t="n">
        <v>99.48838043212891</v>
      </c>
      <c r="F86" s="293" t="n">
        <v>76.08889770507812</v>
      </c>
      <c r="G86" s="293" t="n">
        <v>171.8742980957031</v>
      </c>
      <c r="H86" s="293" t="n">
        <v>72.95638275146484</v>
      </c>
      <c r="I86" s="293" t="n">
        <v>22.85735702514648</v>
      </c>
      <c r="J86" s="293" t="n">
        <v>30.79464721679688</v>
      </c>
      <c r="K86" s="293">
        <f>'07_Backtest_CMD'!AL99</f>
        <v/>
      </c>
      <c r="M86" s="503" t="n">
        <v>42369</v>
      </c>
      <c r="N86" s="504">
        <f>IF(OR(D86="",D85=""),"",D86/D85-1)</f>
        <v/>
      </c>
      <c r="O86" s="504">
        <f>IF(OR(E86="",E85=""),"",E86/E85-1)</f>
        <v/>
      </c>
      <c r="P86" s="504">
        <f>IF(OR(F86="",F85=""),"",F86/F85-1)</f>
        <v/>
      </c>
      <c r="Q86" s="504">
        <f>IF(OR(G86="",G85=""),"",G86/G85-1)</f>
        <v/>
      </c>
      <c r="R86" s="504">
        <f>IF(OR(H86="",H85=""),"",H86/H85-1)</f>
        <v/>
      </c>
      <c r="S86" s="504">
        <f>IF(OR(I86="",I85=""),"",I86/I85-1)</f>
        <v/>
      </c>
      <c r="T86" s="504">
        <f>IF(OR(J86="",J85=""),"",J86/J85-1)</f>
        <v/>
      </c>
      <c r="U86" s="504">
        <f>IF(OR(K86="",K85=""),"",K86/K85-1)</f>
        <v/>
      </c>
    </row>
    <row r="87">
      <c r="C87" s="503" t="n">
        <v>42400</v>
      </c>
      <c r="D87" s="293" t="n">
        <v>52.69739151000977</v>
      </c>
      <c r="E87" s="293" t="n">
        <v>103.1725463867188</v>
      </c>
      <c r="F87" s="293" t="n">
        <v>82.50132751464844</v>
      </c>
      <c r="G87" s="293" t="n">
        <v>163.3172149658203</v>
      </c>
      <c r="H87" s="293" t="n">
        <v>72.97238922119141</v>
      </c>
      <c r="I87" s="293" t="n">
        <v>21.94483947753906</v>
      </c>
      <c r="J87" s="293" t="n">
        <v>30.25381660461426</v>
      </c>
      <c r="K87" s="293">
        <f>'07_Backtest_CMD'!AL100</f>
        <v/>
      </c>
      <c r="M87" s="503" t="n">
        <v>42400</v>
      </c>
      <c r="N87" s="504">
        <f>IF(OR(D87="",D86=""),"",D87/D86-1)</f>
        <v/>
      </c>
      <c r="O87" s="504">
        <f>IF(OR(E87="",E86=""),"",E87/E86-1)</f>
        <v/>
      </c>
      <c r="P87" s="504">
        <f>IF(OR(F87="",F86=""),"",F87/F86-1)</f>
        <v/>
      </c>
      <c r="Q87" s="504">
        <f>IF(OR(G87="",G86=""),"",G87/G86-1)</f>
        <v/>
      </c>
      <c r="R87" s="504">
        <f>IF(OR(H87="",H86=""),"",H87/H86-1)</f>
        <v/>
      </c>
      <c r="S87" s="504">
        <f>IF(OR(I87="",I86=""),"",I87/I86-1)</f>
        <v/>
      </c>
      <c r="T87" s="504">
        <f>IF(OR(J87="",J86=""),"",J87/J86-1)</f>
        <v/>
      </c>
      <c r="U87" s="504">
        <f>IF(OR(K87="",K86=""),"",K87/K86-1)</f>
        <v/>
      </c>
    </row>
    <row r="88">
      <c r="C88" s="503" t="n">
        <v>42429</v>
      </c>
      <c r="D88" s="293" t="n">
        <v>53.24740219116211</v>
      </c>
      <c r="E88" s="293" t="n">
        <v>105.0888977050781</v>
      </c>
      <c r="F88" s="293" t="n">
        <v>85.86215209960938</v>
      </c>
      <c r="G88" s="293" t="n">
        <v>163.1823272705078</v>
      </c>
      <c r="H88" s="293" t="n">
        <v>72.97238922119141</v>
      </c>
      <c r="I88" s="293" t="n">
        <v>21.90053939819336</v>
      </c>
      <c r="J88" s="293" t="n">
        <v>30.55290412902832</v>
      </c>
      <c r="K88" s="293">
        <f>'07_Backtest_CMD'!AL101</f>
        <v/>
      </c>
      <c r="M88" s="503" t="n">
        <v>42429</v>
      </c>
      <c r="N88" s="504">
        <f>IF(OR(D88="",D87=""),"",D88/D87-1)</f>
        <v/>
      </c>
      <c r="O88" s="504">
        <f>IF(OR(E88="",E87=""),"",E88/E87-1)</f>
        <v/>
      </c>
      <c r="P88" s="504">
        <f>IF(OR(F88="",F87=""),"",F88/F87-1)</f>
        <v/>
      </c>
      <c r="Q88" s="504">
        <f>IF(OR(G88="",G87=""),"",G88/G87-1)</f>
        <v/>
      </c>
      <c r="R88" s="504">
        <f>IF(OR(H88="",H87=""),"",H88/H87-1)</f>
        <v/>
      </c>
      <c r="S88" s="504">
        <f>IF(OR(I88="",I87=""),"",I88/I87-1)</f>
        <v/>
      </c>
      <c r="T88" s="504">
        <f>IF(OR(J88="",J87=""),"",J88/J87-1)</f>
        <v/>
      </c>
      <c r="U88" s="504">
        <f>IF(OR(K88="",K87=""),"",K88/K87-1)</f>
        <v/>
      </c>
    </row>
    <row r="89">
      <c r="C89" s="503" t="n">
        <v>42460</v>
      </c>
      <c r="D89" s="293" t="n">
        <v>56.6481819152832</v>
      </c>
      <c r="E89" s="293" t="n">
        <v>105.2248992919922</v>
      </c>
      <c r="F89" s="293" t="n">
        <v>85.69768524169922</v>
      </c>
      <c r="G89" s="293" t="n">
        <v>174.1589508056641</v>
      </c>
      <c r="H89" s="293" t="n">
        <v>72.97238922119141</v>
      </c>
      <c r="I89" s="293" t="n">
        <v>23.07883834838867</v>
      </c>
      <c r="J89" s="293" t="n">
        <v>32.3834342956543</v>
      </c>
      <c r="K89" s="293">
        <f>'07_Backtest_CMD'!AL102</f>
        <v/>
      </c>
      <c r="M89" s="503" t="n">
        <v>42460</v>
      </c>
      <c r="N89" s="504">
        <f>IF(OR(D89="",D88=""),"",D89/D88-1)</f>
        <v/>
      </c>
      <c r="O89" s="504">
        <f>IF(OR(E89="",E88=""),"",E89/E88-1)</f>
        <v/>
      </c>
      <c r="P89" s="504">
        <f>IF(OR(F89="",F88=""),"",F89/F88-1)</f>
        <v/>
      </c>
      <c r="Q89" s="504">
        <f>IF(OR(G89="",G88=""),"",G89/G88-1)</f>
        <v/>
      </c>
      <c r="R89" s="504">
        <f>IF(OR(H89="",H88=""),"",H89/H88-1)</f>
        <v/>
      </c>
      <c r="S89" s="504">
        <f>IF(OR(I89="",I88=""),"",I89/I88-1)</f>
        <v/>
      </c>
      <c r="T89" s="504">
        <f>IF(OR(J89="",J88=""),"",J89/J88-1)</f>
        <v/>
      </c>
      <c r="U89" s="504">
        <f>IF(OR(K89="",K88=""),"",K89/K88-1)</f>
        <v/>
      </c>
    </row>
    <row r="90">
      <c r="C90" s="503" t="n">
        <v>42490</v>
      </c>
      <c r="D90" s="293" t="n">
        <v>57.96364593505859</v>
      </c>
      <c r="E90" s="293" t="n">
        <v>104.8287811279297</v>
      </c>
      <c r="F90" s="293" t="n">
        <v>84.75142669677734</v>
      </c>
      <c r="G90" s="293" t="n">
        <v>174.8453521728516</v>
      </c>
      <c r="H90" s="293" t="n">
        <v>73.00428771972656</v>
      </c>
      <c r="I90" s="293" t="n">
        <v>23.19400787353516</v>
      </c>
      <c r="J90" s="293" t="n">
        <v>32.12538146972656</v>
      </c>
      <c r="K90" s="293">
        <f>'07_Backtest_CMD'!AL103</f>
        <v/>
      </c>
      <c r="M90" s="503" t="n">
        <v>42490</v>
      </c>
      <c r="N90" s="504">
        <f>IF(OR(D90="",D89=""),"",D90/D89-1)</f>
        <v/>
      </c>
      <c r="O90" s="504">
        <f>IF(OR(E90="",E89=""),"",E90/E89-1)</f>
        <v/>
      </c>
      <c r="P90" s="504">
        <f>IF(OR(F90="",F89=""),"",F90/F89-1)</f>
        <v/>
      </c>
      <c r="Q90" s="504">
        <f>IF(OR(G90="",G89=""),"",G90/G89-1)</f>
        <v/>
      </c>
      <c r="R90" s="504">
        <f>IF(OR(H90="",H89=""),"",H90/H89-1)</f>
        <v/>
      </c>
      <c r="S90" s="504">
        <f>IF(OR(I90="",I89=""),"",I90/I89-1)</f>
        <v/>
      </c>
      <c r="T90" s="504">
        <f>IF(OR(J90="",J89=""),"",J90/J89-1)</f>
        <v/>
      </c>
      <c r="U90" s="504">
        <f>IF(OR(K90="",K89=""),"",K90/K89-1)</f>
        <v/>
      </c>
    </row>
    <row r="91">
      <c r="C91" s="503" t="n">
        <v>42521</v>
      </c>
      <c r="D91" s="293" t="n">
        <v>57.77299499511719</v>
      </c>
      <c r="E91" s="293" t="n">
        <v>105.1338424682617</v>
      </c>
      <c r="F91" s="293" t="n">
        <v>85.61660003662109</v>
      </c>
      <c r="G91" s="293" t="n">
        <v>177.8197937011719</v>
      </c>
      <c r="H91" s="293" t="n">
        <v>73.00428771972656</v>
      </c>
      <c r="I91" s="293" t="n">
        <v>23.20287322998047</v>
      </c>
      <c r="J91" s="293" t="n">
        <v>32.66457366943359</v>
      </c>
      <c r="K91" s="293">
        <f>'07_Backtest_CMD'!AL104</f>
        <v/>
      </c>
      <c r="M91" s="503" t="n">
        <v>42521</v>
      </c>
      <c r="N91" s="504">
        <f>IF(OR(D91="",D90=""),"",D91/D90-1)</f>
        <v/>
      </c>
      <c r="O91" s="504">
        <f>IF(OR(E91="",E90=""),"",E91/E90-1)</f>
        <v/>
      </c>
      <c r="P91" s="504">
        <f>IF(OR(F91="",F90=""),"",F91/F90-1)</f>
        <v/>
      </c>
      <c r="Q91" s="504">
        <f>IF(OR(G91="",G90=""),"",G91/G90-1)</f>
        <v/>
      </c>
      <c r="R91" s="504">
        <f>IF(OR(H91="",H90=""),"",H91/H90-1)</f>
        <v/>
      </c>
      <c r="S91" s="504">
        <f>IF(OR(I91="",I90=""),"",I91/I90-1)</f>
        <v/>
      </c>
      <c r="T91" s="504">
        <f>IF(OR(J91="",J90=""),"",J91/J90-1)</f>
        <v/>
      </c>
      <c r="U91" s="504">
        <f>IF(OR(K91="",K90=""),"",K91/K90-1)</f>
        <v/>
      </c>
    </row>
    <row r="92">
      <c r="C92" s="503" t="n">
        <v>42551</v>
      </c>
      <c r="D92" s="293" t="n">
        <v>60.50981140136719</v>
      </c>
      <c r="E92" s="293" t="n">
        <v>109.5323715209961</v>
      </c>
      <c r="F92" s="293" t="n">
        <v>93.93812561035156</v>
      </c>
      <c r="G92" s="293" t="n">
        <v>178.4378051757812</v>
      </c>
      <c r="H92" s="293" t="n">
        <v>72.98834991455078</v>
      </c>
      <c r="I92" s="293" t="n">
        <v>23.07198524475098</v>
      </c>
      <c r="J92" s="293" t="n">
        <v>34.5397834777832</v>
      </c>
      <c r="K92" s="293">
        <f>'07_Backtest_CMD'!AL105</f>
        <v/>
      </c>
      <c r="M92" s="503" t="n">
        <v>42551</v>
      </c>
      <c r="N92" s="504">
        <f>IF(OR(D92="",D91=""),"",D92/D91-1)</f>
        <v/>
      </c>
      <c r="O92" s="504">
        <f>IF(OR(E92="",E91=""),"",E92/E91-1)</f>
        <v/>
      </c>
      <c r="P92" s="504">
        <f>IF(OR(F92="",F91=""),"",F92/F91-1)</f>
        <v/>
      </c>
      <c r="Q92" s="504">
        <f>IF(OR(G92="",G91=""),"",G92/G91-1)</f>
        <v/>
      </c>
      <c r="R92" s="504">
        <f>IF(OR(H92="",H91=""),"",H92/H91-1)</f>
        <v/>
      </c>
      <c r="S92" s="504">
        <f>IF(OR(I92="",I91=""),"",I92/I91-1)</f>
        <v/>
      </c>
      <c r="T92" s="504">
        <f>IF(OR(J92="",J91=""),"",J92/J91-1)</f>
        <v/>
      </c>
      <c r="U92" s="504">
        <f>IF(OR(K92="",K91=""),"",K92/K91-1)</f>
        <v/>
      </c>
    </row>
    <row r="93">
      <c r="C93" s="503" t="n">
        <v>42582</v>
      </c>
      <c r="D93" s="293" t="n">
        <v>62.0531120300293</v>
      </c>
      <c r="E93" s="293" t="n">
        <v>110.2521743774414</v>
      </c>
      <c r="F93" s="293" t="n">
        <v>97.08705902099609</v>
      </c>
      <c r="G93" s="293" t="n">
        <v>184.9457092285156</v>
      </c>
      <c r="H93" s="293" t="n">
        <v>73.02028656005859</v>
      </c>
      <c r="I93" s="293" t="n">
        <v>24.19003677368164</v>
      </c>
      <c r="J93" s="293" t="n">
        <v>34.61697006225586</v>
      </c>
      <c r="K93" s="293">
        <f>'07_Backtest_CMD'!AL106</f>
        <v/>
      </c>
      <c r="M93" s="503" t="n">
        <v>42582</v>
      </c>
      <c r="N93" s="504">
        <f>IF(OR(D93="",D92=""),"",D93/D92-1)</f>
        <v/>
      </c>
      <c r="O93" s="504">
        <f>IF(OR(E93="",E92=""),"",E93/E92-1)</f>
        <v/>
      </c>
      <c r="P93" s="504">
        <f>IF(OR(F93="",F92=""),"",F93/F92-1)</f>
        <v/>
      </c>
      <c r="Q93" s="504">
        <f>IF(OR(G93="",G92=""),"",G93/G92-1)</f>
        <v/>
      </c>
      <c r="R93" s="504">
        <f>IF(OR(H93="",H92=""),"",H93/H92-1)</f>
        <v/>
      </c>
      <c r="S93" s="504">
        <f>IF(OR(I93="",I92=""),"",I93/I92-1)</f>
        <v/>
      </c>
      <c r="T93" s="504">
        <f>IF(OR(J93="",J92=""),"",J93/J92-1)</f>
        <v/>
      </c>
      <c r="U93" s="504">
        <f>IF(OR(K93="",K92=""),"",K93/K92-1)</f>
        <v/>
      </c>
    </row>
    <row r="94">
      <c r="C94" s="503" t="n">
        <v>42613</v>
      </c>
      <c r="D94" s="293" t="n">
        <v>62.15168380737305</v>
      </c>
      <c r="E94" s="293" t="n">
        <v>109.0180053710938</v>
      </c>
      <c r="F94" s="293" t="n">
        <v>95.65882873535156</v>
      </c>
      <c r="G94" s="293" t="n">
        <v>185.1671447753906</v>
      </c>
      <c r="H94" s="293" t="n">
        <v>73.02028656005859</v>
      </c>
      <c r="I94" s="293" t="n">
        <v>24.19003677368164</v>
      </c>
      <c r="J94" s="293" t="n">
        <v>33.95723724365234</v>
      </c>
      <c r="K94" s="293">
        <f>'07_Backtest_CMD'!AL107</f>
        <v/>
      </c>
      <c r="M94" s="503" t="n">
        <v>42613</v>
      </c>
      <c r="N94" s="504">
        <f>IF(OR(D94="",D93=""),"",D94/D93-1)</f>
        <v/>
      </c>
      <c r="O94" s="504">
        <f>IF(OR(E94="",E93=""),"",E94/E93-1)</f>
        <v/>
      </c>
      <c r="P94" s="504">
        <f>IF(OR(F94="",F93=""),"",F94/F93-1)</f>
        <v/>
      </c>
      <c r="Q94" s="504">
        <f>IF(OR(G94="",G93=""),"",G94/G93-1)</f>
        <v/>
      </c>
      <c r="R94" s="504">
        <f>IF(OR(H94="",H93=""),"",H94/H93-1)</f>
        <v/>
      </c>
      <c r="S94" s="504">
        <f>IF(OR(I94="",I93=""),"",I94/I93-1)</f>
        <v/>
      </c>
      <c r="T94" s="504">
        <f>IF(OR(J94="",J93=""),"",J94/J93-1)</f>
        <v/>
      </c>
      <c r="U94" s="504">
        <f>IF(OR(K94="",K93=""),"",K94/K93-1)</f>
        <v/>
      </c>
    </row>
    <row r="95">
      <c r="C95" s="503" t="n">
        <v>42643</v>
      </c>
      <c r="D95" s="293" t="n">
        <v>61.87370681762695</v>
      </c>
      <c r="E95" s="293" t="n">
        <v>108.6735763549805</v>
      </c>
      <c r="F95" s="293" t="n">
        <v>93.42776489257812</v>
      </c>
      <c r="G95" s="293" t="n">
        <v>185.1778717041016</v>
      </c>
      <c r="H95" s="293" t="n">
        <v>73.0362548828125</v>
      </c>
      <c r="I95" s="293" t="n">
        <v>24.31002044677734</v>
      </c>
      <c r="J95" s="293" t="n">
        <v>33.65442276000977</v>
      </c>
      <c r="K95" s="293">
        <f>'07_Backtest_CMD'!AL108</f>
        <v/>
      </c>
      <c r="M95" s="503" t="n">
        <v>42643</v>
      </c>
      <c r="N95" s="504">
        <f>IF(OR(D95="",D94=""),"",D95/D94-1)</f>
        <v/>
      </c>
      <c r="O95" s="504">
        <f>IF(OR(E95="",E94=""),"",E95/E94-1)</f>
        <v/>
      </c>
      <c r="P95" s="504">
        <f>IF(OR(F95="",F94=""),"",F95/F94-1)</f>
        <v/>
      </c>
      <c r="Q95" s="504">
        <f>IF(OR(G95="",G94=""),"",G95/G94-1)</f>
        <v/>
      </c>
      <c r="R95" s="504">
        <f>IF(OR(H95="",H94=""),"",H95/H94-1)</f>
        <v/>
      </c>
      <c r="S95" s="504">
        <f>IF(OR(I95="",I94=""),"",I95/I94-1)</f>
        <v/>
      </c>
      <c r="T95" s="504">
        <f>IF(OR(J95="",J94=""),"",J95/J94-1)</f>
        <v/>
      </c>
      <c r="U95" s="504">
        <f>IF(OR(K95="",K94=""),"",K95/K94-1)</f>
        <v/>
      </c>
    </row>
    <row r="96">
      <c r="C96" s="503" t="n">
        <v>42674</v>
      </c>
      <c r="D96" s="293" t="n">
        <v>60.33418655395508</v>
      </c>
      <c r="E96" s="293" t="n">
        <v>106.1968688964844</v>
      </c>
      <c r="F96" s="293" t="n">
        <v>87.64969635009766</v>
      </c>
      <c r="G96" s="293" t="n">
        <v>181.9674682617188</v>
      </c>
      <c r="H96" s="293" t="n">
        <v>73.05220794677734</v>
      </c>
      <c r="I96" s="293" t="n">
        <v>23.85734367370605</v>
      </c>
      <c r="J96" s="293" t="n">
        <v>32.87232208251953</v>
      </c>
      <c r="K96" s="293">
        <f>'07_Backtest_CMD'!AL109</f>
        <v/>
      </c>
      <c r="M96" s="503" t="n">
        <v>42674</v>
      </c>
      <c r="N96" s="504">
        <f>IF(OR(D96="",D95=""),"",D96/D95-1)</f>
        <v/>
      </c>
      <c r="O96" s="504">
        <f>IF(OR(E96="",E95=""),"",E96/E95-1)</f>
        <v/>
      </c>
      <c r="P96" s="504">
        <f>IF(OR(F96="",F95=""),"",F96/F95-1)</f>
        <v/>
      </c>
      <c r="Q96" s="504">
        <f>IF(OR(G96="",G95=""),"",G96/G95-1)</f>
        <v/>
      </c>
      <c r="R96" s="504">
        <f>IF(OR(H96="",H95=""),"",H96/H95-1)</f>
        <v/>
      </c>
      <c r="S96" s="504">
        <f>IF(OR(I96="",I95=""),"",I96/I95-1)</f>
        <v/>
      </c>
      <c r="T96" s="504">
        <f>IF(OR(J96="",J95=""),"",J96/J95-1)</f>
        <v/>
      </c>
      <c r="U96" s="504">
        <f>IF(OR(K96="",K95=""),"",K96/K95-1)</f>
        <v/>
      </c>
    </row>
    <row r="97">
      <c r="C97" s="503" t="n">
        <v>42704</v>
      </c>
      <c r="D97" s="293" t="n">
        <v>57.38085556030273</v>
      </c>
      <c r="E97" s="293" t="n">
        <v>100.6271133422852</v>
      </c>
      <c r="F97" s="293" t="n">
        <v>77.57920074462891</v>
      </c>
      <c r="G97" s="293" t="n">
        <v>188.6708526611328</v>
      </c>
      <c r="H97" s="293" t="n">
        <v>73.02028656005859</v>
      </c>
      <c r="I97" s="293" t="n">
        <v>23.70823097229004</v>
      </c>
      <c r="J97" s="293" t="n">
        <v>33.04526901245117</v>
      </c>
      <c r="K97" s="293">
        <f>'07_Backtest_CMD'!AL110</f>
        <v/>
      </c>
      <c r="M97" s="503" t="n">
        <v>42704</v>
      </c>
      <c r="N97" s="504">
        <f>IF(OR(D97="",D96=""),"",D97/D96-1)</f>
        <v/>
      </c>
      <c r="O97" s="504">
        <f>IF(OR(E97="",E96=""),"",E97/E96-1)</f>
        <v/>
      </c>
      <c r="P97" s="504">
        <f>IF(OR(F97="",F96=""),"",F97/F96-1)</f>
        <v/>
      </c>
      <c r="Q97" s="504">
        <f>IF(OR(G97="",G96=""),"",G97/G96-1)</f>
        <v/>
      </c>
      <c r="R97" s="504">
        <f>IF(OR(H97="",H96=""),"",H97/H96-1)</f>
        <v/>
      </c>
      <c r="S97" s="504">
        <f>IF(OR(I97="",I96=""),"",I97/I96-1)</f>
        <v/>
      </c>
      <c r="T97" s="504">
        <f>IF(OR(J97="",J96=""),"",J97/J96-1)</f>
        <v/>
      </c>
      <c r="U97" s="504">
        <f>IF(OR(K97="",K96=""),"",K97/K96-1)</f>
        <v/>
      </c>
    </row>
    <row r="98">
      <c r="C98" s="503" t="n">
        <v>42735</v>
      </c>
      <c r="D98" s="293" t="n">
        <v>58.61080932617188</v>
      </c>
      <c r="E98" s="293" t="n">
        <v>100.327033996582</v>
      </c>
      <c r="F98" s="293" t="n">
        <v>77.30295562744141</v>
      </c>
      <c r="G98" s="293" t="n">
        <v>192.49560546875</v>
      </c>
      <c r="H98" s="293" t="n">
        <v>73.0362548828125</v>
      </c>
      <c r="I98" s="293" t="n">
        <v>24.49737358093262</v>
      </c>
      <c r="J98" s="293" t="n">
        <v>33.90192031860352</v>
      </c>
      <c r="K98" s="293">
        <f>'07_Backtest_CMD'!AL111</f>
        <v/>
      </c>
      <c r="M98" s="503" t="n">
        <v>42735</v>
      </c>
      <c r="N98" s="504">
        <f>IF(OR(D98="",D97=""),"",D98/D97-1)</f>
        <v/>
      </c>
      <c r="O98" s="504">
        <f>IF(OR(E98="",E97=""),"",E98/E97-1)</f>
        <v/>
      </c>
      <c r="P98" s="504">
        <f>IF(OR(F98="",F97=""),"",F98/F97-1)</f>
        <v/>
      </c>
      <c r="Q98" s="504">
        <f>IF(OR(G98="",G97=""),"",G98/G97-1)</f>
        <v/>
      </c>
      <c r="R98" s="504">
        <f>IF(OR(H98="",H97=""),"",H98/H97-1)</f>
        <v/>
      </c>
      <c r="S98" s="504">
        <f>IF(OR(I98="",I97=""),"",I98/I97-1)</f>
        <v/>
      </c>
      <c r="T98" s="504">
        <f>IF(OR(J98="",J97=""),"",J98/J97-1)</f>
        <v/>
      </c>
      <c r="U98" s="504">
        <f>IF(OR(K98="",K97=""),"",K98/K97-1)</f>
        <v/>
      </c>
    </row>
    <row r="99">
      <c r="C99" s="503" t="n">
        <v>42766</v>
      </c>
      <c r="D99" s="293" t="n">
        <v>58.69606018066406</v>
      </c>
      <c r="E99" s="293" t="n">
        <v>100.7874374389648</v>
      </c>
      <c r="F99" s="293" t="n">
        <v>78.27082824707031</v>
      </c>
      <c r="G99" s="293" t="n">
        <v>195.940185546875</v>
      </c>
      <c r="H99" s="293" t="n">
        <v>73.0682373046875</v>
      </c>
      <c r="I99" s="293" t="n">
        <v>24.7210578918457</v>
      </c>
      <c r="J99" s="293" t="n">
        <v>34.1591911315918</v>
      </c>
      <c r="K99" s="293">
        <f>'07_Backtest_CMD'!AL112</f>
        <v/>
      </c>
      <c r="M99" s="503" t="n">
        <v>42766</v>
      </c>
      <c r="N99" s="504">
        <f>IF(OR(D99="",D98=""),"",D99/D98-1)</f>
        <v/>
      </c>
      <c r="O99" s="504">
        <f>IF(OR(E99="",E98=""),"",E99/E98-1)</f>
        <v/>
      </c>
      <c r="P99" s="504">
        <f>IF(OR(F99="",F98=""),"",F99/F98-1)</f>
        <v/>
      </c>
      <c r="Q99" s="504">
        <f>IF(OR(G99="",G98=""),"",G99/G98-1)</f>
        <v/>
      </c>
      <c r="R99" s="504">
        <f>IF(OR(H99="",H98=""),"",H99/H98-1)</f>
        <v/>
      </c>
      <c r="S99" s="504">
        <f>IF(OR(I99="",I98=""),"",I99/I98-1)</f>
        <v/>
      </c>
      <c r="T99" s="504">
        <f>IF(OR(J99="",J98=""),"",J99/J98-1)</f>
        <v/>
      </c>
      <c r="U99" s="504">
        <f>IF(OR(K99="",K98=""),"",K99/K98-1)</f>
        <v/>
      </c>
    </row>
    <row r="100">
      <c r="C100" s="503" t="n">
        <v>42794</v>
      </c>
      <c r="D100" s="293" t="n">
        <v>59.76197052001953</v>
      </c>
      <c r="E100" s="293" t="n">
        <v>101.8902359008789</v>
      </c>
      <c r="F100" s="293" t="n">
        <v>79.79684448242188</v>
      </c>
      <c r="G100" s="293" t="n">
        <v>203.6390075683594</v>
      </c>
      <c r="H100" s="293" t="n">
        <v>73.10497283935547</v>
      </c>
      <c r="I100" s="293" t="n">
        <v>25.70600891113281</v>
      </c>
      <c r="J100" s="293" t="n">
        <v>35.64588165283203</v>
      </c>
      <c r="K100" s="293">
        <f>'07_Backtest_CMD'!AL113</f>
        <v/>
      </c>
      <c r="M100" s="503" t="n">
        <v>42794</v>
      </c>
      <c r="N100" s="504">
        <f>IF(OR(D100="",D99=""),"",D100/D99-1)</f>
        <v/>
      </c>
      <c r="O100" s="504">
        <f>IF(OR(E100="",E99=""),"",E100/E99-1)</f>
        <v/>
      </c>
      <c r="P100" s="504">
        <f>IF(OR(F100="",F99=""),"",F100/F99-1)</f>
        <v/>
      </c>
      <c r="Q100" s="504">
        <f>IF(OR(G100="",G99=""),"",G100/G99-1)</f>
        <v/>
      </c>
      <c r="R100" s="504">
        <f>IF(OR(H100="",H99=""),"",H100/H99-1)</f>
        <v/>
      </c>
      <c r="S100" s="504">
        <f>IF(OR(I100="",I99=""),"",I100/I99-1)</f>
        <v/>
      </c>
      <c r="T100" s="504">
        <f>IF(OR(J100="",J99=""),"",J100/J99-1)</f>
        <v/>
      </c>
      <c r="U100" s="504">
        <f>IF(OR(K100="",K99=""),"",K100/K99-1)</f>
        <v/>
      </c>
    </row>
    <row r="101">
      <c r="C101" s="503" t="n">
        <v>42825</v>
      </c>
      <c r="D101" s="293" t="n">
        <v>59.3723258972168</v>
      </c>
      <c r="E101" s="293" t="n">
        <v>101.7320556640625</v>
      </c>
      <c r="F101" s="293" t="n">
        <v>79.02427673339844</v>
      </c>
      <c r="G101" s="293" t="n">
        <v>203.8935089111328</v>
      </c>
      <c r="H101" s="293" t="n">
        <v>73.09220123291016</v>
      </c>
      <c r="I101" s="293" t="n">
        <v>25.22307586669922</v>
      </c>
      <c r="J101" s="293" t="n">
        <v>35.6361198425293</v>
      </c>
      <c r="K101" s="293">
        <f>'07_Backtest_CMD'!AL114</f>
        <v/>
      </c>
      <c r="M101" s="503" t="n">
        <v>42825</v>
      </c>
      <c r="N101" s="504">
        <f>IF(OR(D101="",D100=""),"",D101/D100-1)</f>
        <v/>
      </c>
      <c r="O101" s="504">
        <f>IF(OR(E101="",E100=""),"",E101/E100-1)</f>
        <v/>
      </c>
      <c r="P101" s="504">
        <f>IF(OR(F101="",F100=""),"",F101/F100-1)</f>
        <v/>
      </c>
      <c r="Q101" s="504">
        <f>IF(OR(G101="",G100=""),"",G101/G100-1)</f>
        <v/>
      </c>
      <c r="R101" s="504">
        <f>IF(OR(H101="",H100=""),"",H101/H100-1)</f>
        <v/>
      </c>
      <c r="S101" s="504">
        <f>IF(OR(I101="",I100=""),"",I101/I100-1)</f>
        <v/>
      </c>
      <c r="T101" s="504">
        <f>IF(OR(J101="",J100=""),"",J101/J100-1)</f>
        <v/>
      </c>
      <c r="U101" s="504">
        <f>IF(OR(K101="",K100=""),"",K101/K100-1)</f>
        <v/>
      </c>
    </row>
    <row r="102">
      <c r="C102" s="503" t="n">
        <v>42855</v>
      </c>
      <c r="D102" s="293" t="n">
        <v>60.07882308959961</v>
      </c>
      <c r="E102" s="293" t="n">
        <v>103.0502471923828</v>
      </c>
      <c r="F102" s="293" t="n">
        <v>80.48174285888672</v>
      </c>
      <c r="G102" s="293" t="n">
        <v>205.9174194335938</v>
      </c>
      <c r="H102" s="293" t="n">
        <v>73.14655303955078</v>
      </c>
      <c r="I102" s="293" t="n">
        <v>25.8818531036377</v>
      </c>
      <c r="J102" s="293" t="n">
        <v>36.00565338134766</v>
      </c>
      <c r="K102" s="293">
        <f>'07_Backtest_CMD'!AL115</f>
        <v/>
      </c>
      <c r="M102" s="503" t="n">
        <v>42855</v>
      </c>
      <c r="N102" s="504">
        <f>IF(OR(D102="",D101=""),"",D102/D101-1)</f>
        <v/>
      </c>
      <c r="O102" s="504">
        <f>IF(OR(E102="",E101=""),"",E102/E101-1)</f>
        <v/>
      </c>
      <c r="P102" s="504">
        <f>IF(OR(F102="",F101=""),"",F102/F101-1)</f>
        <v/>
      </c>
      <c r="Q102" s="504">
        <f>IF(OR(G102="",G101=""),"",G102/G101-1)</f>
        <v/>
      </c>
      <c r="R102" s="504">
        <f>IF(OR(H102="",H101=""),"",H102/H101-1)</f>
        <v/>
      </c>
      <c r="S102" s="504">
        <f>IF(OR(I102="",I101=""),"",I102/I101-1)</f>
        <v/>
      </c>
      <c r="T102" s="504">
        <f>IF(OR(J102="",J101=""),"",J102/J101-1)</f>
        <v/>
      </c>
      <c r="U102" s="504">
        <f>IF(OR(K102="",K101=""),"",K102/K101-1)</f>
        <v/>
      </c>
    </row>
    <row r="103">
      <c r="C103" s="503" t="n">
        <v>42886</v>
      </c>
      <c r="D103" s="293" t="n">
        <v>61.56265640258789</v>
      </c>
      <c r="E103" s="293" t="n">
        <v>104.0189361572266</v>
      </c>
      <c r="F103" s="293" t="n">
        <v>83.05546569824219</v>
      </c>
      <c r="G103" s="293" t="n">
        <v>208.8235015869141</v>
      </c>
      <c r="H103" s="293" t="n">
        <v>73.15778350830078</v>
      </c>
      <c r="I103" s="293" t="n">
        <v>26.3619384765625</v>
      </c>
      <c r="J103" s="293" t="n">
        <v>36.98748779296875</v>
      </c>
      <c r="K103" s="293">
        <f>'07_Backtest_CMD'!AL116</f>
        <v/>
      </c>
      <c r="M103" s="503" t="n">
        <v>42886</v>
      </c>
      <c r="N103" s="504">
        <f>IF(OR(D103="",D102=""),"",D103/D102-1)</f>
        <v/>
      </c>
      <c r="O103" s="504">
        <f>IF(OR(E103="",E102=""),"",E103/E102-1)</f>
        <v/>
      </c>
      <c r="P103" s="504">
        <f>IF(OR(F103="",F102=""),"",F103/F102-1)</f>
        <v/>
      </c>
      <c r="Q103" s="504">
        <f>IF(OR(G103="",G102=""),"",G103/G102-1)</f>
        <v/>
      </c>
      <c r="R103" s="504">
        <f>IF(OR(H103="",H102=""),"",H103/H102-1)</f>
        <v/>
      </c>
      <c r="S103" s="504">
        <f>IF(OR(I103="",I102=""),"",I103/I102-1)</f>
        <v/>
      </c>
      <c r="T103" s="504">
        <f>IF(OR(J103="",J102=""),"",J103/J102-1)</f>
        <v/>
      </c>
      <c r="U103" s="504">
        <f>IF(OR(K103="",K102=""),"",K103/K102-1)</f>
        <v/>
      </c>
    </row>
    <row r="104">
      <c r="C104" s="503" t="n">
        <v>42916</v>
      </c>
      <c r="D104" s="293" t="n">
        <v>62.27081680297852</v>
      </c>
      <c r="E104" s="293" t="n">
        <v>103.7041244506836</v>
      </c>
      <c r="F104" s="293" t="n">
        <v>84.09479522705078</v>
      </c>
      <c r="G104" s="293" t="n">
        <v>210.1547241210938</v>
      </c>
      <c r="H104" s="293" t="n">
        <v>73.23305511474609</v>
      </c>
      <c r="I104" s="293" t="n">
        <v>26.7662353515625</v>
      </c>
      <c r="J104" s="293" t="n">
        <v>36.87374877929688</v>
      </c>
      <c r="K104" s="293">
        <f>'07_Backtest_CMD'!AL117</f>
        <v/>
      </c>
      <c r="M104" s="503" t="n">
        <v>42916</v>
      </c>
      <c r="N104" s="504">
        <f>IF(OR(D104="",D103=""),"",D104/D103-1)</f>
        <v/>
      </c>
      <c r="O104" s="504">
        <f>IF(OR(E104="",E103=""),"",E104/E103-1)</f>
        <v/>
      </c>
      <c r="P104" s="504">
        <f>IF(OR(F104="",F103=""),"",F104/F103-1)</f>
        <v/>
      </c>
      <c r="Q104" s="504">
        <f>IF(OR(G104="",G103=""),"",G104/G103-1)</f>
        <v/>
      </c>
      <c r="R104" s="504">
        <f>IF(OR(H104="",H103=""),"",H104/H103-1)</f>
        <v/>
      </c>
      <c r="S104" s="504">
        <f>IF(OR(I104="",I103=""),"",I104/I103-1)</f>
        <v/>
      </c>
      <c r="T104" s="504">
        <f>IF(OR(J104="",J103=""),"",J104/J103-1)</f>
        <v/>
      </c>
      <c r="U104" s="504">
        <f>IF(OR(K104="",K103=""),"",K104/K103-1)</f>
        <v/>
      </c>
    </row>
    <row r="105">
      <c r="C105" s="503" t="n">
        <v>42947</v>
      </c>
      <c r="D105" s="293" t="n">
        <v>62.75701904296875</v>
      </c>
      <c r="E105" s="293" t="n">
        <v>103.8068695068359</v>
      </c>
      <c r="F105" s="293" t="n">
        <v>83.03511810302734</v>
      </c>
      <c r="G105" s="293" t="n">
        <v>214.4742889404297</v>
      </c>
      <c r="H105" s="293" t="n">
        <v>73.25704956054688</v>
      </c>
      <c r="I105" s="293" t="n">
        <v>27.38891410827637</v>
      </c>
      <c r="J105" s="293" t="n">
        <v>37.38001251220703</v>
      </c>
      <c r="K105" s="293">
        <f>'07_Backtest_CMD'!AL118</f>
        <v/>
      </c>
      <c r="M105" s="503" t="n">
        <v>42947</v>
      </c>
      <c r="N105" s="504">
        <f>IF(OR(D105="",D104=""),"",D105/D104-1)</f>
        <v/>
      </c>
      <c r="O105" s="504">
        <f>IF(OR(E105="",E104=""),"",E105/E104-1)</f>
        <v/>
      </c>
      <c r="P105" s="504">
        <f>IF(OR(F105="",F104=""),"",F105/F104-1)</f>
        <v/>
      </c>
      <c r="Q105" s="504">
        <f>IF(OR(G105="",G104=""),"",G105/G104-1)</f>
        <v/>
      </c>
      <c r="R105" s="504">
        <f>IF(OR(H105="",H104=""),"",H105/H104-1)</f>
        <v/>
      </c>
      <c r="S105" s="504">
        <f>IF(OR(I105="",I104=""),"",I105/I104-1)</f>
        <v/>
      </c>
      <c r="T105" s="504">
        <f>IF(OR(J105="",J104=""),"",J105/J104-1)</f>
        <v/>
      </c>
      <c r="U105" s="504">
        <f>IF(OR(K105="",K104=""),"",K105/K104-1)</f>
        <v/>
      </c>
    </row>
    <row r="106">
      <c r="C106" s="503" t="n">
        <v>42978</v>
      </c>
      <c r="D106" s="293" t="n">
        <v>63.48881530761719</v>
      </c>
      <c r="E106" s="293" t="n">
        <v>105.9811706542969</v>
      </c>
      <c r="F106" s="293" t="n">
        <v>87.09488677978516</v>
      </c>
      <c r="G106" s="293" t="n">
        <v>215.1001129150391</v>
      </c>
      <c r="H106" s="293" t="n">
        <v>73.34043884277344</v>
      </c>
      <c r="I106" s="293" t="n">
        <v>27.68040466308594</v>
      </c>
      <c r="J106" s="293" t="n">
        <v>37.66423797607422</v>
      </c>
      <c r="K106" s="293">
        <f>'07_Backtest_CMD'!AL119</f>
        <v/>
      </c>
      <c r="M106" s="503" t="n">
        <v>42978</v>
      </c>
      <c r="N106" s="504">
        <f>IF(OR(D106="",D105=""),"",D106/D105-1)</f>
        <v/>
      </c>
      <c r="O106" s="504">
        <f>IF(OR(E106="",E105=""),"",E106/E105-1)</f>
        <v/>
      </c>
      <c r="P106" s="504">
        <f>IF(OR(F106="",F105=""),"",F106/F105-1)</f>
        <v/>
      </c>
      <c r="Q106" s="504">
        <f>IF(OR(G106="",G105=""),"",G106/G105-1)</f>
        <v/>
      </c>
      <c r="R106" s="504">
        <f>IF(OR(H106="",H105=""),"",H106/H105-1)</f>
        <v/>
      </c>
      <c r="S106" s="504">
        <f>IF(OR(I106="",I105=""),"",I106/I105-1)</f>
        <v/>
      </c>
      <c r="T106" s="504">
        <f>IF(OR(J106="",J105=""),"",J106/J105-1)</f>
        <v/>
      </c>
      <c r="U106" s="504">
        <f>IF(OR(K106="",K105=""),"",K106/K105-1)</f>
        <v/>
      </c>
    </row>
    <row r="107">
      <c r="C107" s="503" t="n">
        <v>43008</v>
      </c>
      <c r="D107" s="293" t="n">
        <v>63.49622344970703</v>
      </c>
      <c r="E107" s="293" t="n">
        <v>104.2023162841797</v>
      </c>
      <c r="F107" s="293" t="n">
        <v>84.1600341796875</v>
      </c>
      <c r="G107" s="293" t="n">
        <v>219.4342193603516</v>
      </c>
      <c r="H107" s="293" t="n">
        <v>73.39337921142578</v>
      </c>
      <c r="I107" s="293" t="n">
        <v>28.01581954956055</v>
      </c>
      <c r="J107" s="293" t="n">
        <v>37.95705032348633</v>
      </c>
      <c r="K107" s="293">
        <f>'07_Backtest_CMD'!AL120</f>
        <v/>
      </c>
      <c r="M107" s="503" t="n">
        <v>43008</v>
      </c>
      <c r="N107" s="504">
        <f>IF(OR(D107="",D106=""),"",D107/D106-1)</f>
        <v/>
      </c>
      <c r="O107" s="504">
        <f>IF(OR(E107="",E106=""),"",E107/E106-1)</f>
        <v/>
      </c>
      <c r="P107" s="504">
        <f>IF(OR(F107="",F106=""),"",F107/F106-1)</f>
        <v/>
      </c>
      <c r="Q107" s="504">
        <f>IF(OR(G107="",G106=""),"",G107/G106-1)</f>
        <v/>
      </c>
      <c r="R107" s="504">
        <f>IF(OR(H107="",H106=""),"",H107/H106-1)</f>
        <v/>
      </c>
      <c r="S107" s="504">
        <f>IF(OR(I107="",I106=""),"",I107/I106-1)</f>
        <v/>
      </c>
      <c r="T107" s="504">
        <f>IF(OR(J107="",J106=""),"",J107/J106-1)</f>
        <v/>
      </c>
      <c r="U107" s="504">
        <f>IF(OR(K107="",K106=""),"",K107/K106-1)</f>
        <v/>
      </c>
    </row>
    <row r="108">
      <c r="C108" s="503" t="n">
        <v>43039</v>
      </c>
      <c r="D108" s="293" t="n">
        <v>63.94615173339844</v>
      </c>
      <c r="E108" s="293" t="n">
        <v>104.109001159668</v>
      </c>
      <c r="F108" s="293" t="n">
        <v>84.23931121826172</v>
      </c>
      <c r="G108" s="293" t="n">
        <v>224.6049499511719</v>
      </c>
      <c r="H108" s="293" t="n">
        <v>73.44475555419922</v>
      </c>
      <c r="I108" s="293" t="n">
        <v>30.1953239440918</v>
      </c>
      <c r="J108" s="293" t="n">
        <v>38.63966751098633</v>
      </c>
      <c r="K108" s="293">
        <f>'07_Backtest_CMD'!AL121</f>
        <v/>
      </c>
      <c r="M108" s="503" t="n">
        <v>43039</v>
      </c>
      <c r="N108" s="504">
        <f>IF(OR(D108="",D107=""),"",D108/D107-1)</f>
        <v/>
      </c>
      <c r="O108" s="504">
        <f>IF(OR(E108="",E107=""),"",E108/E107-1)</f>
        <v/>
      </c>
      <c r="P108" s="504">
        <f>IF(OR(F108="",F107=""),"",F108/F107-1)</f>
        <v/>
      </c>
      <c r="Q108" s="504">
        <f>IF(OR(G108="",G107=""),"",G108/G107-1)</f>
        <v/>
      </c>
      <c r="R108" s="504">
        <f>IF(OR(H108="",H107=""),"",H108/H107-1)</f>
        <v/>
      </c>
      <c r="S108" s="504">
        <f>IF(OR(I108="",I107=""),"",I108/I107-1)</f>
        <v/>
      </c>
      <c r="T108" s="504">
        <f>IF(OR(J108="",J107=""),"",J108/J107-1)</f>
        <v/>
      </c>
      <c r="U108" s="504">
        <f>IF(OR(K108="",K107=""),"",K108/K107-1)</f>
        <v/>
      </c>
    </row>
    <row r="109">
      <c r="C109" s="503" t="n">
        <v>43069</v>
      </c>
      <c r="D109" s="293" t="n">
        <v>64.05474853515625</v>
      </c>
      <c r="E109" s="293" t="n">
        <v>103.9550018310547</v>
      </c>
      <c r="F109" s="293" t="n">
        <v>85.37839508056641</v>
      </c>
      <c r="G109" s="293" t="n">
        <v>231.4702453613281</v>
      </c>
      <c r="H109" s="293" t="n">
        <v>73.48492431640625</v>
      </c>
      <c r="I109" s="293" t="n">
        <v>30.98449325561523</v>
      </c>
      <c r="J109" s="293" t="n">
        <v>40.13967514038086</v>
      </c>
      <c r="K109" s="293">
        <f>'07_Backtest_CMD'!AL122</f>
        <v/>
      </c>
      <c r="M109" s="503" t="n">
        <v>43069</v>
      </c>
      <c r="N109" s="504">
        <f>IF(OR(D109="",D108=""),"",D109/D108-1)</f>
        <v/>
      </c>
      <c r="O109" s="504">
        <f>IF(OR(E109="",E108=""),"",E109/E108-1)</f>
        <v/>
      </c>
      <c r="P109" s="504">
        <f>IF(OR(F109="",F108=""),"",F109/F108-1)</f>
        <v/>
      </c>
      <c r="Q109" s="504">
        <f>IF(OR(G109="",G108=""),"",G109/G108-1)</f>
        <v/>
      </c>
      <c r="R109" s="504">
        <f>IF(OR(H109="",H108=""),"",H109/H108-1)</f>
        <v/>
      </c>
      <c r="S109" s="504">
        <f>IF(OR(I109="",I108=""),"",I109/I108-1)</f>
        <v/>
      </c>
      <c r="T109" s="504">
        <f>IF(OR(J109="",J108=""),"",J109/J108-1)</f>
        <v/>
      </c>
      <c r="U109" s="504">
        <f>IF(OR(K109="",K108=""),"",K109/K108-1)</f>
        <v/>
      </c>
    </row>
    <row r="110">
      <c r="C110" s="503" t="n">
        <v>43100</v>
      </c>
      <c r="D110" s="293" t="n">
        <v>65.46643829345703</v>
      </c>
      <c r="E110" s="293" t="n">
        <v>104.554817199707</v>
      </c>
      <c r="F110" s="293" t="n">
        <v>88.07998657226562</v>
      </c>
      <c r="G110" s="293" t="n">
        <v>234.2775268554688</v>
      </c>
      <c r="H110" s="293" t="n">
        <v>73.53956604003906</v>
      </c>
      <c r="I110" s="293" t="n">
        <v>31.29798126220703</v>
      </c>
      <c r="J110" s="293" t="n">
        <v>39.7773551940918</v>
      </c>
      <c r="K110" s="293">
        <f>'07_Backtest_CMD'!AL123</f>
        <v/>
      </c>
      <c r="M110" s="503" t="n">
        <v>43100</v>
      </c>
      <c r="N110" s="504">
        <f>IF(OR(D110="",D109=""),"",D110/D109-1)</f>
        <v/>
      </c>
      <c r="O110" s="504">
        <f>IF(OR(E110="",E109=""),"",E110/E109-1)</f>
        <v/>
      </c>
      <c r="P110" s="504">
        <f>IF(OR(F110="",F109=""),"",F110/F109-1)</f>
        <v/>
      </c>
      <c r="Q110" s="504">
        <f>IF(OR(G110="",G109=""),"",G110/G109-1)</f>
        <v/>
      </c>
      <c r="R110" s="504">
        <f>IF(OR(H110="",H109=""),"",H110/H109-1)</f>
        <v/>
      </c>
      <c r="S110" s="504">
        <f>IF(OR(I110="",I109=""),"",I110/I109-1)</f>
        <v/>
      </c>
      <c r="T110" s="504">
        <f>IF(OR(J110="",J109=""),"",J110/J109-1)</f>
        <v/>
      </c>
      <c r="U110" s="504">
        <f>IF(OR(K110="",K109=""),"",K110/K109-1)</f>
        <v/>
      </c>
    </row>
    <row r="111">
      <c r="C111" s="503" t="n">
        <v>43131</v>
      </c>
      <c r="D111" s="293" t="n">
        <v>64.74849700927734</v>
      </c>
      <c r="E111" s="293" t="n">
        <v>101.8334808349609</v>
      </c>
      <c r="F111" s="293" t="n">
        <v>84.3162841796875</v>
      </c>
      <c r="G111" s="293" t="n">
        <v>247.4812316894531</v>
      </c>
      <c r="H111" s="293" t="n">
        <v>73.6361083984375</v>
      </c>
      <c r="I111" s="293" t="n">
        <v>33.58097457885742</v>
      </c>
      <c r="J111" s="293" t="n">
        <v>40.74810409545898</v>
      </c>
      <c r="K111" s="293">
        <f>'07_Backtest_CMD'!AL124</f>
        <v/>
      </c>
      <c r="M111" s="503" t="n">
        <v>43131</v>
      </c>
      <c r="N111" s="504">
        <f>IF(OR(D111="",D110=""),"",D111/D110-1)</f>
        <v/>
      </c>
      <c r="O111" s="504">
        <f>IF(OR(E111="",E110=""),"",E111/E110-1)</f>
        <v/>
      </c>
      <c r="P111" s="504">
        <f>IF(OR(F111="",F110=""),"",F111/F110-1)</f>
        <v/>
      </c>
      <c r="Q111" s="504">
        <f>IF(OR(G111="",G110=""),"",G111/G110-1)</f>
        <v/>
      </c>
      <c r="R111" s="504">
        <f>IF(OR(H111="",H110=""),"",H111/H110-1)</f>
        <v/>
      </c>
      <c r="S111" s="504">
        <f>IF(OR(I111="",I110=""),"",I111/I110-1)</f>
        <v/>
      </c>
      <c r="T111" s="504">
        <f>IF(OR(J111="",J110=""),"",J111/J110-1)</f>
        <v/>
      </c>
      <c r="U111" s="504">
        <f>IF(OR(K111="",K110=""),"",K111/K110-1)</f>
        <v/>
      </c>
    </row>
    <row r="112">
      <c r="C112" s="503" t="n">
        <v>43159</v>
      </c>
      <c r="D112" s="293" t="n">
        <v>62.28260040283203</v>
      </c>
      <c r="E112" s="293" t="n">
        <v>100.2397232055664</v>
      </c>
      <c r="F112" s="293" t="n">
        <v>80.6981201171875</v>
      </c>
      <c r="G112" s="293" t="n">
        <v>238.4826049804688</v>
      </c>
      <c r="H112" s="293" t="n">
        <v>73.69732666015625</v>
      </c>
      <c r="I112" s="293" t="n">
        <v>33.41271591186523</v>
      </c>
      <c r="J112" s="293" t="n">
        <v>38.98391342163086</v>
      </c>
      <c r="K112" s="293">
        <f>'07_Backtest_CMD'!AL125</f>
        <v/>
      </c>
      <c r="M112" s="503" t="n">
        <v>43159</v>
      </c>
      <c r="N112" s="504">
        <f>IF(OR(D112="",D111=""),"",D112/D111-1)</f>
        <v/>
      </c>
      <c r="O112" s="504">
        <f>IF(OR(E112="",E111=""),"",E112/E111-1)</f>
        <v/>
      </c>
      <c r="P112" s="504">
        <f>IF(OR(F112="",F111=""),"",F112/F111-1)</f>
        <v/>
      </c>
      <c r="Q112" s="504">
        <f>IF(OR(G112="",G111=""),"",G112/G111-1)</f>
        <v/>
      </c>
      <c r="R112" s="504">
        <f>IF(OR(H112="",H111=""),"",H112/H111-1)</f>
        <v/>
      </c>
      <c r="S112" s="504">
        <f>IF(OR(I112="",I111=""),"",I112/I111-1)</f>
        <v/>
      </c>
      <c r="T112" s="504">
        <f>IF(OR(J112="",J111=""),"",J112/J111-1)</f>
        <v/>
      </c>
      <c r="U112" s="504">
        <f>IF(OR(K112="",K111=""),"",K112/K111-1)</f>
        <v/>
      </c>
    </row>
    <row r="113">
      <c r="C113" s="503" t="n">
        <v>43190</v>
      </c>
      <c r="D113" s="293" t="n">
        <v>62.86958312988281</v>
      </c>
      <c r="E113" s="293" t="n">
        <v>102.0055847167969</v>
      </c>
      <c r="F113" s="293" t="n">
        <v>84.01638793945312</v>
      </c>
      <c r="G113" s="293" t="n">
        <v>231.94580078125</v>
      </c>
      <c r="H113" s="293" t="n">
        <v>73.79326629638672</v>
      </c>
      <c r="I113" s="293" t="n">
        <v>32.09147262573242</v>
      </c>
      <c r="J113" s="293" t="n">
        <v>39.33056259155273</v>
      </c>
      <c r="K113" s="293">
        <f>'07_Backtest_CMD'!AL126</f>
        <v/>
      </c>
      <c r="M113" s="503" t="n">
        <v>43190</v>
      </c>
      <c r="N113" s="504">
        <f>IF(OR(D113="",D112=""),"",D113/D112-1)</f>
        <v/>
      </c>
      <c r="O113" s="504">
        <f>IF(OR(E113="",E112=""),"",E113/E112-1)</f>
        <v/>
      </c>
      <c r="P113" s="504">
        <f>IF(OR(F113="",F112=""),"",F113/F112-1)</f>
        <v/>
      </c>
      <c r="Q113" s="504">
        <f>IF(OR(G113="",G112=""),"",G113/G112-1)</f>
        <v/>
      </c>
      <c r="R113" s="504">
        <f>IF(OR(H113="",H112=""),"",H113/H112-1)</f>
        <v/>
      </c>
      <c r="S113" s="504">
        <f>IF(OR(I113="",I112=""),"",I113/I112-1)</f>
        <v/>
      </c>
      <c r="T113" s="504">
        <f>IF(OR(J113="",J112=""),"",J113/J112-1)</f>
        <v/>
      </c>
      <c r="U113" s="504">
        <f>IF(OR(K113="",K112=""),"",K113/K112-1)</f>
        <v/>
      </c>
    </row>
    <row r="114">
      <c r="C114" s="503" t="n">
        <v>43220</v>
      </c>
      <c r="D114" s="293" t="n">
        <v>61.31645965576172</v>
      </c>
      <c r="E114" s="293" t="n">
        <v>100.3682022094727</v>
      </c>
      <c r="F114" s="293" t="n">
        <v>81.69239044189453</v>
      </c>
      <c r="G114" s="293" t="n">
        <v>233.1444702148438</v>
      </c>
      <c r="H114" s="293" t="n">
        <v>73.86994171142578</v>
      </c>
      <c r="I114" s="293" t="n">
        <v>32.54524993896484</v>
      </c>
      <c r="J114" s="293" t="n">
        <v>39.09064483642578</v>
      </c>
      <c r="K114" s="293">
        <f>'07_Backtest_CMD'!AL127</f>
        <v/>
      </c>
      <c r="M114" s="503" t="n">
        <v>43220</v>
      </c>
      <c r="N114" s="504">
        <f>IF(OR(D114="",D113=""),"",D114/D113-1)</f>
        <v/>
      </c>
      <c r="O114" s="504">
        <f>IF(OR(E114="",E113=""),"",E114/E113-1)</f>
        <v/>
      </c>
      <c r="P114" s="504">
        <f>IF(OR(F114="",F113=""),"",F114/F113-1)</f>
        <v/>
      </c>
      <c r="Q114" s="504">
        <f>IF(OR(G114="",G113=""),"",G114/G113-1)</f>
        <v/>
      </c>
      <c r="R114" s="504">
        <f>IF(OR(H114="",H113=""),"",H114/H113-1)</f>
        <v/>
      </c>
      <c r="S114" s="504">
        <f>IF(OR(I114="",I113=""),"",I114/I113-1)</f>
        <v/>
      </c>
      <c r="T114" s="504">
        <f>IF(OR(J114="",J113=""),"",J114/J113-1)</f>
        <v/>
      </c>
      <c r="U114" s="504">
        <f>IF(OR(K114="",K113=""),"",K114/K113-1)</f>
        <v/>
      </c>
    </row>
    <row r="115">
      <c r="C115" s="503" t="n">
        <v>43251</v>
      </c>
      <c r="D115" s="293" t="n">
        <v>61.62773513793945</v>
      </c>
      <c r="E115" s="293" t="n">
        <v>101.5682373046875</v>
      </c>
      <c r="F115" s="293" t="n">
        <v>83.5985107421875</v>
      </c>
      <c r="G115" s="293" t="n">
        <v>238.8119964599609</v>
      </c>
      <c r="H115" s="293" t="n">
        <v>73.98061370849609</v>
      </c>
      <c r="I115" s="293" t="n">
        <v>33.83181762695312</v>
      </c>
      <c r="J115" s="293" t="n">
        <v>39.34548950195312</v>
      </c>
      <c r="K115" s="293">
        <f>'07_Backtest_CMD'!AL128</f>
        <v/>
      </c>
      <c r="M115" s="503" t="n">
        <v>43251</v>
      </c>
      <c r="N115" s="504">
        <f>IF(OR(D115="",D114=""),"",D115/D114-1)</f>
        <v/>
      </c>
      <c r="O115" s="504">
        <f>IF(OR(E115="",E114=""),"",E115/E114-1)</f>
        <v/>
      </c>
      <c r="P115" s="504">
        <f>IF(OR(F115="",F114=""),"",F115/F114-1)</f>
        <v/>
      </c>
      <c r="Q115" s="504">
        <f>IF(OR(G115="",G114=""),"",G115/G114-1)</f>
        <v/>
      </c>
      <c r="R115" s="504">
        <f>IF(OR(H115="",H114=""),"",H115/H114-1)</f>
        <v/>
      </c>
      <c r="S115" s="504">
        <f>IF(OR(I115="",I114=""),"",I115/I114-1)</f>
        <v/>
      </c>
      <c r="T115" s="504">
        <f>IF(OR(J115="",J114=""),"",J115/J114-1)</f>
        <v/>
      </c>
      <c r="U115" s="504">
        <f>IF(OR(K115="",K114=""),"",K115/K114-1)</f>
        <v/>
      </c>
    </row>
    <row r="116">
      <c r="C116" s="503" t="n">
        <v>43281</v>
      </c>
      <c r="D116" s="293" t="n">
        <v>60.94501113891602</v>
      </c>
      <c r="E116" s="293" t="n">
        <v>101.8434600830078</v>
      </c>
      <c r="F116" s="293" t="n">
        <v>84.72998046875</v>
      </c>
      <c r="G116" s="293" t="n">
        <v>240.1853790283203</v>
      </c>
      <c r="H116" s="293" t="n">
        <v>74.09064483642578</v>
      </c>
      <c r="I116" s="293" t="n">
        <v>33.82779693603516</v>
      </c>
      <c r="J116" s="293" t="n">
        <v>39.91531372070312</v>
      </c>
      <c r="K116" s="293">
        <f>'07_Backtest_CMD'!AL129</f>
        <v/>
      </c>
      <c r="M116" s="503" t="n">
        <v>43281</v>
      </c>
      <c r="N116" s="504">
        <f>IF(OR(D116="",D115=""),"",D116/D115-1)</f>
        <v/>
      </c>
      <c r="O116" s="504">
        <f>IF(OR(E116="",E115=""),"",E116/E115-1)</f>
        <v/>
      </c>
      <c r="P116" s="504">
        <f>IF(OR(F116="",F115=""),"",F116/F115-1)</f>
        <v/>
      </c>
      <c r="Q116" s="504">
        <f>IF(OR(G116="",G115=""),"",G116/G115-1)</f>
        <v/>
      </c>
      <c r="R116" s="504">
        <f>IF(OR(H116="",H115=""),"",H116/H115-1)</f>
        <v/>
      </c>
      <c r="S116" s="504">
        <f>IF(OR(I116="",I115=""),"",I116/I115-1)</f>
        <v/>
      </c>
      <c r="T116" s="504">
        <f>IF(OR(J116="",J115=""),"",J116/J115-1)</f>
        <v/>
      </c>
      <c r="U116" s="504">
        <f>IF(OR(K116="",K115=""),"",K116/K115-1)</f>
        <v/>
      </c>
    </row>
    <row r="117">
      <c r="C117" s="503" t="n">
        <v>43312</v>
      </c>
      <c r="D117" s="293" t="n">
        <v>62.26847457885742</v>
      </c>
      <c r="E117" s="293" t="n">
        <v>100.9417572021484</v>
      </c>
      <c r="F117" s="293" t="n">
        <v>82.85397338867188</v>
      </c>
      <c r="G117" s="293" t="n">
        <v>249.0834197998047</v>
      </c>
      <c r="H117" s="293" t="n">
        <v>74.19351959228516</v>
      </c>
      <c r="I117" s="293" t="n">
        <v>35.02386856079102</v>
      </c>
      <c r="J117" s="293" t="n">
        <v>41.32939529418945</v>
      </c>
      <c r="K117" s="293">
        <f>'07_Backtest_CMD'!AL130</f>
        <v/>
      </c>
      <c r="M117" s="503" t="n">
        <v>43312</v>
      </c>
      <c r="N117" s="504">
        <f>IF(OR(D117="",D116=""),"",D117/D116-1)</f>
        <v/>
      </c>
      <c r="O117" s="504">
        <f>IF(OR(E117="",E116=""),"",E117/E116-1)</f>
        <v/>
      </c>
      <c r="P117" s="504">
        <f>IF(OR(F117="",F116=""),"",F117/F116-1)</f>
        <v/>
      </c>
      <c r="Q117" s="504">
        <f>IF(OR(G117="",G116=""),"",G117/G116-1)</f>
        <v/>
      </c>
      <c r="R117" s="504">
        <f>IF(OR(H117="",H116=""),"",H117/H116-1)</f>
        <v/>
      </c>
      <c r="S117" s="504">
        <f>IF(OR(I117="",I116=""),"",I117/I116-1)</f>
        <v/>
      </c>
      <c r="T117" s="504">
        <f>IF(OR(J117="",J116=""),"",J117/J116-1)</f>
        <v/>
      </c>
      <c r="U117" s="504">
        <f>IF(OR(K117="",K116=""),"",K117/K116-1)</f>
        <v/>
      </c>
    </row>
    <row r="118">
      <c r="C118" s="503" t="n">
        <v>43343</v>
      </c>
      <c r="D118" s="293" t="n">
        <v>62.06655883789062</v>
      </c>
      <c r="E118" s="293" t="n">
        <v>102.1379241943359</v>
      </c>
      <c r="F118" s="293" t="n">
        <v>84.22032165527344</v>
      </c>
      <c r="G118" s="293" t="n">
        <v>257.0340576171875</v>
      </c>
      <c r="H118" s="293" t="n">
        <v>74.31121063232422</v>
      </c>
      <c r="I118" s="293" t="n">
        <v>36.58515548706055</v>
      </c>
      <c r="J118" s="293" t="n">
        <v>42.06074523925781</v>
      </c>
      <c r="K118" s="293">
        <f>'07_Backtest_CMD'!AL131</f>
        <v/>
      </c>
      <c r="M118" s="503" t="n">
        <v>43343</v>
      </c>
      <c r="N118" s="504">
        <f>IF(OR(D118="",D117=""),"",D118/D117-1)</f>
        <v/>
      </c>
      <c r="O118" s="504">
        <f>IF(OR(E118="",E117=""),"",E118/E117-1)</f>
        <v/>
      </c>
      <c r="P118" s="504">
        <f>IF(OR(F118="",F117=""),"",F118/F117-1)</f>
        <v/>
      </c>
      <c r="Q118" s="504">
        <f>IF(OR(G118="",G117=""),"",G118/G117-1)</f>
        <v/>
      </c>
      <c r="R118" s="504">
        <f>IF(OR(H118="",H117=""),"",H118/H117-1)</f>
        <v/>
      </c>
      <c r="S118" s="504">
        <f>IF(OR(I118="",I117=""),"",I118/I117-1)</f>
        <v/>
      </c>
      <c r="T118" s="504">
        <f>IF(OR(J118="",J117=""),"",J118/J117-1)</f>
        <v/>
      </c>
      <c r="U118" s="504">
        <f>IF(OR(K118="",K117=""),"",K118/K117-1)</f>
        <v/>
      </c>
    </row>
    <row r="119">
      <c r="C119" s="503" t="n">
        <v>43373</v>
      </c>
      <c r="D119" s="293" t="n">
        <v>61.8956298828125</v>
      </c>
      <c r="E119" s="293" t="n">
        <v>100.2563018798828</v>
      </c>
      <c r="F119" s="293" t="n">
        <v>80.76448059082031</v>
      </c>
      <c r="G119" s="293" t="n">
        <v>258.5623168945312</v>
      </c>
      <c r="H119" s="293" t="n">
        <v>74.41518402099609</v>
      </c>
      <c r="I119" s="293" t="n">
        <v>37.08518218994141</v>
      </c>
      <c r="J119" s="293" t="n">
        <v>41.90938186645508</v>
      </c>
      <c r="K119" s="293">
        <f>'07_Backtest_CMD'!AL132</f>
        <v/>
      </c>
      <c r="M119" s="503" t="n">
        <v>43373</v>
      </c>
      <c r="N119" s="504">
        <f>IF(OR(D119="",D118=""),"",D119/D118-1)</f>
        <v/>
      </c>
      <c r="O119" s="504">
        <f>IF(OR(E119="",E118=""),"",E119/E118-1)</f>
        <v/>
      </c>
      <c r="P119" s="504">
        <f>IF(OR(F119="",F118=""),"",F119/F118-1)</f>
        <v/>
      </c>
      <c r="Q119" s="504">
        <f>IF(OR(G119="",G118=""),"",G119/G118-1)</f>
        <v/>
      </c>
      <c r="R119" s="504">
        <f>IF(OR(H119="",H118=""),"",H119/H118-1)</f>
        <v/>
      </c>
      <c r="S119" s="504">
        <f>IF(OR(I119="",I118=""),"",I119/I118-1)</f>
        <v/>
      </c>
      <c r="T119" s="504">
        <f>IF(OR(J119="",J118=""),"",J119/J118-1)</f>
        <v/>
      </c>
      <c r="U119" s="504">
        <f>IF(OR(K119="",K118=""),"",K119/K118-1)</f>
        <v/>
      </c>
    </row>
    <row r="120">
      <c r="C120" s="503" t="n">
        <v>43404</v>
      </c>
      <c r="D120" s="293" t="n">
        <v>59.67743301391602</v>
      </c>
      <c r="E120" s="293" t="n">
        <v>99.17104339599609</v>
      </c>
      <c r="F120" s="293" t="n">
        <v>77.04293823242188</v>
      </c>
      <c r="G120" s="293" t="n">
        <v>240.6945953369141</v>
      </c>
      <c r="H120" s="293" t="n">
        <v>74.54212951660156</v>
      </c>
      <c r="I120" s="293" t="n">
        <v>33.44847869873047</v>
      </c>
      <c r="J120" s="293" t="n">
        <v>40.6875</v>
      </c>
      <c r="K120" s="293">
        <f>'07_Backtest_CMD'!AL133</f>
        <v/>
      </c>
      <c r="M120" s="503" t="n">
        <v>43404</v>
      </c>
      <c r="N120" s="504">
        <f>IF(OR(D120="",D119=""),"",D120/D119-1)</f>
        <v/>
      </c>
      <c r="O120" s="504">
        <f>IF(OR(E120="",E119=""),"",E120/E119-1)</f>
        <v/>
      </c>
      <c r="P120" s="504">
        <f>IF(OR(F120="",F119=""),"",F120/F119-1)</f>
        <v/>
      </c>
      <c r="Q120" s="504">
        <f>IF(OR(G120="",G119=""),"",G120/G119-1)</f>
        <v/>
      </c>
      <c r="R120" s="504">
        <f>IF(OR(H120="",H119=""),"",H120/H119-1)</f>
        <v/>
      </c>
      <c r="S120" s="504">
        <f>IF(OR(I120="",I119=""),"",I120/I119-1)</f>
        <v/>
      </c>
      <c r="T120" s="504">
        <f>IF(OR(J120="",J119=""),"",J120/J119-1)</f>
        <v/>
      </c>
      <c r="U120" s="504">
        <f>IF(OR(K120="",K119=""),"",K120/K119-1)</f>
        <v/>
      </c>
    </row>
    <row r="121">
      <c r="C121" s="503" t="n">
        <v>43434</v>
      </c>
      <c r="D121" s="293" t="n">
        <v>59.18689346313477</v>
      </c>
      <c r="E121" s="293" t="n">
        <v>100.8152770996094</v>
      </c>
      <c r="F121" s="293" t="n">
        <v>78.72509002685547</v>
      </c>
      <c r="G121" s="293" t="n">
        <v>245.1591796875</v>
      </c>
      <c r="H121" s="293" t="n">
        <v>74.68074798583984</v>
      </c>
      <c r="I121" s="293" t="n">
        <v>33.97910308837891</v>
      </c>
      <c r="J121" s="293" t="n">
        <v>42.59331130981445</v>
      </c>
      <c r="K121" s="293">
        <f>'07_Backtest_CMD'!AL134</f>
        <v/>
      </c>
      <c r="M121" s="503" t="n">
        <v>43434</v>
      </c>
      <c r="N121" s="504">
        <f>IF(OR(D121="",D120=""),"",D121/D120-1)</f>
        <v/>
      </c>
      <c r="O121" s="504">
        <f>IF(OR(E121="",E120=""),"",E121/E120-1)</f>
        <v/>
      </c>
      <c r="P121" s="504">
        <f>IF(OR(F121="",F120=""),"",F121/F120-1)</f>
        <v/>
      </c>
      <c r="Q121" s="504">
        <f>IF(OR(G121="",G120=""),"",G121/G120-1)</f>
        <v/>
      </c>
      <c r="R121" s="504">
        <f>IF(OR(H121="",H120=""),"",H121/H120-1)</f>
        <v/>
      </c>
      <c r="S121" s="504">
        <f>IF(OR(I121="",I120=""),"",I121/I120-1)</f>
        <v/>
      </c>
      <c r="T121" s="504">
        <f>IF(OR(J121="",J120=""),"",J121/J120-1)</f>
        <v/>
      </c>
      <c r="U121" s="504">
        <f>IF(OR(K121="",K120=""),"",K121/K120-1)</f>
        <v/>
      </c>
    </row>
    <row r="122">
      <c r="C122" s="503" t="n">
        <v>43465</v>
      </c>
      <c r="D122" s="293" t="n">
        <v>60.86039352416992</v>
      </c>
      <c r="E122" s="293" t="n">
        <v>104.9412841796875</v>
      </c>
      <c r="F122" s="293" t="n">
        <v>85.08475494384766</v>
      </c>
      <c r="G122" s="293" t="n">
        <v>223.5733642578125</v>
      </c>
      <c r="H122" s="293" t="n">
        <v>74.81719970703125</v>
      </c>
      <c r="I122" s="293" t="n">
        <v>31.01089477539062</v>
      </c>
      <c r="J122" s="293" t="n">
        <v>39.69888687133789</v>
      </c>
      <c r="K122" s="293">
        <f>'07_Backtest_CMD'!AL135</f>
        <v/>
      </c>
      <c r="M122" s="503" t="n">
        <v>43465</v>
      </c>
      <c r="N122" s="504">
        <f>IF(OR(D122="",D121=""),"",D122/D121-1)</f>
        <v/>
      </c>
      <c r="O122" s="504">
        <f>IF(OR(E122="",E121=""),"",E122/E121-1)</f>
        <v/>
      </c>
      <c r="P122" s="504">
        <f>IF(OR(F122="",F121=""),"",F122/F121-1)</f>
        <v/>
      </c>
      <c r="Q122" s="504">
        <f>IF(OR(G122="",G121=""),"",G122/G121-1)</f>
        <v/>
      </c>
      <c r="R122" s="504">
        <f>IF(OR(H122="",H121=""),"",H122/H121-1)</f>
        <v/>
      </c>
      <c r="S122" s="504">
        <f>IF(OR(I122="",I121=""),"",I122/I121-1)</f>
        <v/>
      </c>
      <c r="T122" s="504">
        <f>IF(OR(J122="",J121=""),"",J122/J121-1)</f>
        <v/>
      </c>
      <c r="U122" s="504">
        <f>IF(OR(K122="",K121=""),"",K122/K121-1)</f>
        <v/>
      </c>
    </row>
    <row r="123">
      <c r="C123" s="503" t="n">
        <v>43496</v>
      </c>
      <c r="D123" s="293" t="n">
        <v>63.31112289428711</v>
      </c>
      <c r="E123" s="293" t="n">
        <v>105.4050369262695</v>
      </c>
      <c r="F123" s="293" t="n">
        <v>85.23476409912109</v>
      </c>
      <c r="G123" s="293" t="n">
        <v>241.4739074707031</v>
      </c>
      <c r="H123" s="293" t="n">
        <v>74.94805145263672</v>
      </c>
      <c r="I123" s="293" t="n">
        <v>33.85018539428711</v>
      </c>
      <c r="J123" s="293" t="n">
        <v>42.3416633605957</v>
      </c>
      <c r="K123" s="293">
        <f>'07_Backtest_CMD'!AL136</f>
        <v/>
      </c>
      <c r="M123" s="503" t="n">
        <v>43496</v>
      </c>
      <c r="N123" s="504">
        <f>IF(OR(D123="",D122=""),"",D123/D122-1)</f>
        <v/>
      </c>
      <c r="O123" s="504">
        <f>IF(OR(E123="",E122=""),"",E123/E122-1)</f>
        <v/>
      </c>
      <c r="P123" s="504">
        <f>IF(OR(F123="",F122=""),"",F123/F122-1)</f>
        <v/>
      </c>
      <c r="Q123" s="504">
        <f>IF(OR(G123="",G122=""),"",G123/G122-1)</f>
        <v/>
      </c>
      <c r="R123" s="504">
        <f>IF(OR(H123="",H122=""),"",H123/H122-1)</f>
        <v/>
      </c>
      <c r="S123" s="504">
        <f>IF(OR(I123="",I122=""),"",I123/I122-1)</f>
        <v/>
      </c>
      <c r="T123" s="504">
        <f>IF(OR(J123="",J122=""),"",J123/J122-1)</f>
        <v/>
      </c>
      <c r="U123" s="504">
        <f>IF(OR(K123="",K122=""),"",K123/K122-1)</f>
        <v/>
      </c>
    </row>
    <row r="124">
      <c r="C124" s="503" t="n">
        <v>43524</v>
      </c>
      <c r="D124" s="293" t="n">
        <v>63.00777816772461</v>
      </c>
      <c r="E124" s="293" t="n">
        <v>104.5606918334961</v>
      </c>
      <c r="F124" s="293" t="n">
        <v>83.72743225097656</v>
      </c>
      <c r="G124" s="293" t="n">
        <v>249.3015441894531</v>
      </c>
      <c r="H124" s="293" t="n">
        <v>75.08660888671875</v>
      </c>
      <c r="I124" s="293" t="n">
        <v>35.18119812011719</v>
      </c>
      <c r="J124" s="293" t="n">
        <v>44.04450988769531</v>
      </c>
      <c r="K124" s="293">
        <f>'07_Backtest_CMD'!AL137</f>
        <v/>
      </c>
      <c r="M124" s="503" t="n">
        <v>43524</v>
      </c>
      <c r="N124" s="504">
        <f>IF(OR(D124="",D123=""),"",D124/D123-1)</f>
        <v/>
      </c>
      <c r="O124" s="504">
        <f>IF(OR(E124="",E123=""),"",E124/E123-1)</f>
        <v/>
      </c>
      <c r="P124" s="504">
        <f>IF(OR(F124="",F123=""),"",F124/F123-1)</f>
        <v/>
      </c>
      <c r="Q124" s="504">
        <f>IF(OR(G124="",G123=""),"",G124/G123-1)</f>
        <v/>
      </c>
      <c r="R124" s="504">
        <f>IF(OR(H124="",H123=""),"",H124/H123-1)</f>
        <v/>
      </c>
      <c r="S124" s="504">
        <f>IF(OR(I124="",I123=""),"",I124/I123-1)</f>
        <v/>
      </c>
      <c r="T124" s="504">
        <f>IF(OR(J124="",J123=""),"",J124/J123-1)</f>
        <v/>
      </c>
      <c r="U124" s="504">
        <f>IF(OR(K124="",K123=""),"",K124/K123-1)</f>
        <v/>
      </c>
    </row>
    <row r="125">
      <c r="C125" s="503" t="n">
        <v>43555</v>
      </c>
      <c r="D125" s="293" t="n">
        <v>65.85254669189453</v>
      </c>
      <c r="E125" s="293" t="n">
        <v>108.6242294311523</v>
      </c>
      <c r="F125" s="293" t="n">
        <v>90.00788116455078</v>
      </c>
      <c r="G125" s="293" t="n">
        <v>253.8139343261719</v>
      </c>
      <c r="H125" s="293" t="n">
        <v>75.21797943115234</v>
      </c>
      <c r="I125" s="293" t="n">
        <v>36.17183685302734</v>
      </c>
      <c r="J125" s="293" t="n">
        <v>45.05147933959961</v>
      </c>
      <c r="K125" s="293">
        <f>'07_Backtest_CMD'!AL138</f>
        <v/>
      </c>
      <c r="M125" s="503" t="n">
        <v>43555</v>
      </c>
      <c r="N125" s="504">
        <f>IF(OR(D125="",D124=""),"",D125/D124-1)</f>
        <v/>
      </c>
      <c r="O125" s="504">
        <f>IF(OR(E125="",E124=""),"",E125/E124-1)</f>
        <v/>
      </c>
      <c r="P125" s="504">
        <f>IF(OR(F125="",F124=""),"",F125/F124-1)</f>
        <v/>
      </c>
      <c r="Q125" s="504">
        <f>IF(OR(G125="",G124=""),"",G125/G124-1)</f>
        <v/>
      </c>
      <c r="R125" s="504">
        <f>IF(OR(H125="",H124=""),"",H125/H124-1)</f>
        <v/>
      </c>
      <c r="S125" s="504">
        <f>IF(OR(I125="",I124=""),"",I125/I124-1)</f>
        <v/>
      </c>
      <c r="T125" s="504">
        <f>IF(OR(J125="",J124=""),"",J125/J124-1)</f>
        <v/>
      </c>
      <c r="U125" s="504">
        <f>IF(OR(K125="",K124=""),"",K125/K124-1)</f>
        <v/>
      </c>
    </row>
    <row r="126">
      <c r="C126" s="503" t="n">
        <v>43585</v>
      </c>
      <c r="D126" s="293" t="n">
        <v>65.96953582763672</v>
      </c>
      <c r="E126" s="293" t="n">
        <v>107.3375930786133</v>
      </c>
      <c r="F126" s="293" t="n">
        <v>87.31150054931641</v>
      </c>
      <c r="G126" s="293" t="n">
        <v>264.1829223632812</v>
      </c>
      <c r="H126" s="293" t="n">
        <v>75.36280822753906</v>
      </c>
      <c r="I126" s="293" t="n">
        <v>36.54573440551758</v>
      </c>
      <c r="J126" s="293" t="n">
        <v>46.1053352355957</v>
      </c>
      <c r="K126" s="293">
        <f>'07_Backtest_CMD'!AL139</f>
        <v/>
      </c>
      <c r="M126" s="503" t="n">
        <v>43585</v>
      </c>
      <c r="N126" s="504">
        <f>IF(OR(D126="",D125=""),"",D126/D125-1)</f>
        <v/>
      </c>
      <c r="O126" s="504">
        <f>IF(OR(E126="",E125=""),"",E126/E125-1)</f>
        <v/>
      </c>
      <c r="P126" s="504">
        <f>IF(OR(F126="",F125=""),"",F126/F125-1)</f>
        <v/>
      </c>
      <c r="Q126" s="504">
        <f>IF(OR(G126="",G125=""),"",G126/G125-1)</f>
        <v/>
      </c>
      <c r="R126" s="504">
        <f>IF(OR(H126="",H125=""),"",H126/H125-1)</f>
        <v/>
      </c>
      <c r="S126" s="504">
        <f>IF(OR(I126="",I125=""),"",I126/I125-1)</f>
        <v/>
      </c>
      <c r="T126" s="504">
        <f>IF(OR(J126="",J125=""),"",J126/J125-1)</f>
        <v/>
      </c>
      <c r="U126" s="504">
        <f>IF(OR(K126="",K125=""),"",K126/K125-1)</f>
        <v/>
      </c>
    </row>
    <row r="127">
      <c r="C127" s="503" t="n">
        <v>43616</v>
      </c>
      <c r="D127" s="293" t="n">
        <v>67.54049682617188</v>
      </c>
      <c r="E127" s="293" t="n">
        <v>112.3054656982422</v>
      </c>
      <c r="F127" s="293" t="n">
        <v>95.81605529785156</v>
      </c>
      <c r="G127" s="293" t="n">
        <v>247.3356475830078</v>
      </c>
      <c r="H127" s="293" t="n">
        <v>75.52267456054688</v>
      </c>
      <c r="I127" s="293" t="n">
        <v>35.64045333862305</v>
      </c>
      <c r="J127" s="293" t="n">
        <v>45.65862655639648</v>
      </c>
      <c r="K127" s="293">
        <f>'07_Backtest_CMD'!AL140</f>
        <v/>
      </c>
      <c r="M127" s="503" t="n">
        <v>43616</v>
      </c>
      <c r="N127" s="504">
        <f>IF(OR(D127="",D126=""),"",D127/D126-1)</f>
        <v/>
      </c>
      <c r="O127" s="504">
        <f>IF(OR(E127="",E126=""),"",E127/E126-1)</f>
        <v/>
      </c>
      <c r="P127" s="504">
        <f>IF(OR(F127="",F126=""),"",F127/F126-1)</f>
        <v/>
      </c>
      <c r="Q127" s="504">
        <f>IF(OR(G127="",G126=""),"",G127/G126-1)</f>
        <v/>
      </c>
      <c r="R127" s="504">
        <f>IF(OR(H127="",H126=""),"",H127/H126-1)</f>
        <v/>
      </c>
      <c r="S127" s="504">
        <f>IF(OR(I127="",I126=""),"",I127/I126-1)</f>
        <v/>
      </c>
      <c r="T127" s="504">
        <f>IF(OR(J127="",J126=""),"",J127/J126-1)</f>
        <v/>
      </c>
      <c r="U127" s="504">
        <f>IF(OR(K127="",K126=""),"",K127/K126-1)</f>
        <v/>
      </c>
    </row>
    <row r="128">
      <c r="C128" s="503" t="n">
        <v>43646</v>
      </c>
      <c r="D128" s="293" t="n">
        <v>70.44799041748047</v>
      </c>
      <c r="E128" s="293" t="n">
        <v>113.6442337036133</v>
      </c>
      <c r="F128" s="293" t="n">
        <v>96.52784729003906</v>
      </c>
      <c r="G128" s="293" t="n">
        <v>264.5469055175781</v>
      </c>
      <c r="H128" s="293" t="n">
        <v>75.65981292724609</v>
      </c>
      <c r="I128" s="293" t="n">
        <v>37.36064147949219</v>
      </c>
      <c r="J128" s="293" t="n">
        <v>47.34983444213867</v>
      </c>
      <c r="K128" s="293">
        <f>'07_Backtest_CMD'!AL141</f>
        <v/>
      </c>
      <c r="M128" s="503" t="n">
        <v>43646</v>
      </c>
      <c r="N128" s="504">
        <f>IF(OR(D128="",D127=""),"",D128/D127-1)</f>
        <v/>
      </c>
      <c r="O128" s="504">
        <f>IF(OR(E128="",E127=""),"",E128/E127-1)</f>
        <v/>
      </c>
      <c r="P128" s="504">
        <f>IF(OR(F128="",F127=""),"",F128/F127-1)</f>
        <v/>
      </c>
      <c r="Q128" s="504">
        <f>IF(OR(G128="",G127=""),"",G128/G127-1)</f>
        <v/>
      </c>
      <c r="R128" s="504">
        <f>IF(OR(H128="",H127=""),"",H128/H127-1)</f>
        <v/>
      </c>
      <c r="S128" s="504">
        <f>IF(OR(I128="",I127=""),"",I128/I127-1)</f>
        <v/>
      </c>
      <c r="T128" s="504">
        <f>IF(OR(J128="",J127=""),"",J128/J127-1)</f>
        <v/>
      </c>
      <c r="U128" s="504">
        <f>IF(OR(K128="",K127=""),"",K128/K127-1)</f>
        <v/>
      </c>
    </row>
    <row r="129">
      <c r="C129" s="503" t="n">
        <v>43677</v>
      </c>
      <c r="D129" s="293" t="n">
        <v>71.05426788330078</v>
      </c>
      <c r="E129" s="293" t="n">
        <v>113.9919204711914</v>
      </c>
      <c r="F129" s="293" t="n">
        <v>96.95343780517578</v>
      </c>
      <c r="G129" s="293" t="n">
        <v>268.546630859375</v>
      </c>
      <c r="H129" s="293" t="n">
        <v>75.79631042480469</v>
      </c>
      <c r="I129" s="293" t="n">
        <v>37.68235015869141</v>
      </c>
      <c r="J129" s="293" t="n">
        <v>47.88425445556641</v>
      </c>
      <c r="K129" s="293">
        <f>'07_Backtest_CMD'!AL142</f>
        <v/>
      </c>
      <c r="M129" s="503" t="n">
        <v>43677</v>
      </c>
      <c r="N129" s="504">
        <f>IF(OR(D129="",D128=""),"",D129/D128-1)</f>
        <v/>
      </c>
      <c r="O129" s="504">
        <f>IF(OR(E129="",E128=""),"",E129/E128-1)</f>
        <v/>
      </c>
      <c r="P129" s="504">
        <f>IF(OR(F129="",F128=""),"",F129/F128-1)</f>
        <v/>
      </c>
      <c r="Q129" s="504">
        <f>IF(OR(G129="",G128=""),"",G129/G128-1)</f>
        <v/>
      </c>
      <c r="R129" s="504">
        <f>IF(OR(H129="",H128=""),"",H129/H128-1)</f>
        <v/>
      </c>
      <c r="S129" s="504">
        <f>IF(OR(I129="",I128=""),"",I129/I128-1)</f>
        <v/>
      </c>
      <c r="T129" s="504">
        <f>IF(OR(J129="",J128=""),"",J129/J128-1)</f>
        <v/>
      </c>
      <c r="U129" s="504">
        <f>IF(OR(K129="",K128=""),"",K129/K128-1)</f>
        <v/>
      </c>
    </row>
    <row r="130">
      <c r="C130" s="503" t="n">
        <v>43708</v>
      </c>
      <c r="D130" s="293" t="n">
        <v>75.10227203369141</v>
      </c>
      <c r="E130" s="293" t="n">
        <v>121.5732879638672</v>
      </c>
      <c r="F130" s="293" t="n">
        <v>111.9482727050781</v>
      </c>
      <c r="G130" s="293" t="n">
        <v>264.05029296875</v>
      </c>
      <c r="H130" s="293" t="n">
        <v>75.92478942871094</v>
      </c>
      <c r="I130" s="293" t="n">
        <v>37.53813552856445</v>
      </c>
      <c r="J130" s="293" t="n">
        <v>49.00884246826172</v>
      </c>
      <c r="K130" s="293">
        <f>'07_Backtest_CMD'!AL143</f>
        <v/>
      </c>
      <c r="M130" s="503" t="n">
        <v>43708</v>
      </c>
      <c r="N130" s="504">
        <f>IF(OR(D130="",D129=""),"",D130/D129-1)</f>
        <v/>
      </c>
      <c r="O130" s="504">
        <f>IF(OR(E130="",E129=""),"",E130/E129-1)</f>
        <v/>
      </c>
      <c r="P130" s="504">
        <f>IF(OR(F130="",F129=""),"",F130/F129-1)</f>
        <v/>
      </c>
      <c r="Q130" s="504">
        <f>IF(OR(G130="",G129=""),"",G130/G129-1)</f>
        <v/>
      </c>
      <c r="R130" s="504">
        <f>IF(OR(H130="",H129=""),"",H130/H129-1)</f>
        <v/>
      </c>
      <c r="S130" s="504">
        <f>IF(OR(I130="",I129=""),"",I130/I129-1)</f>
        <v/>
      </c>
      <c r="T130" s="504">
        <f>IF(OR(J130="",J129=""),"",J130/J129-1)</f>
        <v/>
      </c>
      <c r="U130" s="504">
        <f>IF(OR(K130="",K129=""),"",K130/K129-1)</f>
        <v/>
      </c>
    </row>
    <row r="131">
      <c r="C131" s="503" t="n">
        <v>43738</v>
      </c>
      <c r="D131" s="293" t="n">
        <v>74.29347991943359</v>
      </c>
      <c r="E131" s="293" t="n">
        <v>119.3810424804688</v>
      </c>
      <c r="F131" s="293" t="n">
        <v>108.0313186645508</v>
      </c>
      <c r="G131" s="293" t="n">
        <v>269.1880798339844</v>
      </c>
      <c r="H131" s="293" t="n">
        <v>76.04766845703125</v>
      </c>
      <c r="I131" s="293" t="n">
        <v>37.65380096435547</v>
      </c>
      <c r="J131" s="293" t="n">
        <v>50.09961700439453</v>
      </c>
      <c r="K131" s="293">
        <f>'07_Backtest_CMD'!AL144</f>
        <v/>
      </c>
      <c r="M131" s="503" t="n">
        <v>43738</v>
      </c>
      <c r="N131" s="504">
        <f>IF(OR(D131="",D130=""),"",D131/D130-1)</f>
        <v/>
      </c>
      <c r="O131" s="504">
        <f>IF(OR(E131="",E130=""),"",E131/E130-1)</f>
        <v/>
      </c>
      <c r="P131" s="504">
        <f>IF(OR(F131="",F130=""),"",F131/F130-1)</f>
        <v/>
      </c>
      <c r="Q131" s="504">
        <f>IF(OR(G131="",G130=""),"",G131/G130-1)</f>
        <v/>
      </c>
      <c r="R131" s="504">
        <f>IF(OR(H131="",H130=""),"",H131/H130-1)</f>
        <v/>
      </c>
      <c r="S131" s="504">
        <f>IF(OR(I131="",I130=""),"",I131/I130-1)</f>
        <v/>
      </c>
      <c r="T131" s="504">
        <f>IF(OR(J131="",J130=""),"",J131/J130-1)</f>
        <v/>
      </c>
      <c r="U131" s="504">
        <f>IF(OR(K131="",K130=""),"",K131/K130-1)</f>
        <v/>
      </c>
    </row>
    <row r="132">
      <c r="C132" s="503" t="n">
        <v>43769</v>
      </c>
      <c r="D132" s="293" t="n">
        <v>74.50354766845703</v>
      </c>
      <c r="E132" s="293" t="n">
        <v>118.7969360351562</v>
      </c>
      <c r="F132" s="293" t="n">
        <v>105.8829116821289</v>
      </c>
      <c r="G132" s="293" t="n">
        <v>275.1384582519531</v>
      </c>
      <c r="H132" s="293" t="n">
        <v>76.16989135742188</v>
      </c>
      <c r="I132" s="293" t="n">
        <v>37.55267715454102</v>
      </c>
      <c r="J132" s="293" t="n">
        <v>49.90432357788086</v>
      </c>
      <c r="K132" s="293">
        <f>'07_Backtest_CMD'!AL145</f>
        <v/>
      </c>
      <c r="M132" s="503" t="n">
        <v>43769</v>
      </c>
      <c r="N132" s="504">
        <f>IF(OR(D132="",D131=""),"",D132/D131-1)</f>
        <v/>
      </c>
      <c r="O132" s="504">
        <f>IF(OR(E132="",E131=""),"",E132/E131-1)</f>
        <v/>
      </c>
      <c r="P132" s="504">
        <f>IF(OR(F132="",F131=""),"",F132/F131-1)</f>
        <v/>
      </c>
      <c r="Q132" s="504">
        <f>IF(OR(G132="",G131=""),"",G132/G131-1)</f>
        <v/>
      </c>
      <c r="R132" s="504">
        <f>IF(OR(H132="",H131=""),"",H132/H131-1)</f>
        <v/>
      </c>
      <c r="S132" s="504">
        <f>IF(OR(I132="",I131=""),"",I132/I131-1)</f>
        <v/>
      </c>
      <c r="T132" s="504">
        <f>IF(OR(J132="",J131=""),"",J132/J131-1)</f>
        <v/>
      </c>
      <c r="U132" s="504">
        <f>IF(OR(K132="",K131=""),"",K132/K131-1)</f>
        <v/>
      </c>
    </row>
    <row r="133">
      <c r="C133" s="503" t="n">
        <v>43799</v>
      </c>
      <c r="D133" s="293" t="n">
        <v>75.26422882080078</v>
      </c>
      <c r="E133" s="293" t="n">
        <v>117.8905563354492</v>
      </c>
      <c r="F133" s="293" t="n">
        <v>105.7988204956055</v>
      </c>
      <c r="G133" s="293" t="n">
        <v>285.0980224609375</v>
      </c>
      <c r="H133" s="293" t="n">
        <v>76.25234985351562</v>
      </c>
      <c r="I133" s="293" t="n">
        <v>38.29205703735352</v>
      </c>
      <c r="J133" s="293" t="n">
        <v>49.90195846557617</v>
      </c>
      <c r="K133" s="293">
        <f>'07_Backtest_CMD'!AL146</f>
        <v/>
      </c>
      <c r="M133" s="503" t="n">
        <v>43799</v>
      </c>
      <c r="N133" s="504">
        <f>IF(OR(D133="",D132=""),"",D133/D132-1)</f>
        <v/>
      </c>
      <c r="O133" s="504">
        <f>IF(OR(E133="",E132=""),"",E133/E132-1)</f>
        <v/>
      </c>
      <c r="P133" s="504">
        <f>IF(OR(F133="",F132=""),"",F133/F132-1)</f>
        <v/>
      </c>
      <c r="Q133" s="504">
        <f>IF(OR(G133="",G132=""),"",G133/G132-1)</f>
        <v/>
      </c>
      <c r="R133" s="504">
        <f>IF(OR(H133="",H132=""),"",H133/H132-1)</f>
        <v/>
      </c>
      <c r="S133" s="504">
        <f>IF(OR(I133="",I132=""),"",I133/I132-1)</f>
        <v/>
      </c>
      <c r="T133" s="504">
        <f>IF(OR(J133="",J132=""),"",J133/J132-1)</f>
        <v/>
      </c>
      <c r="U133" s="504">
        <f>IF(OR(K133="",K132=""),"",K133/K132-1)</f>
        <v/>
      </c>
    </row>
    <row r="134">
      <c r="C134" s="503" t="n">
        <v>43830</v>
      </c>
      <c r="D134" s="293" t="n">
        <v>75.40064239501953</v>
      </c>
      <c r="E134" s="293" t="n">
        <v>115.5457229614258</v>
      </c>
      <c r="F134" s="293" t="n">
        <v>100.9727249145508</v>
      </c>
      <c r="G134" s="293" t="n">
        <v>293.3816223144531</v>
      </c>
      <c r="H134" s="293" t="n">
        <v>76.33745574951172</v>
      </c>
      <c r="I134" s="293" t="n">
        <v>39.05134582519531</v>
      </c>
      <c r="J134" s="293" t="n">
        <v>50.76296234130859</v>
      </c>
      <c r="K134" s="293">
        <f>'07_Backtest_CMD'!AL147</f>
        <v/>
      </c>
      <c r="M134" s="503" t="n">
        <v>43830</v>
      </c>
      <c r="N134" s="504">
        <f>IF(OR(D134="",D133=""),"",D134/D133-1)</f>
        <v/>
      </c>
      <c r="O134" s="504">
        <f>IF(OR(E134="",E133=""),"",E134/E133-1)</f>
        <v/>
      </c>
      <c r="P134" s="504">
        <f>IF(OR(F134="",F133=""),"",F134/F133-1)</f>
        <v/>
      </c>
      <c r="Q134" s="504">
        <f>IF(OR(G134="",G133=""),"",G134/G133-1)</f>
        <v/>
      </c>
      <c r="R134" s="504">
        <f>IF(OR(H134="",H133=""),"",H134/H133-1)</f>
        <v/>
      </c>
      <c r="S134" s="504">
        <f>IF(OR(I134="",I133=""),"",I134/I133-1)</f>
        <v/>
      </c>
      <c r="T134" s="504">
        <f>IF(OR(J134="",J133=""),"",J134/J133-1)</f>
        <v/>
      </c>
      <c r="U134" s="504">
        <f>IF(OR(K134="",K133=""),"",K134/K133-1)</f>
        <v/>
      </c>
    </row>
    <row r="135">
      <c r="C135" s="503" t="n">
        <v>43861</v>
      </c>
      <c r="D135" s="293" t="n">
        <v>78.29433441162109</v>
      </c>
      <c r="E135" s="293" t="n">
        <v>122.1835098266602</v>
      </c>
      <c r="F135" s="293" t="n">
        <v>111.3900604248047</v>
      </c>
      <c r="G135" s="293" t="n">
        <v>293.2630615234375</v>
      </c>
      <c r="H135" s="293" t="n">
        <v>76.42929840087891</v>
      </c>
      <c r="I135" s="293" t="n">
        <v>40.22541809082031</v>
      </c>
      <c r="J135" s="293" t="n">
        <v>52.28189086914062</v>
      </c>
      <c r="K135" s="293">
        <f>'07_Backtest_CMD'!AL148</f>
        <v/>
      </c>
      <c r="M135" s="503" t="n">
        <v>43861</v>
      </c>
      <c r="N135" s="504">
        <f>IF(OR(D135="",D134=""),"",D135/D134-1)</f>
        <v/>
      </c>
      <c r="O135" s="504">
        <f>IF(OR(E135="",E134=""),"",E135/E134-1)</f>
        <v/>
      </c>
      <c r="P135" s="504">
        <f>IF(OR(F135="",F134=""),"",F135/F134-1)</f>
        <v/>
      </c>
      <c r="Q135" s="504">
        <f>IF(OR(G135="",G134=""),"",G135/G134-1)</f>
        <v/>
      </c>
      <c r="R135" s="504">
        <f>IF(OR(H135="",H134=""),"",H135/H134-1)</f>
        <v/>
      </c>
      <c r="S135" s="504">
        <f>IF(OR(I135="",I134=""),"",I135/I134-1)</f>
        <v/>
      </c>
      <c r="T135" s="504">
        <f>IF(OR(J135="",J134=""),"",J135/J134-1)</f>
        <v/>
      </c>
      <c r="U135" s="504">
        <f>IF(OR(K135="",K134=""),"",K135/K134-1)</f>
        <v/>
      </c>
    </row>
    <row r="136">
      <c r="C136" s="503" t="n">
        <v>43890</v>
      </c>
      <c r="D136" s="293" t="n">
        <v>79.35616302490234</v>
      </c>
      <c r="E136" s="293" t="n">
        <v>128.0408172607422</v>
      </c>
      <c r="F136" s="293" t="n">
        <v>120.5644760131836</v>
      </c>
      <c r="G136" s="293" t="n">
        <v>270.0467834472656</v>
      </c>
      <c r="H136" s="293" t="n">
        <v>76.51956939697266</v>
      </c>
      <c r="I136" s="293" t="n">
        <v>36.88960266113281</v>
      </c>
      <c r="J136" s="293" t="n">
        <v>47.30742263793945</v>
      </c>
      <c r="K136" s="293">
        <f>'07_Backtest_CMD'!AL149</f>
        <v/>
      </c>
      <c r="M136" s="503" t="n">
        <v>43890</v>
      </c>
      <c r="N136" s="504">
        <f>IF(OR(D136="",D135=""),"",D136/D135-1)</f>
        <v/>
      </c>
      <c r="O136" s="504">
        <f>IF(OR(E136="",E135=""),"",E136/E135-1)</f>
        <v/>
      </c>
      <c r="P136" s="504">
        <f>IF(OR(F136="",F135=""),"",F136/F135-1)</f>
        <v/>
      </c>
      <c r="Q136" s="504">
        <f>IF(OR(G136="",G135=""),"",G136/G135-1)</f>
        <v/>
      </c>
      <c r="R136" s="504">
        <f>IF(OR(H136="",H135=""),"",H136/H135-1)</f>
        <v/>
      </c>
      <c r="S136" s="504">
        <f>IF(OR(I136="",I135=""),"",I136/I135-1)</f>
        <v/>
      </c>
      <c r="T136" s="504">
        <f>IF(OR(J136="",J135=""),"",J136/J135-1)</f>
        <v/>
      </c>
      <c r="U136" s="504">
        <f>IF(OR(K136="",K135=""),"",K136/K135-1)</f>
        <v/>
      </c>
    </row>
    <row r="137">
      <c r="C137" s="503" t="n">
        <v>43921</v>
      </c>
      <c r="D137" s="293" t="n">
        <v>72.67182159423828</v>
      </c>
      <c r="E137" s="293" t="n">
        <v>135.2686614990234</v>
      </c>
      <c r="F137" s="293" t="n">
        <v>130.2438049316406</v>
      </c>
      <c r="G137" s="293" t="n">
        <v>236.3256378173828</v>
      </c>
      <c r="H137" s="293" t="n">
        <v>76.67603302001953</v>
      </c>
      <c r="I137" s="293" t="n">
        <v>33.73682022094727</v>
      </c>
      <c r="J137" s="293" t="n">
        <v>41.09930801391602</v>
      </c>
      <c r="K137" s="293">
        <f>'07_Backtest_CMD'!AL150</f>
        <v/>
      </c>
      <c r="M137" s="503" t="n">
        <v>43921</v>
      </c>
      <c r="N137" s="504">
        <f>IF(OR(D137="",D136=""),"",D137/D136-1)</f>
        <v/>
      </c>
      <c r="O137" s="504">
        <f>IF(OR(E137="",E136=""),"",E137/E136-1)</f>
        <v/>
      </c>
      <c r="P137" s="504">
        <f>IF(OR(F137="",F136=""),"",F137/F136-1)</f>
        <v/>
      </c>
      <c r="Q137" s="504">
        <f>IF(OR(G137="",G136=""),"",G137/G136-1)</f>
        <v/>
      </c>
      <c r="R137" s="504">
        <f>IF(OR(H137="",H136=""),"",H137/H136-1)</f>
        <v/>
      </c>
      <c r="S137" s="504">
        <f>IF(OR(I137="",I136=""),"",I137/I136-1)</f>
        <v/>
      </c>
      <c r="T137" s="504">
        <f>IF(OR(J137="",J136=""),"",J137/J136-1)</f>
        <v/>
      </c>
      <c r="U137" s="504">
        <f>IF(OR(K137="",K136=""),"",K137/K136-1)</f>
        <v/>
      </c>
    </row>
    <row r="138">
      <c r="C138" s="503" t="n">
        <v>43951</v>
      </c>
      <c r="D138" s="293" t="n">
        <v>76.73614501953125</v>
      </c>
      <c r="E138" s="293" t="n">
        <v>135.8925018310547</v>
      </c>
      <c r="F138" s="293" t="n">
        <v>133.3183135986328</v>
      </c>
      <c r="G138" s="293" t="n">
        <v>266.3351135253906</v>
      </c>
      <c r="H138" s="293" t="n">
        <v>76.66099548339844</v>
      </c>
      <c r="I138" s="293" t="n">
        <v>37.48472595214844</v>
      </c>
      <c r="J138" s="293" t="n">
        <v>43.8449821472168</v>
      </c>
      <c r="K138" s="293">
        <f>'07_Backtest_CMD'!AL151</f>
        <v/>
      </c>
      <c r="M138" s="503" t="n">
        <v>43951</v>
      </c>
      <c r="N138" s="504">
        <f>IF(OR(D138="",D137=""),"",D138/D137-1)</f>
        <v/>
      </c>
      <c r="O138" s="504">
        <f>IF(OR(E138="",E137=""),"",E138/E137-1)</f>
        <v/>
      </c>
      <c r="P138" s="504">
        <f>IF(OR(F138="",F137=""),"",F138/F137-1)</f>
        <v/>
      </c>
      <c r="Q138" s="504">
        <f>IF(OR(G138="",G137=""),"",G138/G137-1)</f>
        <v/>
      </c>
      <c r="R138" s="504">
        <f>IF(OR(H138="",H137=""),"",H138/H137-1)</f>
        <v/>
      </c>
      <c r="S138" s="504">
        <f>IF(OR(I138="",I137=""),"",I138/I137-1)</f>
        <v/>
      </c>
      <c r="T138" s="504">
        <f>IF(OR(J138="",J137=""),"",J138/J137-1)</f>
        <v/>
      </c>
      <c r="U138" s="504">
        <f>IF(OR(K138="",K137=""),"",K138/K137-1)</f>
        <v/>
      </c>
    </row>
    <row r="139">
      <c r="C139" s="503" t="n">
        <v>43982</v>
      </c>
      <c r="D139" s="293" t="n">
        <v>78.30481719970703</v>
      </c>
      <c r="E139" s="293" t="n">
        <v>135.3059234619141</v>
      </c>
      <c r="F139" s="293" t="n">
        <v>129.0164947509766</v>
      </c>
      <c r="G139" s="293" t="n">
        <v>279.024658203125</v>
      </c>
      <c r="H139" s="293" t="n">
        <v>76.64755249023438</v>
      </c>
      <c r="I139" s="293" t="n">
        <v>40.03266143798828</v>
      </c>
      <c r="J139" s="293" t="n">
        <v>43.98852920532227</v>
      </c>
      <c r="K139" s="293">
        <f>'07_Backtest_CMD'!AL152</f>
        <v/>
      </c>
      <c r="M139" s="503" t="n">
        <v>43982</v>
      </c>
      <c r="N139" s="504">
        <f>IF(OR(D139="",D138=""),"",D139/D138-1)</f>
        <v/>
      </c>
      <c r="O139" s="504">
        <f>IF(OR(E139="",E138=""),"",E139/E138-1)</f>
        <v/>
      </c>
      <c r="P139" s="504">
        <f>IF(OR(F139="",F138=""),"",F139/F138-1)</f>
        <v/>
      </c>
      <c r="Q139" s="504">
        <f>IF(OR(G139="",G138=""),"",G139/G138-1)</f>
        <v/>
      </c>
      <c r="R139" s="504">
        <f>IF(OR(H139="",H138=""),"",H139/H138-1)</f>
        <v/>
      </c>
      <c r="S139" s="504">
        <f>IF(OR(I139="",I138=""),"",I139/I138-1)</f>
        <v/>
      </c>
      <c r="T139" s="504">
        <f>IF(OR(J139="",J138=""),"",J139/J138-1)</f>
        <v/>
      </c>
      <c r="U139" s="504">
        <f>IF(OR(K139="",K138=""),"",K139/K138-1)</f>
        <v/>
      </c>
    </row>
    <row r="140">
      <c r="C140" s="503" t="n">
        <v>44012</v>
      </c>
      <c r="D140" s="293" t="n">
        <v>80.2822265625</v>
      </c>
      <c r="E140" s="293" t="n">
        <v>135.5489044189453</v>
      </c>
      <c r="F140" s="293" t="n">
        <v>129.6254425048828</v>
      </c>
      <c r="G140" s="293" t="n">
        <v>283.9730529785156</v>
      </c>
      <c r="H140" s="293" t="n">
        <v>76.64755249023438</v>
      </c>
      <c r="I140" s="293" t="n">
        <v>41.06325912475586</v>
      </c>
      <c r="J140" s="293" t="n">
        <v>43.81898498535156</v>
      </c>
      <c r="K140" s="293">
        <f>'07_Backtest_CMD'!AL153</f>
        <v/>
      </c>
      <c r="M140" s="503" t="n">
        <v>44012</v>
      </c>
      <c r="N140" s="504">
        <f>IF(OR(D140="",D139=""),"",D140/D139-1)</f>
        <v/>
      </c>
      <c r="O140" s="504">
        <f>IF(OR(E140="",E139=""),"",E140/E139-1)</f>
        <v/>
      </c>
      <c r="P140" s="504">
        <f>IF(OR(F140="",F139=""),"",F140/F139-1)</f>
        <v/>
      </c>
      <c r="Q140" s="504">
        <f>IF(OR(G140="",G139=""),"",G140/G139-1)</f>
        <v/>
      </c>
      <c r="R140" s="504">
        <f>IF(OR(H140="",H139=""),"",H140/H139-1)</f>
        <v/>
      </c>
      <c r="S140" s="504">
        <f>IF(OR(I140="",I139=""),"",I140/I139-1)</f>
        <v/>
      </c>
      <c r="T140" s="504">
        <f>IF(OR(J140="",J139=""),"",J140/J139-1)</f>
        <v/>
      </c>
      <c r="U140" s="504">
        <f>IF(OR(K140="",K139=""),"",K140/K139-1)</f>
        <v/>
      </c>
    </row>
    <row r="141">
      <c r="C141" s="503" t="n">
        <v>44043</v>
      </c>
      <c r="D141" s="293" t="n">
        <v>84.87265014648438</v>
      </c>
      <c r="E141" s="293" t="n">
        <v>139.3436737060547</v>
      </c>
      <c r="F141" s="293" t="n">
        <v>137.7748870849609</v>
      </c>
      <c r="G141" s="293" t="n">
        <v>300.6968688964844</v>
      </c>
      <c r="H141" s="293" t="n">
        <v>76.65596771240234</v>
      </c>
      <c r="I141" s="293" t="n">
        <v>44.21047592163086</v>
      </c>
      <c r="J141" s="293" t="n">
        <v>47.07963562011719</v>
      </c>
      <c r="K141" s="293">
        <f>'07_Backtest_CMD'!AL154</f>
        <v/>
      </c>
      <c r="M141" s="503" t="n">
        <v>44043</v>
      </c>
      <c r="N141" s="504">
        <f>IF(OR(D141="",D140=""),"",D141/D140-1)</f>
        <v/>
      </c>
      <c r="O141" s="504">
        <f>IF(OR(E141="",E140=""),"",E141/E140-1)</f>
        <v/>
      </c>
      <c r="P141" s="504">
        <f>IF(OR(F141="",F140=""),"",F141/F140-1)</f>
        <v/>
      </c>
      <c r="Q141" s="504">
        <f>IF(OR(G141="",G140=""),"",G141/G140-1)</f>
        <v/>
      </c>
      <c r="R141" s="504">
        <f>IF(OR(H141="",H140=""),"",H141/H140-1)</f>
        <v/>
      </c>
      <c r="S141" s="504">
        <f>IF(OR(I141="",I140=""),"",I141/I140-1)</f>
        <v/>
      </c>
      <c r="T141" s="504">
        <f>IF(OR(J141="",J140=""),"",J141/J140-1)</f>
        <v/>
      </c>
      <c r="U141" s="504">
        <f>IF(OR(K141="",K140=""),"",K141/K140-1)</f>
        <v/>
      </c>
    </row>
    <row r="142">
      <c r="C142" s="503" t="n">
        <v>44074</v>
      </c>
      <c r="D142" s="293" t="n">
        <v>81.61563873291016</v>
      </c>
      <c r="E142" s="293" t="n">
        <v>134.2495880126953</v>
      </c>
      <c r="F142" s="293" t="n">
        <v>128.5020294189453</v>
      </c>
      <c r="G142" s="293" t="n">
        <v>321.6845397949219</v>
      </c>
      <c r="H142" s="293" t="n">
        <v>76.65596771240234</v>
      </c>
      <c r="I142" s="293" t="n">
        <v>47.96511840820312</v>
      </c>
      <c r="J142" s="293" t="n">
        <v>48.41883850097656</v>
      </c>
      <c r="K142" s="293">
        <f>'07_Backtest_CMD'!AL155</f>
        <v/>
      </c>
      <c r="M142" s="503" t="n">
        <v>44074</v>
      </c>
      <c r="N142" s="504">
        <f>IF(OR(D142="",D141=""),"",D142/D141-1)</f>
        <v/>
      </c>
      <c r="O142" s="504">
        <f>IF(OR(E142="",E141=""),"",E142/E141-1)</f>
        <v/>
      </c>
      <c r="P142" s="504">
        <f>IF(OR(F142="",F141=""),"",F142/F141-1)</f>
        <v/>
      </c>
      <c r="Q142" s="504">
        <f>IF(OR(G142="",G141=""),"",G142/G141-1)</f>
        <v/>
      </c>
      <c r="R142" s="504">
        <f>IF(OR(H142="",H141=""),"",H142/H141-1)</f>
        <v/>
      </c>
      <c r="S142" s="504">
        <f>IF(OR(I142="",I141=""),"",I142/I141-1)</f>
        <v/>
      </c>
      <c r="T142" s="504">
        <f>IF(OR(J142="",J141=""),"",J142/J141-1)</f>
        <v/>
      </c>
      <c r="U142" s="504">
        <f>IF(OR(K142="",K141=""),"",K142/K141-1)</f>
        <v/>
      </c>
    </row>
    <row r="143">
      <c r="C143" s="503" t="n">
        <v>44104</v>
      </c>
      <c r="D143" s="293" t="n">
        <v>81.35604095458984</v>
      </c>
      <c r="E143" s="293" t="n">
        <v>135.2733917236328</v>
      </c>
      <c r="F143" s="293" t="n">
        <v>129.8827362060547</v>
      </c>
      <c r="G143" s="293" t="n">
        <v>309.6394653320312</v>
      </c>
      <c r="H143" s="293" t="n">
        <v>76.63919830322266</v>
      </c>
      <c r="I143" s="293" t="n">
        <v>46.99660110473633</v>
      </c>
      <c r="J143" s="293" t="n">
        <v>47.56404495239258</v>
      </c>
      <c r="K143" s="293">
        <f>'07_Backtest_CMD'!AL156</f>
        <v/>
      </c>
      <c r="M143" s="503" t="n">
        <v>44104</v>
      </c>
      <c r="N143" s="504">
        <f>IF(OR(D143="",D142=""),"",D143/D142-1)</f>
        <v/>
      </c>
      <c r="O143" s="504">
        <f>IF(OR(E143="",E142=""),"",E143/E142-1)</f>
        <v/>
      </c>
      <c r="P143" s="504">
        <f>IF(OR(F143="",F142=""),"",F143/F142-1)</f>
        <v/>
      </c>
      <c r="Q143" s="504">
        <f>IF(OR(G143="",G142=""),"",G143/G142-1)</f>
        <v/>
      </c>
      <c r="R143" s="504">
        <f>IF(OR(H143="",H142=""),"",H143/H142-1)</f>
        <v/>
      </c>
      <c r="S143" s="504">
        <f>IF(OR(I143="",I142=""),"",I143/I142-1)</f>
        <v/>
      </c>
      <c r="T143" s="504">
        <f>IF(OR(J143="",J142=""),"",J143/J142-1)</f>
        <v/>
      </c>
      <c r="U143" s="504">
        <f>IF(OR(K143="",K142=""),"",K143/K142-1)</f>
        <v/>
      </c>
    </row>
    <row r="144">
      <c r="C144" s="503" t="n">
        <v>44135</v>
      </c>
      <c r="D144" s="293" t="n">
        <v>80.64710998535156</v>
      </c>
      <c r="E144" s="293" t="n">
        <v>131.4745483398438</v>
      </c>
      <c r="F144" s="293" t="n">
        <v>124.0479278564453</v>
      </c>
      <c r="G144" s="293" t="n">
        <v>301.9190979003906</v>
      </c>
      <c r="H144" s="293" t="n">
        <v>76.64755249023438</v>
      </c>
      <c r="I144" s="293" t="n">
        <v>44.9833984375</v>
      </c>
      <c r="J144" s="293" t="n">
        <v>46.19651412963867</v>
      </c>
      <c r="K144" s="293">
        <f>'07_Backtest_CMD'!AL157</f>
        <v/>
      </c>
      <c r="M144" s="503" t="n">
        <v>44135</v>
      </c>
      <c r="N144" s="504">
        <f>IF(OR(D144="",D143=""),"",D144/D143-1)</f>
        <v/>
      </c>
      <c r="O144" s="504">
        <f>IF(OR(E144="",E143=""),"",E144/E143-1)</f>
        <v/>
      </c>
      <c r="P144" s="504">
        <f>IF(OR(F144="",F143=""),"",F144/F143-1)</f>
        <v/>
      </c>
      <c r="Q144" s="504">
        <f>IF(OR(G144="",G143=""),"",G144/G143-1)</f>
        <v/>
      </c>
      <c r="R144" s="504">
        <f>IF(OR(H144="",H143=""),"",H144/H143-1)</f>
        <v/>
      </c>
      <c r="S144" s="504">
        <f>IF(OR(I144="",I143=""),"",I144/I143-1)</f>
        <v/>
      </c>
      <c r="T144" s="504">
        <f>IF(OR(J144="",J143=""),"",J144/J143-1)</f>
        <v/>
      </c>
      <c r="U144" s="504">
        <f>IF(OR(K144="",K143=""),"",K144/K143-1)</f>
        <v/>
      </c>
    </row>
    <row r="145">
      <c r="C145" s="503" t="n">
        <v>44165</v>
      </c>
      <c r="D145" s="293" t="n">
        <v>85.57273101806641</v>
      </c>
      <c r="E145" s="293" t="n">
        <v>132.8666076660156</v>
      </c>
      <c r="F145" s="293" t="n">
        <v>127.0495986938477</v>
      </c>
      <c r="G145" s="293" t="n">
        <v>334.7608337402344</v>
      </c>
      <c r="H145" s="293" t="n">
        <v>76.63919830322266</v>
      </c>
      <c r="I145" s="293" t="n">
        <v>48.44467163085938</v>
      </c>
      <c r="J145" s="293" t="n">
        <v>49.05870819091797</v>
      </c>
      <c r="K145" s="293">
        <f>'07_Backtest_CMD'!AL158</f>
        <v/>
      </c>
      <c r="M145" s="503" t="n">
        <v>44165</v>
      </c>
      <c r="N145" s="504">
        <f>IF(OR(D145="",D144=""),"",D145/D144-1)</f>
        <v/>
      </c>
      <c r="O145" s="504">
        <f>IF(OR(E145="",E144=""),"",E145/E144-1)</f>
        <v/>
      </c>
      <c r="P145" s="504">
        <f>IF(OR(F145="",F144=""),"",F145/F144-1)</f>
        <v/>
      </c>
      <c r="Q145" s="504">
        <f>IF(OR(G145="",G144=""),"",G145/G144-1)</f>
        <v/>
      </c>
      <c r="R145" s="504">
        <f>IF(OR(H145="",H144=""),"",H145/H144-1)</f>
        <v/>
      </c>
      <c r="S145" s="504">
        <f>IF(OR(I145="",I144=""),"",I145/I144-1)</f>
        <v/>
      </c>
      <c r="T145" s="504">
        <f>IF(OR(J145="",J144=""),"",J145/J144-1)</f>
        <v/>
      </c>
      <c r="U145" s="504">
        <f>IF(OR(K145="",K144=""),"",K145/K144-1)</f>
        <v/>
      </c>
    </row>
    <row r="146">
      <c r="C146" s="503" t="n">
        <v>44196</v>
      </c>
      <c r="D146" s="293" t="n">
        <v>85.41087341308594</v>
      </c>
      <c r="E146" s="293" t="n">
        <v>131.4628143310547</v>
      </c>
      <c r="F146" s="293" t="n">
        <v>124.7910537719727</v>
      </c>
      <c r="G146" s="293" t="n">
        <v>347.1631774902344</v>
      </c>
      <c r="H146" s="293" t="n">
        <v>76.64170074462891</v>
      </c>
      <c r="I146" s="293" t="n">
        <v>49.90771102905273</v>
      </c>
      <c r="J146" s="293" t="n">
        <v>50.05909729003906</v>
      </c>
      <c r="K146" s="293">
        <f>'07_Backtest_CMD'!AL159</f>
        <v/>
      </c>
      <c r="M146" s="503" t="n">
        <v>44196</v>
      </c>
      <c r="N146" s="504">
        <f>IF(OR(D146="",D145=""),"",D146/D145-1)</f>
        <v/>
      </c>
      <c r="O146" s="504">
        <f>IF(OR(E146="",E145=""),"",E146/E145-1)</f>
        <v/>
      </c>
      <c r="P146" s="504">
        <f>IF(OR(F146="",F145=""),"",F146/F145-1)</f>
        <v/>
      </c>
      <c r="Q146" s="504">
        <f>IF(OR(G146="",G145=""),"",G146/G145-1)</f>
        <v/>
      </c>
      <c r="R146" s="504">
        <f>IF(OR(H146="",H145=""),"",H146/H145-1)</f>
        <v/>
      </c>
      <c r="S146" s="504">
        <f>IF(OR(I146="",I145=""),"",I146/I145-1)</f>
        <v/>
      </c>
      <c r="T146" s="504">
        <f>IF(OR(J146="",J145=""),"",J146/J145-1)</f>
        <v/>
      </c>
      <c r="U146" s="504">
        <f>IF(OR(K146="",K145=""),"",K146/K145-1)</f>
        <v/>
      </c>
    </row>
    <row r="147">
      <c r="C147" s="503" t="n">
        <v>44227</v>
      </c>
      <c r="D147" s="293" t="n">
        <v>83.01167297363281</v>
      </c>
      <c r="E147" s="293" t="n">
        <v>127.5573348999023</v>
      </c>
      <c r="F147" s="293" t="n">
        <v>118.9242477416992</v>
      </c>
      <c r="G147" s="293" t="n">
        <v>343.6254272460938</v>
      </c>
      <c r="H147" s="293" t="n">
        <v>76.64170074462891</v>
      </c>
      <c r="I147" s="293" t="n">
        <v>49.99732208251953</v>
      </c>
      <c r="J147" s="293" t="n">
        <v>49.1472053527832</v>
      </c>
      <c r="K147" s="293">
        <f>'07_Backtest_CMD'!AL160</f>
        <v/>
      </c>
      <c r="M147" s="503" t="n">
        <v>44227</v>
      </c>
      <c r="N147" s="504">
        <f>IF(OR(D147="",D146=""),"",D147/D146-1)</f>
        <v/>
      </c>
      <c r="O147" s="504">
        <f>IF(OR(E147="",E146=""),"",E147/E146-1)</f>
        <v/>
      </c>
      <c r="P147" s="504">
        <f>IF(OR(F147="",F146=""),"",F147/F146-1)</f>
        <v/>
      </c>
      <c r="Q147" s="504">
        <f>IF(OR(G147="",G146=""),"",G147/G146-1)</f>
        <v/>
      </c>
      <c r="R147" s="504">
        <f>IF(OR(H147="",H146=""),"",H147/H146-1)</f>
        <v/>
      </c>
      <c r="S147" s="504">
        <f>IF(OR(I147="",I146=""),"",I147/I146-1)</f>
        <v/>
      </c>
      <c r="T147" s="504">
        <f>IF(OR(J147="",J146=""),"",J147/J146-1)</f>
        <v/>
      </c>
      <c r="U147" s="504">
        <f>IF(OR(K147="",K146=""),"",K147/K146-1)</f>
        <v/>
      </c>
    </row>
    <row r="148">
      <c r="C148" s="503" t="n">
        <v>44255</v>
      </c>
      <c r="D148" s="293" t="n">
        <v>80.22692108154297</v>
      </c>
      <c r="E148" s="293" t="n">
        <v>120.8510818481445</v>
      </c>
      <c r="F148" s="293" t="n">
        <v>109.714469909668</v>
      </c>
      <c r="G148" s="293" t="n">
        <v>353.1801452636719</v>
      </c>
      <c r="H148" s="293" t="n">
        <v>76.63333129882812</v>
      </c>
      <c r="I148" s="293" t="n">
        <v>49.27668762207031</v>
      </c>
      <c r="J148" s="293" t="n">
        <v>48.57469177246094</v>
      </c>
      <c r="K148" s="293">
        <f>'07_Backtest_CMD'!AL161</f>
        <v/>
      </c>
      <c r="M148" s="503" t="n">
        <v>44255</v>
      </c>
      <c r="N148" s="504">
        <f>IF(OR(D148="",D147=""),"",D148/D147-1)</f>
        <v/>
      </c>
      <c r="O148" s="504">
        <f>IF(OR(E148="",E147=""),"",E148/E147-1)</f>
        <v/>
      </c>
      <c r="P148" s="504">
        <f>IF(OR(F148="",F147=""),"",F148/F147-1)</f>
        <v/>
      </c>
      <c r="Q148" s="504">
        <f>IF(OR(G148="",G147=""),"",G148/G147-1)</f>
        <v/>
      </c>
      <c r="R148" s="504">
        <f>IF(OR(H148="",H147=""),"",H148/H147-1)</f>
        <v/>
      </c>
      <c r="S148" s="504">
        <f>IF(OR(I148="",I147=""),"",I148/I147-1)</f>
        <v/>
      </c>
      <c r="T148" s="504">
        <f>IF(OR(J148="",J147=""),"",J148/J147-1)</f>
        <v/>
      </c>
      <c r="U148" s="504">
        <f>IF(OR(K148="",K147=""),"",K148/K147-1)</f>
        <v/>
      </c>
    </row>
    <row r="149">
      <c r="C149" s="503" t="n">
        <v>44286</v>
      </c>
      <c r="D149" s="293" t="n">
        <v>78.24696350097656</v>
      </c>
      <c r="E149" s="293" t="n">
        <v>115.956657409668</v>
      </c>
      <c r="F149" s="293" t="n">
        <v>102.8399200439453</v>
      </c>
      <c r="G149" s="293" t="n">
        <v>369.2142028808594</v>
      </c>
      <c r="H149" s="293" t="n">
        <v>76.62499237060547</v>
      </c>
      <c r="I149" s="293" t="n">
        <v>50.09037780761719</v>
      </c>
      <c r="J149" s="293" t="n">
        <v>51.98988342285156</v>
      </c>
      <c r="K149" s="293">
        <f>'07_Backtest_CMD'!AL162</f>
        <v/>
      </c>
      <c r="M149" s="503" t="n">
        <v>44286</v>
      </c>
      <c r="N149" s="504">
        <f>IF(OR(D149="",D148=""),"",D149/D148-1)</f>
        <v/>
      </c>
      <c r="O149" s="504">
        <f>IF(OR(E149="",E148=""),"",E149/E148-1)</f>
        <v/>
      </c>
      <c r="P149" s="504">
        <f>IF(OR(F149="",F148=""),"",F149/F148-1)</f>
        <v/>
      </c>
      <c r="Q149" s="504">
        <f>IF(OR(G149="",G148=""),"",G149/G148-1)</f>
        <v/>
      </c>
      <c r="R149" s="504">
        <f>IF(OR(H149="",H148=""),"",H149/H148-1)</f>
        <v/>
      </c>
      <c r="S149" s="504">
        <f>IF(OR(I149="",I148=""),"",I149/I148-1)</f>
        <v/>
      </c>
      <c r="T149" s="504">
        <f>IF(OR(J149="",J148=""),"",J149/J148-1)</f>
        <v/>
      </c>
      <c r="U149" s="504">
        <f>IF(OR(K149="",K148=""),"",K149/K148-1)</f>
        <v/>
      </c>
    </row>
    <row r="150">
      <c r="C150" s="503" t="n">
        <v>44316</v>
      </c>
      <c r="D150" s="293" t="n">
        <v>79.53262329101562</v>
      </c>
      <c r="E150" s="293" t="n">
        <v>118.1830139160156</v>
      </c>
      <c r="F150" s="293" t="n">
        <v>105.8016357421875</v>
      </c>
      <c r="G150" s="293" t="n">
        <v>388.74951171875</v>
      </c>
      <c r="H150" s="293" t="n">
        <v>76.62499237060547</v>
      </c>
      <c r="I150" s="293" t="n">
        <v>52.77693176269531</v>
      </c>
      <c r="J150" s="293" t="n">
        <v>54.10988616943359</v>
      </c>
      <c r="K150" s="293">
        <f>'07_Backtest_CMD'!AL163</f>
        <v/>
      </c>
      <c r="M150" s="503" t="n">
        <v>44316</v>
      </c>
      <c r="N150" s="504">
        <f>IF(OR(D150="",D149=""),"",D150/D149-1)</f>
        <v/>
      </c>
      <c r="O150" s="504">
        <f>IF(OR(E150="",E149=""),"",E150/E149-1)</f>
        <v/>
      </c>
      <c r="P150" s="504">
        <f>IF(OR(F150="",F149=""),"",F150/F149-1)</f>
        <v/>
      </c>
      <c r="Q150" s="504">
        <f>IF(OR(G150="",G149=""),"",G150/G149-1)</f>
        <v/>
      </c>
      <c r="R150" s="504">
        <f>IF(OR(H150="",H149=""),"",H150/H149-1)</f>
        <v/>
      </c>
      <c r="S150" s="504">
        <f>IF(OR(I150="",I149=""),"",I150/I149-1)</f>
        <v/>
      </c>
      <c r="T150" s="504">
        <f>IF(OR(J150="",J149=""),"",J150/J149-1)</f>
        <v/>
      </c>
      <c r="U150" s="504">
        <f>IF(OR(K150="",K149=""),"",K150/K149-1)</f>
        <v/>
      </c>
    </row>
    <row r="151">
      <c r="C151" s="503" t="n">
        <v>44347</v>
      </c>
      <c r="D151" s="293" t="n">
        <v>80.09667205810547</v>
      </c>
      <c r="E151" s="293" t="n">
        <v>118.2518463134766</v>
      </c>
      <c r="F151" s="293" t="n">
        <v>105.6863327026367</v>
      </c>
      <c r="G151" s="293" t="n">
        <v>391.3020935058594</v>
      </c>
      <c r="H151" s="293" t="n">
        <v>76.61656951904297</v>
      </c>
      <c r="I151" s="293" t="n">
        <v>52.36128997802734</v>
      </c>
      <c r="J151" s="293" t="n">
        <v>54.71846008300781</v>
      </c>
      <c r="K151" s="293">
        <f>'07_Backtest_CMD'!AL164</f>
        <v/>
      </c>
      <c r="M151" s="503" t="n">
        <v>44347</v>
      </c>
      <c r="N151" s="504">
        <f>IF(OR(D151="",D150=""),"",D151/D150-1)</f>
        <v/>
      </c>
      <c r="O151" s="504">
        <f>IF(OR(E151="",E150=""),"",E151/E150-1)</f>
        <v/>
      </c>
      <c r="P151" s="504">
        <f>IF(OR(F151="",F150=""),"",F151/F150-1)</f>
        <v/>
      </c>
      <c r="Q151" s="504">
        <f>IF(OR(G151="",G150=""),"",G151/G150-1)</f>
        <v/>
      </c>
      <c r="R151" s="504">
        <f>IF(OR(H151="",H150=""),"",H151/H150-1)</f>
        <v/>
      </c>
      <c r="S151" s="504">
        <f>IF(OR(I151="",I150=""),"",I151/I150-1)</f>
        <v/>
      </c>
      <c r="T151" s="504">
        <f>IF(OR(J151="",J150=""),"",J151/J150-1)</f>
        <v/>
      </c>
      <c r="U151" s="504">
        <f>IF(OR(K151="",K150=""),"",K151/K150-1)</f>
        <v/>
      </c>
    </row>
    <row r="152">
      <c r="C152" s="503" t="n">
        <v>44377</v>
      </c>
      <c r="D152" s="293" t="n">
        <v>83.31185150146484</v>
      </c>
      <c r="E152" s="293" t="n">
        <v>122.0173568725586</v>
      </c>
      <c r="F152" s="293" t="n">
        <v>111.4763336181641</v>
      </c>
      <c r="G152" s="293" t="n">
        <v>400.0780944824219</v>
      </c>
      <c r="H152" s="293" t="n">
        <v>76.599853515625</v>
      </c>
      <c r="I152" s="293" t="n">
        <v>56.11830520629883</v>
      </c>
      <c r="J152" s="293" t="n">
        <v>54.67670440673828</v>
      </c>
      <c r="K152" s="293">
        <f>'07_Backtest_CMD'!AL165</f>
        <v/>
      </c>
      <c r="M152" s="503" t="n">
        <v>44377</v>
      </c>
      <c r="N152" s="504">
        <f>IF(OR(D152="",D151=""),"",D152/D151-1)</f>
        <v/>
      </c>
      <c r="O152" s="504">
        <f>IF(OR(E152="",E151=""),"",E152/E151-1)</f>
        <v/>
      </c>
      <c r="P152" s="504">
        <f>IF(OR(F152="",F151=""),"",F152/F151-1)</f>
        <v/>
      </c>
      <c r="Q152" s="504">
        <f>IF(OR(G152="",G151=""),"",G152/G151-1)</f>
        <v/>
      </c>
      <c r="R152" s="504">
        <f>IF(OR(H152="",H151=""),"",H152/H151-1)</f>
        <v/>
      </c>
      <c r="S152" s="504">
        <f>IF(OR(I152="",I151=""),"",I152/I151-1)</f>
        <v/>
      </c>
      <c r="T152" s="504">
        <f>IF(OR(J152="",J151=""),"",J152/J151-1)</f>
        <v/>
      </c>
      <c r="U152" s="504">
        <f>IF(OR(K152="",K151=""),"",K152/K151-1)</f>
        <v/>
      </c>
    </row>
    <row r="153">
      <c r="C153" s="503" t="n">
        <v>44408</v>
      </c>
      <c r="D153" s="293" t="n">
        <v>85.14260864257812</v>
      </c>
      <c r="E153" s="293" t="n">
        <v>126.0820693969727</v>
      </c>
      <c r="F153" s="293" t="n">
        <v>117.0149688720703</v>
      </c>
      <c r="G153" s="293" t="n">
        <v>409.844970703125</v>
      </c>
      <c r="H153" s="293" t="n">
        <v>76.59146118164062</v>
      </c>
      <c r="I153" s="293" t="n">
        <v>57.36854934692383</v>
      </c>
      <c r="J153" s="293" t="n">
        <v>56.68257904052734</v>
      </c>
      <c r="K153" s="293">
        <f>'07_Backtest_CMD'!AL166</f>
        <v/>
      </c>
      <c r="M153" s="503" t="n">
        <v>44408</v>
      </c>
      <c r="N153" s="504">
        <f>IF(OR(D153="",D152=""),"",D153/D152-1)</f>
        <v/>
      </c>
      <c r="O153" s="504">
        <f>IF(OR(E153="",E152=""),"",E153/E152-1)</f>
        <v/>
      </c>
      <c r="P153" s="504">
        <f>IF(OR(F153="",F152=""),"",F153/F152-1)</f>
        <v/>
      </c>
      <c r="Q153" s="504">
        <f>IF(OR(G153="",G152=""),"",G153/G152-1)</f>
        <v/>
      </c>
      <c r="R153" s="504">
        <f>IF(OR(H153="",H152=""),"",H153/H152-1)</f>
        <v/>
      </c>
      <c r="S153" s="504">
        <f>IF(OR(I153="",I152=""),"",I153/I152-1)</f>
        <v/>
      </c>
      <c r="T153" s="504">
        <f>IF(OR(J153="",J152=""),"",J153/J152-1)</f>
        <v/>
      </c>
      <c r="U153" s="504">
        <f>IF(OR(K153="",K152=""),"",K153/K152-1)</f>
        <v/>
      </c>
    </row>
    <row r="154">
      <c r="C154" s="503" t="n">
        <v>44439</v>
      </c>
      <c r="D154" s="293" t="n">
        <v>84.78791809082031</v>
      </c>
      <c r="E154" s="293" t="n">
        <v>125.8123931884766</v>
      </c>
      <c r="F154" s="293" t="n">
        <v>116.6838607788086</v>
      </c>
      <c r="G154" s="293" t="n">
        <v>422.0418701171875</v>
      </c>
      <c r="H154" s="293" t="n">
        <v>76.58306884765625</v>
      </c>
      <c r="I154" s="293" t="n">
        <v>60.00333786010742</v>
      </c>
      <c r="J154" s="293" t="n">
        <v>57.69524765014648</v>
      </c>
      <c r="K154" s="293">
        <f>'07_Backtest_CMD'!AL167</f>
        <v/>
      </c>
      <c r="M154" s="503" t="n">
        <v>44439</v>
      </c>
      <c r="N154" s="504">
        <f>IF(OR(D154="",D153=""),"",D154/D153-1)</f>
        <v/>
      </c>
      <c r="O154" s="504">
        <f>IF(OR(E154="",E153=""),"",E154/E153-1)</f>
        <v/>
      </c>
      <c r="P154" s="504">
        <f>IF(OR(F154="",F153=""),"",F154/F153-1)</f>
        <v/>
      </c>
      <c r="Q154" s="504">
        <f>IF(OR(G154="",G153=""),"",G154/G153-1)</f>
        <v/>
      </c>
      <c r="R154" s="504">
        <f>IF(OR(H154="",H153=""),"",H154/H153-1)</f>
        <v/>
      </c>
      <c r="S154" s="504">
        <f>IF(OR(I154="",I153=""),"",I154/I153-1)</f>
        <v/>
      </c>
      <c r="T154" s="504">
        <f>IF(OR(J154="",J153=""),"",J154/J153-1)</f>
        <v/>
      </c>
      <c r="U154" s="504">
        <f>IF(OR(K154="",K153=""),"",K154/K153-1)</f>
        <v/>
      </c>
    </row>
    <row r="155">
      <c r="C155" s="503" t="n">
        <v>44469</v>
      </c>
      <c r="D155" s="293" t="n">
        <v>82.88265228271484</v>
      </c>
      <c r="E155" s="293" t="n">
        <v>122.5964050292969</v>
      </c>
      <c r="F155" s="293" t="n">
        <v>112.2048950195312</v>
      </c>
      <c r="G155" s="293" t="n">
        <v>402.3724365234375</v>
      </c>
      <c r="H155" s="293" t="n">
        <v>76.59146118164062</v>
      </c>
      <c r="I155" s="293" t="n">
        <v>57.12927627563477</v>
      </c>
      <c r="J155" s="293" t="n">
        <v>54.760986328125</v>
      </c>
      <c r="K155" s="293">
        <f>'07_Backtest_CMD'!AL168</f>
        <v/>
      </c>
      <c r="M155" s="503" t="n">
        <v>44469</v>
      </c>
      <c r="N155" s="504">
        <f>IF(OR(D155="",D154=""),"",D155/D154-1)</f>
        <v/>
      </c>
      <c r="O155" s="504">
        <f>IF(OR(E155="",E154=""),"",E155/E154-1)</f>
        <v/>
      </c>
      <c r="P155" s="504">
        <f>IF(OR(F155="",F154=""),"",F155/F154-1)</f>
        <v/>
      </c>
      <c r="Q155" s="504">
        <f>IF(OR(G155="",G154=""),"",G155/G154-1)</f>
        <v/>
      </c>
      <c r="R155" s="504">
        <f>IF(OR(H155="",H154=""),"",H155/H154-1)</f>
        <v/>
      </c>
      <c r="S155" s="504">
        <f>IF(OR(I155="",I154=""),"",I155/I154-1)</f>
        <v/>
      </c>
      <c r="T155" s="504">
        <f>IF(OR(J155="",J154=""),"",J155/J154-1)</f>
        <v/>
      </c>
      <c r="U155" s="504">
        <f>IF(OR(K155="",K154=""),"",K155/K154-1)</f>
        <v/>
      </c>
    </row>
    <row r="156">
      <c r="C156" s="503" t="n">
        <v>44500</v>
      </c>
      <c r="D156" s="293" t="n">
        <v>84.32068634033203</v>
      </c>
      <c r="E156" s="293" t="n">
        <v>123.3885879516602</v>
      </c>
      <c r="F156" s="293" t="n">
        <v>116.1629943847656</v>
      </c>
      <c r="G156" s="293" t="n">
        <v>430.6042785644531</v>
      </c>
      <c r="H156" s="293" t="n">
        <v>76.58306884765625</v>
      </c>
      <c r="I156" s="293" t="n">
        <v>61.33964538574219</v>
      </c>
      <c r="J156" s="293" t="n">
        <v>57.32917785644531</v>
      </c>
      <c r="K156" s="293">
        <f>'07_Backtest_CMD'!AL169</f>
        <v/>
      </c>
      <c r="M156" s="503" t="n">
        <v>44500</v>
      </c>
      <c r="N156" s="504">
        <f>IF(OR(D156="",D155=""),"",D156/D155-1)</f>
        <v/>
      </c>
      <c r="O156" s="504">
        <f>IF(OR(E156="",E155=""),"",E156/E155-1)</f>
        <v/>
      </c>
      <c r="P156" s="504">
        <f>IF(OR(F156="",F155=""),"",F156/F155-1)</f>
        <v/>
      </c>
      <c r="Q156" s="504">
        <f>IF(OR(G156="",G155=""),"",G156/G155-1)</f>
        <v/>
      </c>
      <c r="R156" s="504">
        <f>IF(OR(H156="",H155=""),"",H156/H155-1)</f>
        <v/>
      </c>
      <c r="S156" s="504">
        <f>IF(OR(I156="",I155=""),"",I156/I155-1)</f>
        <v/>
      </c>
      <c r="T156" s="504">
        <f>IF(OR(J156="",J155=""),"",J156/J155-1)</f>
        <v/>
      </c>
      <c r="U156" s="504">
        <f>IF(OR(K156="",K155=""),"",K156/K155-1)</f>
        <v/>
      </c>
    </row>
    <row r="157">
      <c r="C157" s="503" t="n">
        <v>44530</v>
      </c>
      <c r="D157" s="293" t="n">
        <v>84.62605285644531</v>
      </c>
      <c r="E157" s="293" t="n">
        <v>126.0617370605469</v>
      </c>
      <c r="F157" s="293" t="n">
        <v>120.3491516113281</v>
      </c>
      <c r="G157" s="293" t="n">
        <v>427.1444396972656</v>
      </c>
      <c r="H157" s="293" t="n">
        <v>76.56636047363281</v>
      </c>
      <c r="I157" s="293" t="n">
        <v>59.55411529541016</v>
      </c>
      <c r="J157" s="293" t="n">
        <v>56.55714416503906</v>
      </c>
      <c r="K157" s="293">
        <f>'07_Backtest_CMD'!AL170</f>
        <v/>
      </c>
      <c r="M157" s="503" t="n">
        <v>44530</v>
      </c>
      <c r="N157" s="504">
        <f>IF(OR(D157="",D156=""),"",D157/D156-1)</f>
        <v/>
      </c>
      <c r="O157" s="504">
        <f>IF(OR(E157="",E156=""),"",E157/E156-1)</f>
        <v/>
      </c>
      <c r="P157" s="504">
        <f>IF(OR(F157="",F156=""),"",F157/F156-1)</f>
        <v/>
      </c>
      <c r="Q157" s="504">
        <f>IF(OR(G157="",G156=""),"",G157/G156-1)</f>
        <v/>
      </c>
      <c r="R157" s="504">
        <f>IF(OR(H157="",H156=""),"",H157/H156-1)</f>
        <v/>
      </c>
      <c r="S157" s="504">
        <f>IF(OR(I157="",I156=""),"",I157/I156-1)</f>
        <v/>
      </c>
      <c r="T157" s="504">
        <f>IF(OR(J157="",J156=""),"",J157/J156-1)</f>
        <v/>
      </c>
      <c r="U157" s="504">
        <f>IF(OR(K157="",K156=""),"",K157/K156-1)</f>
        <v/>
      </c>
    </row>
    <row r="158">
      <c r="C158" s="503" t="n">
        <v>44561</v>
      </c>
      <c r="D158" s="293" t="n">
        <v>83.93484497070312</v>
      </c>
      <c r="E158" s="293" t="n">
        <v>124.3924179077148</v>
      </c>
      <c r="F158" s="293" t="n">
        <v>117.0730133056641</v>
      </c>
      <c r="G158" s="293" t="n">
        <v>446.8989562988281</v>
      </c>
      <c r="H158" s="293" t="n">
        <v>76.56636047363281</v>
      </c>
      <c r="I158" s="293" t="n">
        <v>61.14003372192383</v>
      </c>
      <c r="J158" s="293" t="n">
        <v>62.04975891113281</v>
      </c>
      <c r="K158" s="293">
        <f>'07_Backtest_CMD'!AL171</f>
        <v/>
      </c>
      <c r="M158" s="503" t="n">
        <v>44561</v>
      </c>
      <c r="N158" s="504">
        <f>IF(OR(D158="",D157=""),"",D158/D157-1)</f>
        <v/>
      </c>
      <c r="O158" s="504">
        <f>IF(OR(E158="",E157=""),"",E158/E157-1)</f>
        <v/>
      </c>
      <c r="P158" s="504">
        <f>IF(OR(F158="",F157=""),"",F158/F157-1)</f>
        <v/>
      </c>
      <c r="Q158" s="504">
        <f>IF(OR(G158="",G157=""),"",G158/G157-1)</f>
        <v/>
      </c>
      <c r="R158" s="504">
        <f>IF(OR(H158="",H157=""),"",H158/H157-1)</f>
        <v/>
      </c>
      <c r="S158" s="504">
        <f>IF(OR(I158="",I157=""),"",I158/I157-1)</f>
        <v/>
      </c>
      <c r="T158" s="504">
        <f>IF(OR(J158="",J157=""),"",J158/J157-1)</f>
        <v/>
      </c>
      <c r="U158" s="504">
        <f>IF(OR(K158="",K157=""),"",K158/K157-1)</f>
        <v/>
      </c>
    </row>
    <row r="159">
      <c r="C159" s="503" t="n">
        <v>44592</v>
      </c>
      <c r="D159" s="293" t="n">
        <v>79.72383117675781</v>
      </c>
      <c r="E159" s="293" t="n">
        <v>120.3438873291016</v>
      </c>
      <c r="F159" s="293" t="n">
        <v>111.5371475219727</v>
      </c>
      <c r="G159" s="293" t="n">
        <v>423.3289184570312</v>
      </c>
      <c r="H159" s="293" t="n">
        <v>76.56636047363281</v>
      </c>
      <c r="I159" s="293" t="n">
        <v>57.24819183349609</v>
      </c>
      <c r="J159" s="293" t="n">
        <v>59.17965698242188</v>
      </c>
      <c r="K159" s="293">
        <f>'07_Backtest_CMD'!AL172</f>
        <v/>
      </c>
      <c r="M159" s="503" t="n">
        <v>44592</v>
      </c>
      <c r="N159" s="504">
        <f>IF(OR(D159="",D158=""),"",D159/D158-1)</f>
        <v/>
      </c>
      <c r="O159" s="504">
        <f>IF(OR(E159="",E158=""),"",E159/E158-1)</f>
        <v/>
      </c>
      <c r="P159" s="504">
        <f>IF(OR(F159="",F158=""),"",F159/F158-1)</f>
        <v/>
      </c>
      <c r="Q159" s="504">
        <f>IF(OR(G159="",G158=""),"",G159/G158-1)</f>
        <v/>
      </c>
      <c r="R159" s="504">
        <f>IF(OR(H159="",H158=""),"",H159/H158-1)</f>
        <v/>
      </c>
      <c r="S159" s="504">
        <f>IF(OR(I159="",I158=""),"",I159/I158-1)</f>
        <v/>
      </c>
      <c r="T159" s="504">
        <f>IF(OR(J159="",J158=""),"",J159/J158-1)</f>
        <v/>
      </c>
      <c r="U159" s="504">
        <f>IF(OR(K159="",K158=""),"",K159/K158-1)</f>
        <v/>
      </c>
    </row>
    <row r="160">
      <c r="C160" s="503" t="n">
        <v>44620</v>
      </c>
      <c r="D160" s="293" t="n">
        <v>77.22341918945312</v>
      </c>
      <c r="E160" s="293" t="n">
        <v>119.1897583007812</v>
      </c>
      <c r="F160" s="293" t="n">
        <v>108.7273864746094</v>
      </c>
      <c r="G160" s="293" t="n">
        <v>410.83349609375</v>
      </c>
      <c r="H160" s="293" t="n">
        <v>76.54959869384766</v>
      </c>
      <c r="I160" s="293" t="n">
        <v>56.08073425292969</v>
      </c>
      <c r="J160" s="293" t="n">
        <v>57.82120513916016</v>
      </c>
      <c r="K160" s="293">
        <f>'07_Backtest_CMD'!AL173</f>
        <v/>
      </c>
      <c r="M160" s="503" t="n">
        <v>44620</v>
      </c>
      <c r="N160" s="504">
        <f>IF(OR(D160="",D159=""),"",D160/D159-1)</f>
        <v/>
      </c>
      <c r="O160" s="504">
        <f>IF(OR(E160="",E159=""),"",E160/E159-1)</f>
        <v/>
      </c>
      <c r="P160" s="504">
        <f>IF(OR(F160="",F159=""),"",F160/F159-1)</f>
        <v/>
      </c>
      <c r="Q160" s="504">
        <f>IF(OR(G160="",G159=""),"",G160/G159-1)</f>
        <v/>
      </c>
      <c r="R160" s="504">
        <f>IF(OR(H160="",H159=""),"",H160/H159-1)</f>
        <v/>
      </c>
      <c r="S160" s="504">
        <f>IF(OR(I160="",I159=""),"",I160/I159-1)</f>
        <v/>
      </c>
      <c r="T160" s="504">
        <f>IF(OR(J160="",J159=""),"",J160/J159-1)</f>
        <v/>
      </c>
      <c r="U160" s="504">
        <f>IF(OR(K160="",K159=""),"",K160/K159-1)</f>
        <v/>
      </c>
    </row>
    <row r="161">
      <c r="C161" s="503" t="n">
        <v>44651</v>
      </c>
      <c r="D161" s="293" t="n">
        <v>74.68323516845703</v>
      </c>
      <c r="E161" s="293" t="n">
        <v>113.1390533447266</v>
      </c>
      <c r="F161" s="293" t="n">
        <v>101.7866439819336</v>
      </c>
      <c r="G161" s="293" t="n">
        <v>426.2768859863281</v>
      </c>
      <c r="H161" s="293" t="n">
        <v>76.58478546142578</v>
      </c>
      <c r="I161" s="293" t="n">
        <v>58.07477188110352</v>
      </c>
      <c r="J161" s="293" t="n">
        <v>60.96404266357422</v>
      </c>
      <c r="K161" s="293">
        <f>'07_Backtest_CMD'!AL174</f>
        <v/>
      </c>
      <c r="M161" s="503" t="n">
        <v>44651</v>
      </c>
      <c r="N161" s="504">
        <f>IF(OR(D161="",D160=""),"",D161/D160-1)</f>
        <v/>
      </c>
      <c r="O161" s="504">
        <f>IF(OR(E161="",E160=""),"",E161/E160-1)</f>
        <v/>
      </c>
      <c r="P161" s="504">
        <f>IF(OR(F161="",F160=""),"",F161/F160-1)</f>
        <v/>
      </c>
      <c r="Q161" s="504">
        <f>IF(OR(G161="",G160=""),"",G161/G160-1)</f>
        <v/>
      </c>
      <c r="R161" s="504">
        <f>IF(OR(H161="",H160=""),"",H161/H160-1)</f>
        <v/>
      </c>
      <c r="S161" s="504">
        <f>IF(OR(I161="",I160=""),"",I161/I160-1)</f>
        <v/>
      </c>
      <c r="T161" s="504">
        <f>IF(OR(J161="",J160=""),"",J161/J160-1)</f>
        <v/>
      </c>
      <c r="U161" s="504">
        <f>IF(OR(K161="",K160=""),"",K161/K160-1)</f>
        <v/>
      </c>
    </row>
    <row r="162">
      <c r="C162" s="503" t="n">
        <v>44681</v>
      </c>
      <c r="D162" s="293" t="n">
        <v>67.23754119873047</v>
      </c>
      <c r="E162" s="293" t="n">
        <v>104.3166351318359</v>
      </c>
      <c r="F162" s="293" t="n">
        <v>88.97136688232422</v>
      </c>
      <c r="G162" s="293" t="n">
        <v>388.8630065917969</v>
      </c>
      <c r="H162" s="293" t="n">
        <v>76.57639312744141</v>
      </c>
      <c r="I162" s="293" t="n">
        <v>53.12249374389648</v>
      </c>
      <c r="J162" s="293" t="n">
        <v>59.47966384887695</v>
      </c>
      <c r="K162" s="293">
        <f>'07_Backtest_CMD'!AL175</f>
        <v/>
      </c>
      <c r="M162" s="503" t="n">
        <v>44681</v>
      </c>
      <c r="N162" s="504">
        <f>IF(OR(D162="",D161=""),"",D162/D161-1)</f>
        <v/>
      </c>
      <c r="O162" s="504">
        <f>IF(OR(E162="",E161=""),"",E162/E161-1)</f>
        <v/>
      </c>
      <c r="P162" s="504">
        <f>IF(OR(F162="",F161=""),"",F162/F161-1)</f>
        <v/>
      </c>
      <c r="Q162" s="504">
        <f>IF(OR(G162="",G161=""),"",G162/G161-1)</f>
        <v/>
      </c>
      <c r="R162" s="504">
        <f>IF(OR(H162="",H161=""),"",H162/H161-1)</f>
        <v/>
      </c>
      <c r="S162" s="504">
        <f>IF(OR(I162="",I161=""),"",I162/I161-1)</f>
        <v/>
      </c>
      <c r="T162" s="504">
        <f>IF(OR(J162="",J161=""),"",J162/J161-1)</f>
        <v/>
      </c>
      <c r="U162" s="504">
        <f>IF(OR(K162="",K161=""),"",K162/K161-1)</f>
        <v/>
      </c>
    </row>
    <row r="163">
      <c r="C163" s="503" t="n">
        <v>44712</v>
      </c>
      <c r="D163" s="293" t="n">
        <v>68.46156311035156</v>
      </c>
      <c r="E163" s="293" t="n">
        <v>102.9691696166992</v>
      </c>
      <c r="F163" s="293" t="n">
        <v>85.38191223144531</v>
      </c>
      <c r="G163" s="293" t="n">
        <v>389.7407836914062</v>
      </c>
      <c r="H163" s="293" t="n">
        <v>76.60150146484375</v>
      </c>
      <c r="I163" s="293" t="n">
        <v>53.94882583618164</v>
      </c>
      <c r="J163" s="293" t="n">
        <v>59.16663360595703</v>
      </c>
      <c r="K163" s="293">
        <f>'07_Backtest_CMD'!AL176</f>
        <v/>
      </c>
      <c r="M163" s="503" t="n">
        <v>44712</v>
      </c>
      <c r="N163" s="504">
        <f>IF(OR(D163="",D162=""),"",D163/D162-1)</f>
        <v/>
      </c>
      <c r="O163" s="504">
        <f>IF(OR(E163="",E162=""),"",E163/E162-1)</f>
        <v/>
      </c>
      <c r="P163" s="504">
        <f>IF(OR(F163="",F162=""),"",F163/F162-1)</f>
        <v/>
      </c>
      <c r="Q163" s="504">
        <f>IF(OR(G163="",G162=""),"",G163/G162-1)</f>
        <v/>
      </c>
      <c r="R163" s="504">
        <f>IF(OR(H163="",H162=""),"",H163/H162-1)</f>
        <v/>
      </c>
      <c r="S163" s="504">
        <f>IF(OR(I163="",I162=""),"",I163/I162-1)</f>
        <v/>
      </c>
      <c r="T163" s="504">
        <f>IF(OR(J163="",J162=""),"",J163/J162-1)</f>
        <v/>
      </c>
      <c r="U163" s="504">
        <f>IF(OR(K163="",K162=""),"",K163/K162-1)</f>
        <v/>
      </c>
    </row>
    <row r="164">
      <c r="C164" s="503" t="n">
        <v>44742</v>
      </c>
      <c r="D164" s="293" t="n">
        <v>65.28390502929688</v>
      </c>
      <c r="E164" s="293" t="n">
        <v>101.5017395019531</v>
      </c>
      <c r="F164" s="293" t="n">
        <v>84.17140960693359</v>
      </c>
      <c r="G164" s="293" t="n">
        <v>357.6025695800781</v>
      </c>
      <c r="H164" s="293" t="n">
        <v>76.66104125976562</v>
      </c>
      <c r="I164" s="293" t="n">
        <v>49.53058242797852</v>
      </c>
      <c r="J164" s="293" t="n">
        <v>56.64089202880859</v>
      </c>
      <c r="K164" s="293">
        <f>'07_Backtest_CMD'!AL177</f>
        <v/>
      </c>
      <c r="M164" s="503" t="n">
        <v>44742</v>
      </c>
      <c r="N164" s="504">
        <f>IF(OR(D164="",D163=""),"",D164/D163-1)</f>
        <v/>
      </c>
      <c r="O164" s="504">
        <f>IF(OR(E164="",E163=""),"",E164/E163-1)</f>
        <v/>
      </c>
      <c r="P164" s="504">
        <f>IF(OR(F164="",F163=""),"",F164/F163-1)</f>
        <v/>
      </c>
      <c r="Q164" s="504">
        <f>IF(OR(G164="",G163=""),"",G164/G163-1)</f>
        <v/>
      </c>
      <c r="R164" s="504">
        <f>IF(OR(H164="",H163=""),"",H164/H163-1)</f>
        <v/>
      </c>
      <c r="S164" s="504">
        <f>IF(OR(I164="",I163=""),"",I164/I163-1)</f>
        <v/>
      </c>
      <c r="T164" s="504">
        <f>IF(OR(J164="",J163=""),"",J164/J163-1)</f>
        <v/>
      </c>
      <c r="U164" s="504">
        <f>IF(OR(K164="",K163=""),"",K164/K163-1)</f>
        <v/>
      </c>
    </row>
    <row r="165">
      <c r="C165" s="503" t="n">
        <v>44773</v>
      </c>
      <c r="D165" s="293" t="n">
        <v>68.84700775146484</v>
      </c>
      <c r="E165" s="293" t="n">
        <v>104.5017852783203</v>
      </c>
      <c r="F165" s="293" t="n">
        <v>86.18291473388672</v>
      </c>
      <c r="G165" s="293" t="n">
        <v>390.5332336425781</v>
      </c>
      <c r="H165" s="293" t="n">
        <v>76.68866729736328</v>
      </c>
      <c r="I165" s="293" t="n">
        <v>53.44742202758789</v>
      </c>
      <c r="J165" s="293" t="n">
        <v>59.04187393188477</v>
      </c>
      <c r="K165" s="293">
        <f>'07_Backtest_CMD'!AL178</f>
        <v/>
      </c>
      <c r="M165" s="503" t="n">
        <v>44773</v>
      </c>
      <c r="N165" s="504">
        <f>IF(OR(D165="",D164=""),"",D165/D164-1)</f>
        <v/>
      </c>
      <c r="O165" s="504">
        <f>IF(OR(E165="",E164=""),"",E165/E164-1)</f>
        <v/>
      </c>
      <c r="P165" s="504">
        <f>IF(OR(F165="",F164=""),"",F165/F164-1)</f>
        <v/>
      </c>
      <c r="Q165" s="504">
        <f>IF(OR(G165="",G164=""),"",G165/G164-1)</f>
        <v/>
      </c>
      <c r="R165" s="504">
        <f>IF(OR(H165="",H164=""),"",H165/H164-1)</f>
        <v/>
      </c>
      <c r="S165" s="504">
        <f>IF(OR(I165="",I164=""),"",I165/I164-1)</f>
        <v/>
      </c>
      <c r="T165" s="504">
        <f>IF(OR(J165="",J164=""),"",J165/J164-1)</f>
        <v/>
      </c>
      <c r="U165" s="504">
        <f>IF(OR(K165="",K164=""),"",K165/K164-1)</f>
        <v/>
      </c>
    </row>
    <row r="166">
      <c r="C166" s="503" t="n">
        <v>44804</v>
      </c>
      <c r="D166" s="293" t="n">
        <v>65.08087158203125</v>
      </c>
      <c r="E166" s="293" t="n">
        <v>99.74073791503906</v>
      </c>
      <c r="F166" s="293" t="n">
        <v>81.74678039550781</v>
      </c>
      <c r="G166" s="293" t="n">
        <v>374.5986633300781</v>
      </c>
      <c r="H166" s="293" t="n">
        <v>76.83723449707031</v>
      </c>
      <c r="I166" s="293" t="n">
        <v>51.86828231811523</v>
      </c>
      <c r="J166" s="293" t="n">
        <v>57.94187545776367</v>
      </c>
      <c r="K166" s="293">
        <f>'07_Backtest_CMD'!AL179</f>
        <v/>
      </c>
      <c r="M166" s="503" t="n">
        <v>44804</v>
      </c>
      <c r="N166" s="504">
        <f>IF(OR(D166="",D165=""),"",D166/D165-1)</f>
        <v/>
      </c>
      <c r="O166" s="504">
        <f>IF(OR(E166="",E165=""),"",E166/E165-1)</f>
        <v/>
      </c>
      <c r="P166" s="504">
        <f>IF(OR(F166="",F165=""),"",F166/F165-1)</f>
        <v/>
      </c>
      <c r="Q166" s="504">
        <f>IF(OR(G166="",G165=""),"",G166/G165-1)</f>
        <v/>
      </c>
      <c r="R166" s="504">
        <f>IF(OR(H166="",H165=""),"",H166/H165-1)</f>
        <v/>
      </c>
      <c r="S166" s="504">
        <f>IF(OR(I166="",I165=""),"",I166/I165-1)</f>
        <v/>
      </c>
      <c r="T166" s="504">
        <f>IF(OR(J166="",J165=""),"",J166/J165-1)</f>
        <v/>
      </c>
      <c r="U166" s="504">
        <f>IF(OR(K166="",K165=""),"",K166/K165-1)</f>
        <v/>
      </c>
    </row>
    <row r="167">
      <c r="C167" s="503" t="n">
        <v>44834</v>
      </c>
      <c r="D167" s="293" t="n">
        <v>59.55545425415039</v>
      </c>
      <c r="E167" s="293" t="n">
        <v>92.62333679199219</v>
      </c>
      <c r="F167" s="293" t="n">
        <v>73.40787506103516</v>
      </c>
      <c r="G167" s="293" t="n">
        <v>339.9685974121094</v>
      </c>
      <c r="H167" s="293" t="n">
        <v>76.99613189697266</v>
      </c>
      <c r="I167" s="293" t="n">
        <v>48.25043487548828</v>
      </c>
      <c r="J167" s="293" t="n">
        <v>53.11538696289062</v>
      </c>
      <c r="K167" s="293">
        <f>'07_Backtest_CMD'!AL180</f>
        <v/>
      </c>
      <c r="M167" s="503" t="n">
        <v>44834</v>
      </c>
      <c r="N167" s="504">
        <f>IF(OR(D167="",D166=""),"",D167/D166-1)</f>
        <v/>
      </c>
      <c r="O167" s="504">
        <f>IF(OR(E167="",E166=""),"",E167/E166-1)</f>
        <v/>
      </c>
      <c r="P167" s="504">
        <f>IF(OR(F167="",F166=""),"",F167/F166-1)</f>
        <v/>
      </c>
      <c r="Q167" s="504">
        <f>IF(OR(G167="",G166=""),"",G167/G166-1)</f>
        <v/>
      </c>
      <c r="R167" s="504">
        <f>IF(OR(H167="",H166=""),"",H167/H166-1)</f>
        <v/>
      </c>
      <c r="S167" s="504">
        <f>IF(OR(I167="",I166=""),"",I167/I166-1)</f>
        <v/>
      </c>
      <c r="T167" s="504">
        <f>IF(OR(J167="",J166=""),"",J167/J166-1)</f>
        <v/>
      </c>
      <c r="U167" s="504">
        <f>IF(OR(K167="",K166=""),"",K167/K166-1)</f>
        <v/>
      </c>
    </row>
    <row r="168">
      <c r="C168" s="503" t="n">
        <v>44865</v>
      </c>
      <c r="D168" s="293" t="n">
        <v>58.33425140380859</v>
      </c>
      <c r="E168" s="293" t="n">
        <v>88.85368347167969</v>
      </c>
      <c r="F168" s="293" t="n">
        <v>66.73674011230469</v>
      </c>
      <c r="G168" s="293" t="n">
        <v>367.5997619628906</v>
      </c>
      <c r="H168" s="293" t="n">
        <v>77.11819458007812</v>
      </c>
      <c r="I168" s="293" t="n">
        <v>54.80301666259766</v>
      </c>
      <c r="J168" s="293" t="n">
        <v>56.81769180297852</v>
      </c>
      <c r="K168" s="293">
        <f>'07_Backtest_CMD'!AL181</f>
        <v/>
      </c>
      <c r="M168" s="503" t="n">
        <v>44865</v>
      </c>
      <c r="N168" s="504">
        <f>IF(OR(D168="",D167=""),"",D168/D167-1)</f>
        <v/>
      </c>
      <c r="O168" s="504">
        <f>IF(OR(E168="",E167=""),"",E168/E167-1)</f>
        <v/>
      </c>
      <c r="P168" s="504">
        <f>IF(OR(F168="",F167=""),"",F168/F167-1)</f>
        <v/>
      </c>
      <c r="Q168" s="504">
        <f>IF(OR(G168="",G167=""),"",G168/G167-1)</f>
        <v/>
      </c>
      <c r="R168" s="504">
        <f>IF(OR(H168="",H167=""),"",H168/H167-1)</f>
        <v/>
      </c>
      <c r="S168" s="504">
        <f>IF(OR(I168="",I167=""),"",I168/I167-1)</f>
        <v/>
      </c>
      <c r="T168" s="504">
        <f>IF(OR(J168="",J167=""),"",J168/J167-1)</f>
        <v/>
      </c>
      <c r="U168" s="504">
        <f>IF(OR(K168="",K167=""),"",K168/K167-1)</f>
        <v/>
      </c>
    </row>
    <row r="169">
      <c r="C169" s="503" t="n">
        <v>44895</v>
      </c>
      <c r="D169" s="293" t="n">
        <v>64.11825561523438</v>
      </c>
      <c r="E169" s="293" t="n">
        <v>94.62139892578125</v>
      </c>
      <c r="F169" s="293" t="n">
        <v>73.46076202392578</v>
      </c>
      <c r="G169" s="293" t="n">
        <v>388.0352172851562</v>
      </c>
      <c r="H169" s="293" t="n">
        <v>77.36125946044922</v>
      </c>
      <c r="I169" s="293" t="n">
        <v>56.53899383544922</v>
      </c>
      <c r="J169" s="293" t="n">
        <v>60.04775238037109</v>
      </c>
      <c r="K169" s="293">
        <f>'07_Backtest_CMD'!AL182</f>
        <v/>
      </c>
      <c r="M169" s="503" t="n">
        <v>44895</v>
      </c>
      <c r="N169" s="504">
        <f>IF(OR(D169="",D168=""),"",D169/D168-1)</f>
        <v/>
      </c>
      <c r="O169" s="504">
        <f>IF(OR(E169="",E168=""),"",E169/E168-1)</f>
        <v/>
      </c>
      <c r="P169" s="504">
        <f>IF(OR(F169="",F168=""),"",F169/F168-1)</f>
        <v/>
      </c>
      <c r="Q169" s="504">
        <f>IF(OR(G169="",G168=""),"",G169/G168-1)</f>
        <v/>
      </c>
      <c r="R169" s="504">
        <f>IF(OR(H169="",H168=""),"",H169/H168-1)</f>
        <v/>
      </c>
      <c r="S169" s="504">
        <f>IF(OR(I169="",I168=""),"",I169/I168-1)</f>
        <v/>
      </c>
      <c r="T169" s="504">
        <f>IF(OR(J169="",J168=""),"",J169/J168-1)</f>
        <v/>
      </c>
      <c r="U169" s="504">
        <f>IF(OR(K169="",K168=""),"",K169/K168-1)</f>
        <v/>
      </c>
    </row>
    <row r="170">
      <c r="C170" s="503" t="n">
        <v>44926</v>
      </c>
      <c r="D170" s="293" t="n">
        <v>62.52836990356445</v>
      </c>
      <c r="E170" s="293" t="n">
        <v>92.99512481689453</v>
      </c>
      <c r="F170" s="293" t="n">
        <v>71.23677062988281</v>
      </c>
      <c r="G170" s="293" t="n">
        <v>365.6734619140625</v>
      </c>
      <c r="H170" s="293" t="n">
        <v>77.64174652099609</v>
      </c>
      <c r="I170" s="293" t="n">
        <v>54.75062942504883</v>
      </c>
      <c r="J170" s="293" t="n">
        <v>59.02138137817383</v>
      </c>
      <c r="K170" s="293">
        <f>'07_Backtest_CMD'!AL183</f>
        <v/>
      </c>
      <c r="M170" s="503" t="n">
        <v>44926</v>
      </c>
      <c r="N170" s="504">
        <f>IF(OR(D170="",D169=""),"",D170/D169-1)</f>
        <v/>
      </c>
      <c r="O170" s="504">
        <f>IF(OR(E170="",E169=""),"",E170/E169-1)</f>
        <v/>
      </c>
      <c r="P170" s="504">
        <f>IF(OR(F170="",F169=""),"",F170/F169-1)</f>
        <v/>
      </c>
      <c r="Q170" s="504">
        <f>IF(OR(G170="",G169=""),"",G170/G169-1)</f>
        <v/>
      </c>
      <c r="R170" s="504">
        <f>IF(OR(H170="",H169=""),"",H170/H169-1)</f>
        <v/>
      </c>
      <c r="S170" s="504">
        <f>IF(OR(I170="",I169=""),"",I170/I169-1)</f>
        <v/>
      </c>
      <c r="T170" s="504">
        <f>IF(OR(J170="",J169=""),"",J170/J169-1)</f>
        <v/>
      </c>
      <c r="U170" s="504">
        <f>IF(OR(K170="",K169=""),"",K170/K169-1)</f>
        <v/>
      </c>
    </row>
    <row r="171">
      <c r="C171" s="503" t="n">
        <v>44957</v>
      </c>
      <c r="D171" s="293" t="n">
        <v>67.33506011962891</v>
      </c>
      <c r="E171" s="293" t="n">
        <v>98.76328277587891</v>
      </c>
      <c r="F171" s="293" t="n">
        <v>78.48688507080078</v>
      </c>
      <c r="G171" s="293" t="n">
        <v>388.6696472167969</v>
      </c>
      <c r="H171" s="293" t="n">
        <v>77.86245727539062</v>
      </c>
      <c r="I171" s="293" t="n">
        <v>54.49993133544922</v>
      </c>
      <c r="J171" s="293" t="n">
        <v>59.05800247192383</v>
      </c>
      <c r="K171" s="293">
        <f>'07_Backtest_CMD'!AL184</f>
        <v/>
      </c>
      <c r="M171" s="503" t="n">
        <v>44957</v>
      </c>
      <c r="N171" s="504">
        <f>IF(OR(D171="",D170=""),"",D171/D170-1)</f>
        <v/>
      </c>
      <c r="O171" s="504">
        <f>IF(OR(E171="",E170=""),"",E171/E170-1)</f>
        <v/>
      </c>
      <c r="P171" s="504">
        <f>IF(OR(F171="",F170=""),"",F171/F170-1)</f>
        <v/>
      </c>
      <c r="Q171" s="504">
        <f>IF(OR(G171="",G170=""),"",G171/G170-1)</f>
        <v/>
      </c>
      <c r="R171" s="504">
        <f>IF(OR(H171="",H170=""),"",H171/H170-1)</f>
        <v/>
      </c>
      <c r="S171" s="504">
        <f>IF(OR(I171="",I170=""),"",I171/I170-1)</f>
        <v/>
      </c>
      <c r="T171" s="504">
        <f>IF(OR(J171="",J170=""),"",J171/J170-1)</f>
        <v/>
      </c>
      <c r="U171" s="504">
        <f>IF(OR(K171="",K170=""),"",K171/K170-1)</f>
        <v/>
      </c>
    </row>
    <row r="172">
      <c r="C172" s="503" t="n">
        <v>44985</v>
      </c>
      <c r="D172" s="293" t="n">
        <v>63.41963577270508</v>
      </c>
      <c r="E172" s="293" t="n">
        <v>94.16410827636719</v>
      </c>
      <c r="F172" s="293" t="n">
        <v>73.49008178710938</v>
      </c>
      <c r="G172" s="293" t="n">
        <v>378.8975219726562</v>
      </c>
      <c r="H172" s="293" t="n">
        <v>78.13167572021484</v>
      </c>
      <c r="I172" s="293" t="n">
        <v>52.01212692260742</v>
      </c>
      <c r="J172" s="293" t="n">
        <v>57.08292388916016</v>
      </c>
      <c r="K172" s="293">
        <f>'07_Backtest_CMD'!AL185</f>
        <v/>
      </c>
      <c r="M172" s="503" t="n">
        <v>44985</v>
      </c>
      <c r="N172" s="504">
        <f>IF(OR(D172="",D171=""),"",D172/D171-1)</f>
        <v/>
      </c>
      <c r="O172" s="504">
        <f>IF(OR(E172="",E171=""),"",E172/E171-1)</f>
        <v/>
      </c>
      <c r="P172" s="504">
        <f>IF(OR(F172="",F171=""),"",F172/F171-1)</f>
        <v/>
      </c>
      <c r="Q172" s="504">
        <f>IF(OR(G172="",G171=""),"",G172/G171-1)</f>
        <v/>
      </c>
      <c r="R172" s="504">
        <f>IF(OR(H172="",H171=""),"",H172/H171-1)</f>
        <v/>
      </c>
      <c r="S172" s="504">
        <f>IF(OR(I172="",I171=""),"",I172/I171-1)</f>
        <v/>
      </c>
      <c r="T172" s="504">
        <f>IF(OR(J172="",J171=""),"",J172/J171-1)</f>
        <v/>
      </c>
      <c r="U172" s="504">
        <f>IF(OR(K172="",K171=""),"",K172/K171-1)</f>
        <v/>
      </c>
    </row>
    <row r="173">
      <c r="C173" s="503" t="n">
        <v>45016</v>
      </c>
      <c r="D173" s="293" t="n">
        <v>66.33357238769531</v>
      </c>
      <c r="E173" s="293" t="n">
        <v>99.01091766357422</v>
      </c>
      <c r="F173" s="293" t="n">
        <v>77.86766052246094</v>
      </c>
      <c r="G173" s="293" t="n">
        <v>392.9461364746094</v>
      </c>
      <c r="H173" s="293" t="n">
        <v>78.44350433349609</v>
      </c>
      <c r="I173" s="293" t="n">
        <v>52.93010711669922</v>
      </c>
      <c r="J173" s="293" t="n">
        <v>57.96780776977539</v>
      </c>
      <c r="K173" s="293">
        <f>'07_Backtest_CMD'!AL186</f>
        <v/>
      </c>
      <c r="M173" s="503" t="n">
        <v>45016</v>
      </c>
      <c r="N173" s="504">
        <f>IF(OR(D173="",D172=""),"",D173/D172-1)</f>
        <v/>
      </c>
      <c r="O173" s="504">
        <f>IF(OR(E173="",E172=""),"",E173/E172-1)</f>
        <v/>
      </c>
      <c r="P173" s="504">
        <f>IF(OR(F173="",F172=""),"",F173/F172-1)</f>
        <v/>
      </c>
      <c r="Q173" s="504">
        <f>IF(OR(G173="",G172=""),"",G173/G172-1)</f>
        <v/>
      </c>
      <c r="R173" s="504">
        <f>IF(OR(H173="",H172=""),"",H173/H172-1)</f>
        <v/>
      </c>
      <c r="S173" s="504">
        <f>IF(OR(I173="",I172=""),"",I173/I172-1)</f>
        <v/>
      </c>
      <c r="T173" s="504">
        <f>IF(OR(J173="",J172=""),"",J173/J172-1)</f>
        <v/>
      </c>
      <c r="U173" s="504">
        <f>IF(OR(K173="",K172=""),"",K173/K172-1)</f>
        <v/>
      </c>
    </row>
    <row r="174">
      <c r="C174" s="503" t="n">
        <v>45046</v>
      </c>
      <c r="D174" s="293" t="n">
        <v>66.80052185058594</v>
      </c>
      <c r="E174" s="293" t="n">
        <v>99.41161346435547</v>
      </c>
      <c r="F174" s="293" t="n">
        <v>77.99245452880859</v>
      </c>
      <c r="G174" s="293" t="n">
        <v>399.2234191894531</v>
      </c>
      <c r="H174" s="293" t="n">
        <v>78.728271484375</v>
      </c>
      <c r="I174" s="293" t="n">
        <v>54.4637565612793</v>
      </c>
      <c r="J174" s="293" t="n">
        <v>59.50949096679688</v>
      </c>
      <c r="K174" s="293">
        <f>'07_Backtest_CMD'!AL187</f>
        <v/>
      </c>
      <c r="M174" s="503" t="n">
        <v>45046</v>
      </c>
      <c r="N174" s="504">
        <f>IF(OR(D174="",D173=""),"",D174/D173-1)</f>
        <v/>
      </c>
      <c r="O174" s="504">
        <f>IF(OR(E174="",E173=""),"",E174/E173-1)</f>
        <v/>
      </c>
      <c r="P174" s="504">
        <f>IF(OR(F174="",F173=""),"",F174/F173-1)</f>
        <v/>
      </c>
      <c r="Q174" s="504">
        <f>IF(OR(G174="",G173=""),"",G174/G173-1)</f>
        <v/>
      </c>
      <c r="R174" s="504">
        <f>IF(OR(H174="",H173=""),"",H174/H173-1)</f>
        <v/>
      </c>
      <c r="S174" s="504">
        <f>IF(OR(I174="",I173=""),"",I174/I173-1)</f>
        <v/>
      </c>
      <c r="T174" s="504">
        <f>IF(OR(J174="",J173=""),"",J174/J173-1)</f>
        <v/>
      </c>
      <c r="U174" s="504">
        <f>IF(OR(K174="",K173=""),"",K174/K173-1)</f>
        <v/>
      </c>
    </row>
    <row r="175">
      <c r="C175" s="503" t="n">
        <v>45077</v>
      </c>
      <c r="D175" s="293" t="n">
        <v>64.88800048828125</v>
      </c>
      <c r="E175" s="293" t="n">
        <v>96.81529998779297</v>
      </c>
      <c r="F175" s="293" t="n">
        <v>74.69112396240234</v>
      </c>
      <c r="G175" s="293" t="n">
        <v>401.0663452148438</v>
      </c>
      <c r="H175" s="293" t="n">
        <v>79.02363586425781</v>
      </c>
      <c r="I175" s="293" t="n">
        <v>51.46442413330078</v>
      </c>
      <c r="J175" s="293" t="n">
        <v>56.39858627319336</v>
      </c>
      <c r="K175" s="293">
        <f>'07_Backtest_CMD'!AL188</f>
        <v/>
      </c>
      <c r="M175" s="503" t="n">
        <v>45077</v>
      </c>
      <c r="N175" s="504">
        <f>IF(OR(D175="",D174=""),"",D175/D174-1)</f>
        <v/>
      </c>
      <c r="O175" s="504">
        <f>IF(OR(E175="",E174=""),"",E175/E174-1)</f>
        <v/>
      </c>
      <c r="P175" s="504">
        <f>IF(OR(F175="",F174=""),"",F175/F174-1)</f>
        <v/>
      </c>
      <c r="Q175" s="504">
        <f>IF(OR(G175="",G174=""),"",G175/G174-1)</f>
        <v/>
      </c>
      <c r="R175" s="504">
        <f>IF(OR(H175="",H174=""),"",H175/H174-1)</f>
        <v/>
      </c>
      <c r="S175" s="504">
        <f>IF(OR(I175="",I174=""),"",I175/I174-1)</f>
        <v/>
      </c>
      <c r="T175" s="504">
        <f>IF(OR(J175="",J174=""),"",J175/J174-1)</f>
        <v/>
      </c>
      <c r="U175" s="504">
        <f>IF(OR(K175="",K174=""),"",K175/K174-1)</f>
        <v/>
      </c>
    </row>
    <row r="176">
      <c r="C176" s="503" t="n">
        <v>45107</v>
      </c>
      <c r="D176" s="293" t="n">
        <v>66.07925415039062</v>
      </c>
      <c r="E176" s="293" t="n">
        <v>96.64081573486328</v>
      </c>
      <c r="F176" s="293" t="n">
        <v>75.44497680664062</v>
      </c>
      <c r="G176" s="293" t="n">
        <v>427.0553283691406</v>
      </c>
      <c r="H176" s="293" t="n">
        <v>79.38764953613281</v>
      </c>
      <c r="I176" s="293" t="n">
        <v>54.57487106323242</v>
      </c>
      <c r="J176" s="293" t="n">
        <v>58.68445205688477</v>
      </c>
      <c r="K176" s="293">
        <f>'07_Backtest_CMD'!AL189</f>
        <v/>
      </c>
      <c r="M176" s="503" t="n">
        <v>45107</v>
      </c>
      <c r="N176" s="504">
        <f>IF(OR(D176="",D175=""),"",D176/D175-1)</f>
        <v/>
      </c>
      <c r="O176" s="504">
        <f>IF(OR(E176="",E175=""),"",E176/E175-1)</f>
        <v/>
      </c>
      <c r="P176" s="504">
        <f>IF(OR(F176="",F175=""),"",F176/F175-1)</f>
        <v/>
      </c>
      <c r="Q176" s="504">
        <f>IF(OR(G176="",G175=""),"",G176/G175-1)</f>
        <v/>
      </c>
      <c r="R176" s="504">
        <f>IF(OR(H176="",H175=""),"",H176/H175-1)</f>
        <v/>
      </c>
      <c r="S176" s="504">
        <f>IF(OR(I176="",I175=""),"",I176/I175-1)</f>
        <v/>
      </c>
      <c r="T176" s="504">
        <f>IF(OR(J176="",J175=""),"",J176/J175-1)</f>
        <v/>
      </c>
      <c r="U176" s="504">
        <f>IF(OR(K176="",K175=""),"",K176/K175-1)</f>
        <v/>
      </c>
    </row>
    <row r="177">
      <c r="C177" s="503" t="n">
        <v>45138</v>
      </c>
      <c r="D177" s="293" t="n">
        <v>65.88484954833984</v>
      </c>
      <c r="E177" s="293" t="n">
        <v>94.80575561523438</v>
      </c>
      <c r="F177" s="293" t="n">
        <v>72.45317840576172</v>
      </c>
      <c r="G177" s="293" t="n">
        <v>441.0342407226562</v>
      </c>
      <c r="H177" s="293" t="n">
        <v>79.69411468505859</v>
      </c>
      <c r="I177" s="293" t="n">
        <v>55.53485870361328</v>
      </c>
      <c r="J177" s="293" t="n">
        <v>59.23250198364258</v>
      </c>
      <c r="K177" s="293">
        <f>'07_Backtest_CMD'!AL190</f>
        <v/>
      </c>
      <c r="M177" s="503" t="n">
        <v>45138</v>
      </c>
      <c r="N177" s="504">
        <f>IF(OR(D177="",D176=""),"",D177/D176-1)</f>
        <v/>
      </c>
      <c r="O177" s="504">
        <f>IF(OR(E177="",E176=""),"",E177/E176-1)</f>
        <v/>
      </c>
      <c r="P177" s="504">
        <f>IF(OR(F177="",F176=""),"",F177/F176-1)</f>
        <v/>
      </c>
      <c r="Q177" s="504">
        <f>IF(OR(G177="",G176=""),"",G177/G176-1)</f>
        <v/>
      </c>
      <c r="R177" s="504">
        <f>IF(OR(H177="",H176=""),"",H177/H176-1)</f>
        <v/>
      </c>
      <c r="S177" s="504">
        <f>IF(OR(I177="",I176=""),"",I177/I176-1)</f>
        <v/>
      </c>
      <c r="T177" s="504">
        <f>IF(OR(J177="",J176=""),"",J177/J176-1)</f>
        <v/>
      </c>
      <c r="U177" s="504">
        <f>IF(OR(K177="",K176=""),"",K177/K176-1)</f>
        <v/>
      </c>
    </row>
    <row r="178">
      <c r="C178" s="503" t="n">
        <v>45169</v>
      </c>
      <c r="D178" s="293" t="n">
        <v>64.53459930419922</v>
      </c>
      <c r="E178" s="293" t="n">
        <v>92.75135803222656</v>
      </c>
      <c r="F178" s="293" t="n">
        <v>69.07167816162109</v>
      </c>
      <c r="G178" s="293" t="n">
        <v>433.8665466308594</v>
      </c>
      <c r="H178" s="293" t="n">
        <v>80.08990478515625</v>
      </c>
      <c r="I178" s="293" t="n">
        <v>56.84899139404297</v>
      </c>
      <c r="J178" s="293" t="n">
        <v>57.45491027832031</v>
      </c>
      <c r="K178" s="293">
        <f>'07_Backtest_CMD'!AL191</f>
        <v/>
      </c>
      <c r="M178" s="503" t="n">
        <v>45169</v>
      </c>
      <c r="N178" s="504">
        <f>IF(OR(D178="",D177=""),"",D178/D177-1)</f>
        <v/>
      </c>
      <c r="O178" s="504">
        <f>IF(OR(E178="",E177=""),"",E178/E177-1)</f>
        <v/>
      </c>
      <c r="P178" s="504">
        <f>IF(OR(F178="",F177=""),"",F178/F177-1)</f>
        <v/>
      </c>
      <c r="Q178" s="504">
        <f>IF(OR(G178="",G177=""),"",G178/G177-1)</f>
        <v/>
      </c>
      <c r="R178" s="504">
        <f>IF(OR(H178="",H177=""),"",H178/H177-1)</f>
        <v/>
      </c>
      <c r="S178" s="504">
        <f>IF(OR(I178="",I177=""),"",I178/I177-1)</f>
        <v/>
      </c>
      <c r="T178" s="504">
        <f>IF(OR(J178="",J177=""),"",J178/J177-1)</f>
        <v/>
      </c>
      <c r="U178" s="504">
        <f>IF(OR(K178="",K177=""),"",K178/K177-1)</f>
        <v/>
      </c>
    </row>
    <row r="179">
      <c r="C179" s="503" t="n">
        <v>45199</v>
      </c>
      <c r="D179" s="293" t="n">
        <v>61.02573776245117</v>
      </c>
      <c r="E179" s="293" t="n">
        <v>86.76167297363281</v>
      </c>
      <c r="F179" s="293" t="n">
        <v>61.19025039672852</v>
      </c>
      <c r="G179" s="293" t="n">
        <v>413.2863159179688</v>
      </c>
      <c r="H179" s="293" t="n">
        <v>80.40956115722656</v>
      </c>
      <c r="I179" s="293" t="n">
        <v>56.14793014526367</v>
      </c>
      <c r="J179" s="293" t="n">
        <v>55.28178024291992</v>
      </c>
      <c r="K179" s="293">
        <f>'07_Backtest_CMD'!AL192</f>
        <v/>
      </c>
      <c r="M179" s="503" t="n">
        <v>45199</v>
      </c>
      <c r="N179" s="504">
        <f>IF(OR(D179="",D178=""),"",D179/D178-1)</f>
        <v/>
      </c>
      <c r="O179" s="504">
        <f>IF(OR(E179="",E178=""),"",E179/E178-1)</f>
        <v/>
      </c>
      <c r="P179" s="504">
        <f>IF(OR(F179="",F178=""),"",F179/F178-1)</f>
        <v/>
      </c>
      <c r="Q179" s="504">
        <f>IF(OR(G179="",G178=""),"",G179/G178-1)</f>
        <v/>
      </c>
      <c r="R179" s="504">
        <f>IF(OR(H179="",H178=""),"",H179/H178-1)</f>
        <v/>
      </c>
      <c r="S179" s="504">
        <f>IF(OR(I179="",I178=""),"",I179/I178-1)</f>
        <v/>
      </c>
      <c r="T179" s="504">
        <f>IF(OR(J179="",J178=""),"",J179/J178-1)</f>
        <v/>
      </c>
      <c r="U179" s="504">
        <f>IF(OR(K179="",K178=""),"",K179/K178-1)</f>
        <v/>
      </c>
    </row>
    <row r="180">
      <c r="C180" s="503" t="n">
        <v>45230</v>
      </c>
      <c r="D180" s="293" t="n">
        <v>58.5057487487793</v>
      </c>
      <c r="E180" s="293" t="n">
        <v>83.28285217285156</v>
      </c>
      <c r="F180" s="293" t="n">
        <v>56.28658676147461</v>
      </c>
      <c r="G180" s="293" t="n">
        <v>404.314453125</v>
      </c>
      <c r="H180" s="293" t="n">
        <v>80.75608825683594</v>
      </c>
      <c r="I180" s="293" t="n">
        <v>55.02854156494141</v>
      </c>
      <c r="J180" s="293" t="n">
        <v>55.03348159790039</v>
      </c>
      <c r="K180" s="293">
        <f>'07_Backtest_CMD'!AL193</f>
        <v/>
      </c>
      <c r="M180" s="503" t="n">
        <v>45230</v>
      </c>
      <c r="N180" s="504">
        <f>IF(OR(D180="",D179=""),"",D180/D179-1)</f>
        <v/>
      </c>
      <c r="O180" s="504">
        <f>IF(OR(E180="",E179=""),"",E180/E179-1)</f>
        <v/>
      </c>
      <c r="P180" s="504">
        <f>IF(OR(F180="",F179=""),"",F180/F179-1)</f>
        <v/>
      </c>
      <c r="Q180" s="504">
        <f>IF(OR(G180="",G179=""),"",G180/G179-1)</f>
        <v/>
      </c>
      <c r="R180" s="504">
        <f>IF(OR(H180="",H179=""),"",H180/H179-1)</f>
        <v/>
      </c>
      <c r="S180" s="504">
        <f>IF(OR(I180="",I179=""),"",I180/I179-1)</f>
        <v/>
      </c>
      <c r="T180" s="504">
        <f>IF(OR(J180="",J179=""),"",J180/J179-1)</f>
        <v/>
      </c>
      <c r="U180" s="504">
        <f>IF(OR(K180="",K179=""),"",K180/K179-1)</f>
        <v/>
      </c>
    </row>
    <row r="181">
      <c r="C181" s="503" t="n">
        <v>45260</v>
      </c>
      <c r="D181" s="293" t="n">
        <v>65.076171875</v>
      </c>
      <c r="E181" s="293" t="n">
        <v>90.08421325683594</v>
      </c>
      <c r="F181" s="293" t="n">
        <v>64.18119049072266</v>
      </c>
      <c r="G181" s="293" t="n">
        <v>441.24609375</v>
      </c>
      <c r="H181" s="293" t="n">
        <v>81.13419342041016</v>
      </c>
      <c r="I181" s="293" t="n">
        <v>60.4294548034668</v>
      </c>
      <c r="J181" s="293" t="n">
        <v>57.97847366333008</v>
      </c>
      <c r="K181" s="293">
        <f>'07_Backtest_CMD'!AL194</f>
        <v/>
      </c>
      <c r="M181" s="503" t="n">
        <v>45260</v>
      </c>
      <c r="N181" s="504">
        <f>IF(OR(D181="",D180=""),"",D181/D180-1)</f>
        <v/>
      </c>
      <c r="O181" s="504">
        <f>IF(OR(E181="",E180=""),"",E181/E180-1)</f>
        <v/>
      </c>
      <c r="P181" s="504">
        <f>IF(OR(F181="",F180=""),"",F181/F180-1)</f>
        <v/>
      </c>
      <c r="Q181" s="504">
        <f>IF(OR(G181="",G180=""),"",G181/G180-1)</f>
        <v/>
      </c>
      <c r="R181" s="504">
        <f>IF(OR(H181="",H180=""),"",H181/H180-1)</f>
        <v/>
      </c>
      <c r="S181" s="504">
        <f>IF(OR(I181="",I180=""),"",I181/I180-1)</f>
        <v/>
      </c>
      <c r="T181" s="504">
        <f>IF(OR(J181="",J180=""),"",J181/J180-1)</f>
        <v/>
      </c>
      <c r="U181" s="504">
        <f>IF(OR(K181="",K180=""),"",K181/K180-1)</f>
        <v/>
      </c>
    </row>
    <row r="182">
      <c r="C182" s="503" t="n">
        <v>45291</v>
      </c>
      <c r="D182" s="293" t="n">
        <v>69.51409149169922</v>
      </c>
      <c r="E182" s="293" t="n">
        <v>96.74435424804688</v>
      </c>
      <c r="F182" s="293" t="n">
        <v>72.20462036132812</v>
      </c>
      <c r="G182" s="293" t="n">
        <v>461.391357421875</v>
      </c>
      <c r="H182" s="293" t="n">
        <v>81.48102569580078</v>
      </c>
      <c r="I182" s="293" t="n">
        <v>64.36363220214844</v>
      </c>
      <c r="J182" s="293" t="n">
        <v>59.33156204223633</v>
      </c>
      <c r="K182" s="293">
        <f>'07_Backtest_CMD'!AL195</f>
        <v/>
      </c>
      <c r="M182" s="503" t="n">
        <v>45291</v>
      </c>
      <c r="N182" s="504">
        <f>IF(OR(D182="",D181=""),"",D182/D181-1)</f>
        <v/>
      </c>
      <c r="O182" s="504">
        <f>IF(OR(E182="",E181=""),"",E182/E181-1)</f>
        <v/>
      </c>
      <c r="P182" s="504">
        <f>IF(OR(F182="",F181=""),"",F182/F181-1)</f>
        <v/>
      </c>
      <c r="Q182" s="504">
        <f>IF(OR(G182="",G181=""),"",G182/G181-1)</f>
        <v/>
      </c>
      <c r="R182" s="504">
        <f>IF(OR(H182="",H181=""),"",H182/H181-1)</f>
        <v/>
      </c>
      <c r="S182" s="504">
        <f>IF(OR(I182="",I181=""),"",I182/I181-1)</f>
        <v/>
      </c>
      <c r="T182" s="504">
        <f>IF(OR(J182="",J181=""),"",J182/J181-1)</f>
        <v/>
      </c>
      <c r="U182" s="504">
        <f>IF(OR(K182="",K181=""),"",K182/K181-1)</f>
        <v/>
      </c>
    </row>
    <row r="183">
      <c r="C183" s="503" t="n">
        <v>45322</v>
      </c>
      <c r="D183" s="293" t="n">
        <v>68.95903778076172</v>
      </c>
      <c r="E183" s="293" t="n">
        <v>95.54689025878906</v>
      </c>
      <c r="F183" s="293" t="n">
        <v>69.32643127441406</v>
      </c>
      <c r="G183" s="293" t="n">
        <v>468.7396850585938</v>
      </c>
      <c r="H183" s="293" t="n">
        <v>81.82875823974609</v>
      </c>
      <c r="I183" s="293" t="n">
        <v>67.99375915527344</v>
      </c>
      <c r="J183" s="293" t="n">
        <v>59.88969802856445</v>
      </c>
      <c r="K183" s="293">
        <f>'07_Backtest_CMD'!AL196</f>
        <v/>
      </c>
      <c r="M183" s="503" t="n">
        <v>45322</v>
      </c>
      <c r="N183" s="504">
        <f>IF(OR(D183="",D182=""),"",D183/D182-1)</f>
        <v/>
      </c>
      <c r="O183" s="504">
        <f>IF(OR(E183="",E182=""),"",E183/E182-1)</f>
        <v/>
      </c>
      <c r="P183" s="504">
        <f>IF(OR(F183="",F182=""),"",F183/F182-1)</f>
        <v/>
      </c>
      <c r="Q183" s="504">
        <f>IF(OR(G183="",G182=""),"",G183/G182-1)</f>
        <v/>
      </c>
      <c r="R183" s="504">
        <f>IF(OR(H183="",H182=""),"",H183/H182-1)</f>
        <v/>
      </c>
      <c r="S183" s="504">
        <f>IF(OR(I183="",I182=""),"",I183/I182-1)</f>
        <v/>
      </c>
      <c r="T183" s="504">
        <f>IF(OR(J183="",J182=""),"",J183/J182-1)</f>
        <v/>
      </c>
      <c r="U183" s="504">
        <f>IF(OR(K183="",K182=""),"",K183/K182-1)</f>
        <v/>
      </c>
    </row>
    <row r="184">
      <c r="C184" s="503" t="n">
        <v>45351</v>
      </c>
      <c r="D184" s="293" t="n">
        <v>67.0863037109375</v>
      </c>
      <c r="E184" s="293" t="n">
        <v>93.26503753662109</v>
      </c>
      <c r="F184" s="293" t="n">
        <v>67.50861358642578</v>
      </c>
      <c r="G184" s="293" t="n">
        <v>493.20166015625</v>
      </c>
      <c r="H184" s="293" t="n">
        <v>82.19235992431641</v>
      </c>
      <c r="I184" s="293" t="n">
        <v>75.80631256103516</v>
      </c>
      <c r="J184" s="293" t="n">
        <v>60.85134506225586</v>
      </c>
      <c r="K184" s="293">
        <f>'07_Backtest_CMD'!AL197</f>
        <v/>
      </c>
      <c r="M184" s="503" t="n">
        <v>45351</v>
      </c>
      <c r="N184" s="504">
        <f>IF(OR(D184="",D183=""),"",D184/D183-1)</f>
        <v/>
      </c>
      <c r="O184" s="504">
        <f>IF(OR(E184="",E183=""),"",E184/E183-1)</f>
        <v/>
      </c>
      <c r="P184" s="504">
        <f>IF(OR(F184="",F183=""),"",F184/F183-1)</f>
        <v/>
      </c>
      <c r="Q184" s="504">
        <f>IF(OR(G184="",G183=""),"",G184/G183-1)</f>
        <v/>
      </c>
      <c r="R184" s="504">
        <f>IF(OR(H184="",H183=""),"",H184/H183-1)</f>
        <v/>
      </c>
      <c r="S184" s="504">
        <f>IF(OR(I184="",I183=""),"",I184/I183-1)</f>
        <v/>
      </c>
      <c r="T184" s="504">
        <f>IF(OR(J184="",J183=""),"",J184/J183-1)</f>
        <v/>
      </c>
      <c r="U184" s="504">
        <f>IF(OR(K184="",K183=""),"",K184/K183-1)</f>
        <v/>
      </c>
    </row>
    <row r="185">
      <c r="C185" s="503" t="n">
        <v>45382</v>
      </c>
      <c r="D185" s="293" t="n">
        <v>68.39512634277344</v>
      </c>
      <c r="E185" s="293" t="n">
        <v>94.47395324707031</v>
      </c>
      <c r="F185" s="293" t="n">
        <v>68.25711059570312</v>
      </c>
      <c r="G185" s="293" t="n">
        <v>509.3304138183594</v>
      </c>
      <c r="H185" s="293" t="n">
        <v>82.52947998046875</v>
      </c>
      <c r="I185" s="293" t="n">
        <v>78.96065521240234</v>
      </c>
      <c r="J185" s="293" t="n">
        <v>62.73038482666016</v>
      </c>
      <c r="K185" s="293">
        <f>'07_Backtest_CMD'!AL198</f>
        <v/>
      </c>
      <c r="M185" s="503" t="n">
        <v>45382</v>
      </c>
      <c r="N185" s="504">
        <f>IF(OR(D185="",D184=""),"",D185/D184-1)</f>
        <v/>
      </c>
      <c r="O185" s="504">
        <f>IF(OR(E185="",E184=""),"",E185/E184-1)</f>
        <v/>
      </c>
      <c r="P185" s="504">
        <f>IF(OR(F185="",F184=""),"",F185/F184-1)</f>
        <v/>
      </c>
      <c r="Q185" s="504">
        <f>IF(OR(G185="",G184=""),"",G185/G184-1)</f>
        <v/>
      </c>
      <c r="R185" s="504">
        <f>IF(OR(H185="",H184=""),"",H185/H184-1)</f>
        <v/>
      </c>
      <c r="S185" s="504">
        <f>IF(OR(I185="",I184=""),"",I185/I184-1)</f>
        <v/>
      </c>
      <c r="T185" s="504">
        <f>IF(OR(J185="",J184=""),"",J185/J184-1)</f>
        <v/>
      </c>
      <c r="U185" s="504">
        <f>IF(OR(K185="",K184=""),"",K185/K184-1)</f>
        <v/>
      </c>
    </row>
    <row r="186">
      <c r="C186" s="503" t="n">
        <v>45412</v>
      </c>
      <c r="D186" s="293" t="n">
        <v>65.03121185302734</v>
      </c>
      <c r="E186" s="293" t="n">
        <v>89.42764282226562</v>
      </c>
      <c r="F186" s="293" t="n">
        <v>62.00937271118164</v>
      </c>
      <c r="G186" s="293" t="n">
        <v>488.7943420410156</v>
      </c>
      <c r="H186" s="293" t="n">
        <v>82.88617706298828</v>
      </c>
      <c r="I186" s="293" t="n">
        <v>74.65925598144531</v>
      </c>
      <c r="J186" s="293" t="n">
        <v>60.76967239379883</v>
      </c>
      <c r="K186" s="293">
        <f>'07_Backtest_CMD'!AL199</f>
        <v/>
      </c>
      <c r="M186" s="503" t="n">
        <v>45412</v>
      </c>
      <c r="N186" s="504">
        <f>IF(OR(D186="",D185=""),"",D186/D185-1)</f>
        <v/>
      </c>
      <c r="O186" s="504">
        <f>IF(OR(E186="",E185=""),"",E186/E185-1)</f>
        <v/>
      </c>
      <c r="P186" s="504">
        <f>IF(OR(F186="",F185=""),"",F186/F185-1)</f>
        <v/>
      </c>
      <c r="Q186" s="504">
        <f>IF(OR(G186="",G185=""),"",G186/G185-1)</f>
        <v/>
      </c>
      <c r="R186" s="504">
        <f>IF(OR(H186="",H185=""),"",H186/H185-1)</f>
        <v/>
      </c>
      <c r="S186" s="504">
        <f>IF(OR(I186="",I185=""),"",I186/I185-1)</f>
        <v/>
      </c>
      <c r="T186" s="504">
        <f>IF(OR(J186="",J185=""),"",J186/J185-1)</f>
        <v/>
      </c>
      <c r="U186" s="504">
        <f>IF(OR(K186="",K185=""),"",K186/K185-1)</f>
        <v/>
      </c>
    </row>
    <row r="187">
      <c r="C187" s="503" t="n">
        <v>45443</v>
      </c>
      <c r="D187" s="293" t="n">
        <v>66.95594787597656</v>
      </c>
      <c r="E187" s="293" t="n">
        <v>91.92664337158203</v>
      </c>
      <c r="F187" s="293" t="n">
        <v>64.46669006347656</v>
      </c>
      <c r="G187" s="293" t="n">
        <v>513.517333984375</v>
      </c>
      <c r="H187" s="293" t="n">
        <v>83.26521301269531</v>
      </c>
      <c r="I187" s="293" t="n">
        <v>80.14182281494141</v>
      </c>
      <c r="J187" s="293" t="n">
        <v>62.342529296875</v>
      </c>
      <c r="K187" s="293">
        <f>'07_Backtest_CMD'!AL200</f>
        <v/>
      </c>
      <c r="M187" s="503" t="n">
        <v>45443</v>
      </c>
      <c r="N187" s="504">
        <f>IF(OR(D187="",D186=""),"",D187/D186-1)</f>
        <v/>
      </c>
      <c r="O187" s="504">
        <f>IF(OR(E187="",E186=""),"",E187/E186-1)</f>
        <v/>
      </c>
      <c r="P187" s="504">
        <f>IF(OR(F187="",F186=""),"",F187/F186-1)</f>
        <v/>
      </c>
      <c r="Q187" s="504">
        <f>IF(OR(G187="",G186=""),"",G187/G186-1)</f>
        <v/>
      </c>
      <c r="R187" s="504">
        <f>IF(OR(H187="",H186=""),"",H187/H186-1)</f>
        <v/>
      </c>
      <c r="S187" s="504">
        <f>IF(OR(I187="",I186=""),"",I187/I186-1)</f>
        <v/>
      </c>
      <c r="T187" s="504">
        <f>IF(OR(J187="",J186=""),"",J187/J186-1)</f>
        <v/>
      </c>
      <c r="U187" s="504">
        <f>IF(OR(K187="",K186=""),"",K187/K186-1)</f>
        <v/>
      </c>
    </row>
    <row r="188">
      <c r="C188" s="503" t="n">
        <v>45473</v>
      </c>
      <c r="D188" s="293" t="n">
        <v>67.16667938232422</v>
      </c>
      <c r="E188" s="293" t="n">
        <v>93.35191345214844</v>
      </c>
      <c r="F188" s="293" t="n">
        <v>66.07792663574219</v>
      </c>
      <c r="G188" s="293" t="n">
        <v>531.6343994140625</v>
      </c>
      <c r="H188" s="293" t="n">
        <v>83.59768676757812</v>
      </c>
      <c r="I188" s="293" t="n">
        <v>86.15503692626953</v>
      </c>
      <c r="J188" s="293" t="n">
        <v>62.16937637329102</v>
      </c>
      <c r="K188" s="293">
        <f>'07_Backtest_CMD'!AL201</f>
        <v/>
      </c>
      <c r="M188" s="503" t="n">
        <v>45473</v>
      </c>
      <c r="N188" s="504">
        <f>IF(OR(D188="",D187=""),"",D188/D187-1)</f>
        <v/>
      </c>
      <c r="O188" s="504">
        <f>IF(OR(E188="",E187=""),"",E188/E187-1)</f>
        <v/>
      </c>
      <c r="P188" s="504">
        <f>IF(OR(F188="",F187=""),"",F188/F187-1)</f>
        <v/>
      </c>
      <c r="Q188" s="504">
        <f>IF(OR(G188="",G187=""),"",G188/G187-1)</f>
        <v/>
      </c>
      <c r="R188" s="504">
        <f>IF(OR(H188="",H187=""),"",H188/H187-1)</f>
        <v/>
      </c>
      <c r="S188" s="504">
        <f>IF(OR(I188="",I187=""),"",I188/I187-1)</f>
        <v/>
      </c>
      <c r="T188" s="504">
        <f>IF(OR(J188="",J187=""),"",J188/J187-1)</f>
        <v/>
      </c>
      <c r="U188" s="504">
        <f>IF(OR(K188="",K187=""),"",K188/K187-1)</f>
        <v/>
      </c>
    </row>
    <row r="189">
      <c r="C189" s="503" t="n">
        <v>45504</v>
      </c>
      <c r="D189" s="293" t="n">
        <v>69.33987426757812</v>
      </c>
      <c r="E189" s="293" t="n">
        <v>96.59705352783203</v>
      </c>
      <c r="F189" s="293" t="n">
        <v>68.74891662597656</v>
      </c>
      <c r="G189" s="293" t="n">
        <v>538.072021484375</v>
      </c>
      <c r="H189" s="293" t="n">
        <v>83.97457885742188</v>
      </c>
      <c r="I189" s="293" t="n">
        <v>84.71682739257812</v>
      </c>
      <c r="J189" s="293" t="n">
        <v>64.8721923828125</v>
      </c>
      <c r="K189" s="293">
        <f>'07_Backtest_CMD'!AL202</f>
        <v/>
      </c>
      <c r="M189" s="503" t="n">
        <v>45504</v>
      </c>
      <c r="N189" s="504">
        <f>IF(OR(D189="",D188=""),"",D189/D188-1)</f>
        <v/>
      </c>
      <c r="O189" s="504">
        <f>IF(OR(E189="",E188=""),"",E189/E188-1)</f>
        <v/>
      </c>
      <c r="P189" s="504">
        <f>IF(OR(F189="",F188=""),"",F189/F188-1)</f>
        <v/>
      </c>
      <c r="Q189" s="504">
        <f>IF(OR(G189="",G188=""),"",G189/G188-1)</f>
        <v/>
      </c>
      <c r="R189" s="504">
        <f>IF(OR(H189="",H188=""),"",H189/H188-1)</f>
        <v/>
      </c>
      <c r="S189" s="504">
        <f>IF(OR(I189="",I188=""),"",I189/I188-1)</f>
        <v/>
      </c>
      <c r="T189" s="504">
        <f>IF(OR(J189="",J188=""),"",J189/J188-1)</f>
        <v/>
      </c>
      <c r="U189" s="504">
        <f>IF(OR(K189="",K188=""),"",K189/K188-1)</f>
        <v/>
      </c>
    </row>
    <row r="190">
      <c r="C190" s="503" t="n">
        <v>45535</v>
      </c>
      <c r="D190" s="293" t="n">
        <v>70.85846710205078</v>
      </c>
      <c r="E190" s="293" t="n">
        <v>98.30004119873047</v>
      </c>
      <c r="F190" s="293" t="n">
        <v>70.69574737548828</v>
      </c>
      <c r="G190" s="293" t="n">
        <v>550.6443481445312</v>
      </c>
      <c r="H190" s="293" t="n">
        <v>84.36228179931641</v>
      </c>
      <c r="I190" s="293" t="n">
        <v>87.9183349609375</v>
      </c>
      <c r="J190" s="293" t="n">
        <v>68.26239776611328</v>
      </c>
      <c r="K190" s="293">
        <f>'07_Backtest_CMD'!AL203</f>
        <v/>
      </c>
      <c r="M190" s="503" t="n">
        <v>45535</v>
      </c>
      <c r="N190" s="504">
        <f>IF(OR(D190="",D189=""),"",D190/D189-1)</f>
        <v/>
      </c>
      <c r="O190" s="504">
        <f>IF(OR(E190="",E189=""),"",E190/E189-1)</f>
        <v/>
      </c>
      <c r="P190" s="504">
        <f>IF(OR(F190="",F189=""),"",F190/F189-1)</f>
        <v/>
      </c>
      <c r="Q190" s="504">
        <f>IF(OR(G190="",G189=""),"",G190/G189-1)</f>
        <v/>
      </c>
      <c r="R190" s="504">
        <f>IF(OR(H190="",H189=""),"",H190/H189-1)</f>
        <v/>
      </c>
      <c r="S190" s="504">
        <f>IF(OR(I190="",I189=""),"",I190/I189-1)</f>
        <v/>
      </c>
      <c r="T190" s="504">
        <f>IF(OR(J190="",J189=""),"",J190/J189-1)</f>
        <v/>
      </c>
      <c r="U190" s="504">
        <f>IF(OR(K190="",K189=""),"",K190/K189-1)</f>
        <v/>
      </c>
    </row>
    <row r="191">
      <c r="C191" s="503" t="n">
        <v>45565</v>
      </c>
      <c r="D191" s="293" t="n">
        <v>72.81809997558594</v>
      </c>
      <c r="E191" s="293" t="n">
        <v>100.3899612426758</v>
      </c>
      <c r="F191" s="293" t="n">
        <v>72.48793792724609</v>
      </c>
      <c r="G191" s="293" t="n">
        <v>562.21044921875</v>
      </c>
      <c r="H191" s="293" t="n">
        <v>84.71846008300781</v>
      </c>
      <c r="I191" s="293" t="n">
        <v>89.35570526123047</v>
      </c>
      <c r="J191" s="293" t="n">
        <v>68.97190856933594</v>
      </c>
      <c r="K191" s="293">
        <f>'07_Backtest_CMD'!AL204</f>
        <v/>
      </c>
      <c r="M191" s="503" t="n">
        <v>45565</v>
      </c>
      <c r="N191" s="504">
        <f>IF(OR(D191="",D190=""),"",D191/D190-1)</f>
        <v/>
      </c>
      <c r="O191" s="504">
        <f>IF(OR(E191="",E190=""),"",E191/E190-1)</f>
        <v/>
      </c>
      <c r="P191" s="504">
        <f>IF(OR(F191="",F190=""),"",F191/F190-1)</f>
        <v/>
      </c>
      <c r="Q191" s="504">
        <f>IF(OR(G191="",G190=""),"",G191/G190-1)</f>
        <v/>
      </c>
      <c r="R191" s="504">
        <f>IF(OR(H191="",H190=""),"",H191/H190-1)</f>
        <v/>
      </c>
      <c r="S191" s="504">
        <f>IF(OR(I191="",I190=""),"",I191/I190-1)</f>
        <v/>
      </c>
      <c r="T191" s="504">
        <f>IF(OR(J191="",J190=""),"",J191/J190-1)</f>
        <v/>
      </c>
      <c r="U191" s="504">
        <f>IF(OR(K191="",K190=""),"",K191/K190-1)</f>
        <v/>
      </c>
    </row>
    <row r="192">
      <c r="C192" s="503" t="n">
        <v>45596</v>
      </c>
      <c r="D192" s="293" t="n">
        <v>69.61884307861328</v>
      </c>
      <c r="E192" s="293" t="n">
        <v>95.44100189208984</v>
      </c>
      <c r="F192" s="293" t="n">
        <v>67.28857421875</v>
      </c>
      <c r="G192" s="293" t="n">
        <v>557.1934814453125</v>
      </c>
      <c r="H192" s="293" t="n">
        <v>85.05294799804688</v>
      </c>
      <c r="I192" s="293" t="n">
        <v>89.53316497802734</v>
      </c>
      <c r="J192" s="293" t="n">
        <v>68.34607696533203</v>
      </c>
      <c r="K192" s="293">
        <f>'07_Backtest_CMD'!AL205</f>
        <v/>
      </c>
      <c r="M192" s="503" t="n">
        <v>45596</v>
      </c>
      <c r="N192" s="504">
        <f>IF(OR(D192="",D191=""),"",D192/D191-1)</f>
        <v/>
      </c>
      <c r="O192" s="504">
        <f>IF(OR(E192="",E191=""),"",E192/E191-1)</f>
        <v/>
      </c>
      <c r="P192" s="504">
        <f>IF(OR(F192="",F191=""),"",F192/F191-1)</f>
        <v/>
      </c>
      <c r="Q192" s="504">
        <f>IF(OR(G192="",G191=""),"",G192/G191-1)</f>
        <v/>
      </c>
      <c r="R192" s="504">
        <f>IF(OR(H192="",H191=""),"",H192/H191-1)</f>
        <v/>
      </c>
      <c r="S192" s="504">
        <f>IF(OR(I192="",I191=""),"",I192/I191-1)</f>
        <v/>
      </c>
      <c r="T192" s="504">
        <f>IF(OR(J192="",J191=""),"",J192/J191-1)</f>
        <v/>
      </c>
      <c r="U192" s="504">
        <f>IF(OR(K192="",K191=""),"",K192/K191-1)</f>
        <v/>
      </c>
    </row>
    <row r="193">
      <c r="C193" s="503" t="n">
        <v>45626</v>
      </c>
      <c r="D193" s="293" t="n">
        <v>71.39767456054688</v>
      </c>
      <c r="E193" s="293" t="n">
        <v>97.11539459228516</v>
      </c>
      <c r="F193" s="293" t="n">
        <v>68.9971923828125</v>
      </c>
      <c r="G193" s="293" t="n">
        <v>590.4209594726562</v>
      </c>
      <c r="H193" s="293" t="n">
        <v>85.36825561523438</v>
      </c>
      <c r="I193" s="293" t="n">
        <v>95.45800018310547</v>
      </c>
      <c r="J193" s="293" t="n">
        <v>72.17372131347656</v>
      </c>
      <c r="K193" s="293">
        <f>'07_Backtest_CMD'!AL206</f>
        <v/>
      </c>
      <c r="M193" s="503" t="n">
        <v>45626</v>
      </c>
      <c r="N193" s="504">
        <f>IF(OR(D193="",D192=""),"",D193/D192-1)</f>
        <v/>
      </c>
      <c r="O193" s="504">
        <f>IF(OR(E193="",E192=""),"",E193/E192-1)</f>
        <v/>
      </c>
      <c r="P193" s="504">
        <f>IF(OR(F193="",F192=""),"",F193/F192-1)</f>
        <v/>
      </c>
      <c r="Q193" s="504">
        <f>IF(OR(G193="",G192=""),"",G193/G192-1)</f>
        <v/>
      </c>
      <c r="R193" s="504">
        <f>IF(OR(H193="",H192=""),"",H193/H192-1)</f>
        <v/>
      </c>
      <c r="S193" s="504">
        <f>IF(OR(I193="",I192=""),"",I193/I192-1)</f>
        <v/>
      </c>
      <c r="T193" s="504">
        <f>IF(OR(J193="",J192=""),"",J193/J192-1)</f>
        <v/>
      </c>
      <c r="U193" s="504">
        <f>IF(OR(K193="",K192=""),"",K193/K192-1)</f>
        <v/>
      </c>
    </row>
    <row r="194">
      <c r="C194" s="503" t="n">
        <v>45657</v>
      </c>
      <c r="D194" s="293" t="n">
        <v>68.19638061523438</v>
      </c>
      <c r="E194" s="293" t="n">
        <v>92.66849517822266</v>
      </c>
      <c r="F194" s="293" t="n">
        <v>62.97806930541992</v>
      </c>
      <c r="G194" s="293" t="n">
        <v>576.2152709960938</v>
      </c>
      <c r="H194" s="293" t="n">
        <v>85.71240234375</v>
      </c>
      <c r="I194" s="293" t="n">
        <v>93.85330200195312</v>
      </c>
      <c r="J194" s="293" t="n">
        <v>67.59525299072266</v>
      </c>
      <c r="K194" s="293">
        <f>'07_Backtest_CMD'!AL207</f>
        <v/>
      </c>
      <c r="M194" s="503" t="n">
        <v>45657</v>
      </c>
      <c r="N194" s="504">
        <f>IF(OR(D194="",D193=""),"",D194/D193-1)</f>
        <v/>
      </c>
      <c r="O194" s="504">
        <f>IF(OR(E194="",E193=""),"",E194/E193-1)</f>
        <v/>
      </c>
      <c r="P194" s="504">
        <f>IF(OR(F194="",F193=""),"",F194/F193-1)</f>
        <v/>
      </c>
      <c r="Q194" s="504">
        <f>IF(OR(G194="",G193=""),"",G194/G193-1)</f>
        <v/>
      </c>
      <c r="R194" s="504">
        <f>IF(OR(H194="",H193=""),"",H194/H193-1)</f>
        <v/>
      </c>
      <c r="S194" s="504">
        <f>IF(OR(I194="",I193=""),"",I194/I193-1)</f>
        <v/>
      </c>
      <c r="T194" s="504">
        <f>IF(OR(J194="",J193=""),"",J194/J193-1)</f>
        <v/>
      </c>
      <c r="U194" s="504">
        <f>IF(OR(K194="",K193=""),"",K194/K193-1)</f>
        <v/>
      </c>
    </row>
    <row r="195">
      <c r="C195" s="503" t="n">
        <v>45688</v>
      </c>
      <c r="D195" s="293" t="n">
        <v>68.47906494140625</v>
      </c>
      <c r="E195" s="293" t="n">
        <v>93.33881378173828</v>
      </c>
      <c r="F195" s="293" t="n">
        <v>62.90366744995117</v>
      </c>
      <c r="G195" s="293" t="n">
        <v>591.6904296875</v>
      </c>
      <c r="H195" s="293" t="n">
        <v>86.01237487792969</v>
      </c>
      <c r="I195" s="293" t="n">
        <v>98.82205963134766</v>
      </c>
      <c r="J195" s="293" t="n">
        <v>68.98847961425781</v>
      </c>
      <c r="K195" s="293">
        <f>'07_Backtest_CMD'!AL208</f>
        <v/>
      </c>
      <c r="M195" s="503" t="n">
        <v>45688</v>
      </c>
      <c r="N195" s="504">
        <f>IF(OR(D195="",D194=""),"",D195/D194-1)</f>
        <v/>
      </c>
      <c r="O195" s="504">
        <f>IF(OR(E195="",E194=""),"",E195/E194-1)</f>
        <v/>
      </c>
      <c r="P195" s="504">
        <f>IF(OR(F195="",F194=""),"",F195/F194-1)</f>
        <v/>
      </c>
      <c r="Q195" s="504">
        <f>IF(OR(G195="",G194=""),"",G195/G194-1)</f>
        <v/>
      </c>
      <c r="R195" s="504">
        <f>IF(OR(H195="",H194=""),"",H195/H194-1)</f>
        <v/>
      </c>
      <c r="S195" s="504">
        <f>IF(OR(I195="",I194=""),"",I195/I194-1)</f>
        <v/>
      </c>
      <c r="T195" s="504">
        <f>IF(OR(J195="",J194=""),"",J195/J194-1)</f>
        <v/>
      </c>
      <c r="U195" s="504">
        <f>IF(OR(K195="",K194=""),"",K195/K194-1)</f>
        <v/>
      </c>
    </row>
    <row r="196">
      <c r="C196" s="503" t="n">
        <v>45716</v>
      </c>
      <c r="D196" s="293" t="n">
        <v>70.82903289794922</v>
      </c>
      <c r="E196" s="293" t="n">
        <v>97.65396118164062</v>
      </c>
      <c r="F196" s="293" t="n">
        <v>67.79534912109375</v>
      </c>
      <c r="G196" s="293" t="n">
        <v>584.178955078125</v>
      </c>
      <c r="H196" s="293" t="n">
        <v>86.29087066650391</v>
      </c>
      <c r="I196" s="293" t="n">
        <v>98.58497619628906</v>
      </c>
      <c r="J196" s="293" t="n">
        <v>72.16423034667969</v>
      </c>
      <c r="K196" s="293">
        <f>'07_Backtest_CMD'!AL209</f>
        <v/>
      </c>
      <c r="M196" s="503" t="n">
        <v>45716</v>
      </c>
      <c r="N196" s="504">
        <f>IF(OR(D196="",D195=""),"",D196/D195-1)</f>
        <v/>
      </c>
      <c r="O196" s="504">
        <f>IF(OR(E196="",E195=""),"",E196/E195-1)</f>
        <v/>
      </c>
      <c r="P196" s="504">
        <f>IF(OR(F196="",F195=""),"",F196/F195-1)</f>
        <v/>
      </c>
      <c r="Q196" s="504">
        <f>IF(OR(G196="",G195=""),"",G196/G195-1)</f>
        <v/>
      </c>
      <c r="R196" s="504">
        <f>IF(OR(H196="",H195=""),"",H196/H195-1)</f>
        <v/>
      </c>
      <c r="S196" s="504">
        <f>IF(OR(I196="",I195=""),"",I196/I195-1)</f>
        <v/>
      </c>
      <c r="T196" s="504">
        <f>IF(OR(J196="",J195=""),"",J196/J195-1)</f>
        <v/>
      </c>
      <c r="U196" s="504">
        <f>IF(OR(K196="",K195=""),"",K196/K195-1)</f>
        <v/>
      </c>
    </row>
    <row r="197">
      <c r="C197" s="503" t="n">
        <v>45747</v>
      </c>
      <c r="D197" s="293" t="n">
        <v>69.82004547119141</v>
      </c>
      <c r="E197" s="293" t="n">
        <v>97.15483856201172</v>
      </c>
      <c r="F197" s="293" t="n">
        <v>66.13069152832031</v>
      </c>
      <c r="G197" s="293" t="n">
        <v>551.6289672851562</v>
      </c>
      <c r="H197" s="293" t="n">
        <v>86.57305145263672</v>
      </c>
      <c r="I197" s="293" t="n">
        <v>91.57746887207031</v>
      </c>
      <c r="J197" s="293" t="n">
        <v>72.4632568359375</v>
      </c>
      <c r="K197" s="293">
        <f>'07_Backtest_CMD'!AL210</f>
        <v/>
      </c>
      <c r="M197" s="503" t="n">
        <v>45747</v>
      </c>
      <c r="N197" s="504">
        <f>IF(OR(D197="",D196=""),"",D197/D196-1)</f>
        <v/>
      </c>
      <c r="O197" s="504">
        <f>IF(OR(E197="",E196=""),"",E197/E196-1)</f>
        <v/>
      </c>
      <c r="P197" s="504">
        <f>IF(OR(F197="",F196=""),"",F197/F196-1)</f>
        <v/>
      </c>
      <c r="Q197" s="504">
        <f>IF(OR(G197="",G196=""),"",G197/G196-1)</f>
        <v/>
      </c>
      <c r="R197" s="504">
        <f>IF(OR(H197="",H196=""),"",H197/H196-1)</f>
        <v/>
      </c>
      <c r="S197" s="504">
        <f>IF(OR(I197="",I196=""),"",I197/I196-1)</f>
        <v/>
      </c>
      <c r="T197" s="504">
        <f>IF(OR(J197="",J196=""),"",J197/J196-1)</f>
        <v/>
      </c>
      <c r="U197" s="504">
        <f>IF(OR(K197="",K196=""),"",K197/K196-1)</f>
        <v/>
      </c>
    </row>
    <row r="198">
      <c r="C198" s="503" t="n">
        <v>45777</v>
      </c>
      <c r="D198" s="293" t="n">
        <v>68.85348510742188</v>
      </c>
      <c r="E198" s="293" t="n">
        <v>96.45939636230469</v>
      </c>
      <c r="F198" s="293" t="n">
        <v>64.20645904541016</v>
      </c>
      <c r="G198" s="293" t="n">
        <v>546.8462524414062</v>
      </c>
      <c r="H198" s="293" t="n">
        <v>86.86759185791016</v>
      </c>
      <c r="I198" s="293" t="n">
        <v>93.59646606445312</v>
      </c>
      <c r="J198" s="293" t="n">
        <v>70.74215698242188</v>
      </c>
      <c r="K198" s="293">
        <f>'07_Backtest_CMD'!AL211</f>
        <v/>
      </c>
      <c r="M198" s="503" t="n">
        <v>45777</v>
      </c>
      <c r="N198" s="504">
        <f>IF(OR(D198="",D197=""),"",D198/D197-1)</f>
        <v/>
      </c>
      <c r="O198" s="504">
        <f>IF(OR(E198="",E197=""),"",E198/E197-1)</f>
        <v/>
      </c>
      <c r="P198" s="504">
        <f>IF(OR(F198="",F197=""),"",F198/F197-1)</f>
        <v/>
      </c>
      <c r="Q198" s="504">
        <f>IF(OR(G198="",G197=""),"",G198/G197-1)</f>
        <v/>
      </c>
      <c r="R198" s="504">
        <f>IF(OR(H198="",H197=""),"",H198/H197-1)</f>
        <v/>
      </c>
      <c r="S198" s="504">
        <f>IF(OR(I198="",I197=""),"",I198/I197-1)</f>
        <v/>
      </c>
      <c r="T198" s="504">
        <f>IF(OR(J198="",J197=""),"",J198/J197-1)</f>
        <v/>
      </c>
      <c r="U198" s="504">
        <f>IF(OR(K198="",K197=""),"",K198/K197-1)</f>
        <v/>
      </c>
    </row>
    <row r="199">
      <c r="C199" s="503" t="n">
        <v>45808</v>
      </c>
      <c r="D199" s="293" t="n">
        <v>68.76803588867188</v>
      </c>
      <c r="E199" s="293" t="n">
        <v>94.02252960205078</v>
      </c>
      <c r="F199" s="293" t="n">
        <v>61.00883865356445</v>
      </c>
      <c r="G199" s="293" t="n">
        <v>581.2127685546875</v>
      </c>
      <c r="H199" s="293" t="n">
        <v>87.18310546875</v>
      </c>
      <c r="I199" s="293" t="n">
        <v>104.265495300293</v>
      </c>
      <c r="J199" s="293" t="n">
        <v>71.476318359375</v>
      </c>
      <c r="K199" s="293">
        <f>'07_Backtest_CMD'!AL212</f>
        <v/>
      </c>
      <c r="M199" s="503" t="n">
        <v>45808</v>
      </c>
      <c r="N199" s="504">
        <f>IF(OR(D199="",D198=""),"",D199/D198-1)</f>
        <v/>
      </c>
      <c r="O199" s="504">
        <f>IF(OR(E199="",E198=""),"",E199/E198-1)</f>
        <v/>
      </c>
      <c r="P199" s="504">
        <f>IF(OR(F199="",F198=""),"",F199/F198-1)</f>
        <v/>
      </c>
      <c r="Q199" s="504">
        <f>IF(OR(G199="",G198=""),"",G199/G198-1)</f>
        <v/>
      </c>
      <c r="R199" s="504">
        <f>IF(OR(H199="",H198=""),"",H199/H198-1)</f>
        <v/>
      </c>
      <c r="S199" s="504">
        <f>IF(OR(I199="",I198=""),"",I199/I198-1)</f>
        <v/>
      </c>
      <c r="T199" s="504">
        <f>IF(OR(J199="",J198=""),"",J199/J198-1)</f>
        <v/>
      </c>
      <c r="U199" s="504">
        <f>IF(OR(K199="",K198=""),"",K199/K198-1)</f>
        <v/>
      </c>
    </row>
    <row r="200">
      <c r="C200" s="503" t="n">
        <v>45838</v>
      </c>
      <c r="D200" s="293" t="n">
        <v>70.83042144775391</v>
      </c>
      <c r="E200" s="293" t="n">
        <v>96.14803314208984</v>
      </c>
      <c r="F200" s="293" t="n">
        <v>63.29421234130859</v>
      </c>
      <c r="G200" s="293" t="n">
        <v>611.0790405273438</v>
      </c>
      <c r="H200" s="293" t="n">
        <v>87.47491455078125</v>
      </c>
      <c r="I200" s="293" t="n">
        <v>111.5323257446289</v>
      </c>
      <c r="J200" s="293" t="n">
        <v>70.96933746337891</v>
      </c>
      <c r="K200" s="293">
        <f>'07_Backtest_CMD'!AL213</f>
        <v/>
      </c>
      <c r="M200" s="503" t="n">
        <v>45838</v>
      </c>
      <c r="N200" s="504">
        <f>IF(OR(D200="",D199=""),"",D200/D199-1)</f>
        <v/>
      </c>
      <c r="O200" s="504">
        <f>IF(OR(E200="",E199=""),"",E200/E199-1)</f>
        <v/>
      </c>
      <c r="P200" s="504">
        <f>IF(OR(F200="",F199=""),"",F200/F199-1)</f>
        <v/>
      </c>
      <c r="Q200" s="504">
        <f>IF(OR(G200="",G199=""),"",G200/G199-1)</f>
        <v/>
      </c>
      <c r="R200" s="504">
        <f>IF(OR(H200="",H199=""),"",H200/H199-1)</f>
        <v/>
      </c>
      <c r="S200" s="504">
        <f>IF(OR(I200="",I199=""),"",I200/I199-1)</f>
        <v/>
      </c>
      <c r="T200" s="504">
        <f>IF(OR(J200="",J199=""),"",J200/J199-1)</f>
        <v/>
      </c>
      <c r="U200" s="504">
        <f>IF(OR(K200="",K199=""),"",K200/K199-1)</f>
        <v/>
      </c>
    </row>
    <row r="201">
      <c r="C201" s="503" t="n">
        <v>45869</v>
      </c>
      <c r="D201" s="293" t="n">
        <v>70.67950439453125</v>
      </c>
      <c r="E201" s="293" t="n">
        <v>95.43574523925781</v>
      </c>
      <c r="F201" s="293" t="n">
        <v>62.19760513305664</v>
      </c>
      <c r="G201" s="293" t="n">
        <v>625.1531982421875</v>
      </c>
      <c r="H201" s="293" t="n">
        <v>87.78681945800781</v>
      </c>
      <c r="I201" s="293" t="n">
        <v>114.7254867553711</v>
      </c>
      <c r="J201" s="293" t="n">
        <v>70.78192901611328</v>
      </c>
      <c r="K201" s="293">
        <f>'07_Backtest_CMD'!AL214</f>
        <v/>
      </c>
      <c r="M201" s="503" t="n">
        <v>45869</v>
      </c>
      <c r="N201" s="504">
        <f>IF(OR(D201="",D200=""),"",D201/D200-1)</f>
        <v/>
      </c>
      <c r="O201" s="504">
        <f>IF(OR(E201="",E200=""),"",E201/E200-1)</f>
        <v/>
      </c>
      <c r="P201" s="504">
        <f>IF(OR(F201="",F200=""),"",F201/F200-1)</f>
        <v/>
      </c>
      <c r="Q201" s="504">
        <f>IF(OR(G201="",G200=""),"",G201/G200-1)</f>
        <v/>
      </c>
      <c r="R201" s="504">
        <f>IF(OR(H201="",H200=""),"",H201/H200-1)</f>
        <v/>
      </c>
      <c r="S201" s="504">
        <f>IF(OR(I201="",I200=""),"",I201/I200-1)</f>
        <v/>
      </c>
      <c r="T201" s="504">
        <f>IF(OR(J201="",J200=""),"",J201/J200-1)</f>
        <v/>
      </c>
      <c r="U201" s="504">
        <f>IF(OR(K201="",K200=""),"",K201/K200-1)</f>
        <v/>
      </c>
    </row>
    <row r="202">
      <c r="C202" s="503" t="n">
        <v>45900</v>
      </c>
      <c r="D202" s="293" t="n">
        <v>71.18385314941406</v>
      </c>
      <c r="E202" s="293" t="n">
        <v>96.20504760742188</v>
      </c>
      <c r="F202" s="293" t="n">
        <v>61.44560241699219</v>
      </c>
      <c r="G202" s="293" t="n">
        <v>637.9810180664062</v>
      </c>
      <c r="H202" s="293" t="n">
        <v>88.11231994628906</v>
      </c>
      <c r="I202" s="293" t="n">
        <v>115.508903503418</v>
      </c>
      <c r="J202" s="293" t="n">
        <v>71.88439178466797</v>
      </c>
      <c r="K202" s="293">
        <f>'07_Backtest_CMD'!AL215</f>
        <v/>
      </c>
      <c r="M202" s="503" t="n">
        <v>45900</v>
      </c>
      <c r="N202" s="504">
        <f>IF(OR(D202="",D201=""),"",D202/D201-1)</f>
        <v/>
      </c>
      <c r="O202" s="504">
        <f>IF(OR(E202="",E201=""),"",E202/E201-1)</f>
        <v/>
      </c>
      <c r="P202" s="504">
        <f>IF(OR(F202="",F201=""),"",F202/F201-1)</f>
        <v/>
      </c>
      <c r="Q202" s="504">
        <f>IF(OR(G202="",G201=""),"",G202/G201-1)</f>
        <v/>
      </c>
      <c r="R202" s="504">
        <f>IF(OR(H202="",H201=""),"",H202/H201-1)</f>
        <v/>
      </c>
      <c r="S202" s="504">
        <f>IF(OR(I202="",I201=""),"",I202/I201-1)</f>
        <v/>
      </c>
      <c r="T202" s="504">
        <f>IF(OR(J202="",J201=""),"",J202/J201-1)</f>
        <v/>
      </c>
      <c r="U202" s="504">
        <f>IF(OR(K202="",K201=""),"",K202/K201-1)</f>
        <v/>
      </c>
    </row>
    <row r="203">
      <c r="C203" s="503" t="n">
        <v>45930</v>
      </c>
      <c r="D203" s="293" t="n">
        <v>73.52745819091797</v>
      </c>
      <c r="E203" s="293" t="n">
        <v>98.54255676269531</v>
      </c>
      <c r="F203" s="293" t="n">
        <v>65.15803527832031</v>
      </c>
      <c r="G203" s="293" t="n">
        <v>660.7061157226562</v>
      </c>
      <c r="H203" s="293" t="n">
        <v>88.40328979492188</v>
      </c>
      <c r="I203" s="293" t="n">
        <v>120.2400512695312</v>
      </c>
      <c r="J203" s="293" t="n">
        <v>71.99636840820312</v>
      </c>
      <c r="K203" s="293">
        <f>'07_Backtest_CMD'!AL216</f>
        <v/>
      </c>
      <c r="M203" s="503" t="n">
        <v>45930</v>
      </c>
      <c r="N203" s="504">
        <f>IF(OR(D203="",D202=""),"",D203/D202-1)</f>
        <v/>
      </c>
      <c r="O203" s="504">
        <f>IF(OR(E203="",E202=""),"",E203/E202-1)</f>
        <v/>
      </c>
      <c r="P203" s="504">
        <f>IF(OR(F203="",F202=""),"",F203/F202-1)</f>
        <v/>
      </c>
      <c r="Q203" s="504">
        <f>IF(OR(G203="",G202=""),"",G203/G202-1)</f>
        <v/>
      </c>
      <c r="R203" s="504">
        <f>IF(OR(H203="",H202=""),"",H203/H202-1)</f>
        <v/>
      </c>
      <c r="S203" s="504">
        <f>IF(OR(I203="",I202=""),"",I203/I202-1)</f>
        <v/>
      </c>
      <c r="T203" s="504">
        <f>IF(OR(J203="",J202=""),"",J203/J202-1)</f>
        <v/>
      </c>
      <c r="U203" s="504">
        <f>IF(OR(K203="",K202=""),"",K203/K202-1)</f>
        <v/>
      </c>
    </row>
    <row r="204">
      <c r="C204" s="503" t="n">
        <v>45961</v>
      </c>
      <c r="D204" s="293" t="n">
        <v>73.62159729003906</v>
      </c>
      <c r="E204" s="293" t="n">
        <v>99.68117523193359</v>
      </c>
      <c r="F204" s="293" t="n">
        <v>66.57192993164062</v>
      </c>
      <c r="G204" s="293" t="n">
        <v>676.4556274414062</v>
      </c>
      <c r="H204" s="293" t="n">
        <v>88.71365356445312</v>
      </c>
      <c r="I204" s="293" t="n">
        <v>120.8757247924805</v>
      </c>
      <c r="J204" s="293" t="n">
        <v>69.32096099853516</v>
      </c>
      <c r="K204" s="293">
        <f>'07_Backtest_CMD'!AL217</f>
        <v/>
      </c>
      <c r="M204" s="503" t="n">
        <v>45961</v>
      </c>
      <c r="N204" s="504">
        <f>IF(OR(D204="",D203=""),"",D204/D203-1)</f>
        <v/>
      </c>
      <c r="O204" s="504">
        <f>IF(OR(E204="",E203=""),"",E204/E203-1)</f>
        <v/>
      </c>
      <c r="P204" s="504">
        <f>IF(OR(F204="",F203=""),"",F204/F203-1)</f>
        <v/>
      </c>
      <c r="Q204" s="504">
        <f>IF(OR(G204="",G203=""),"",G204/G203-1)</f>
        <v/>
      </c>
      <c r="R204" s="504">
        <f>IF(OR(H204="",H203=""),"",H204/H203-1)</f>
        <v/>
      </c>
      <c r="S204" s="504">
        <f>IF(OR(I204="",I203=""),"",I204/I203-1)</f>
        <v/>
      </c>
      <c r="T204" s="504">
        <f>IF(OR(J204="",J203=""),"",J204/J203-1)</f>
        <v/>
      </c>
      <c r="U204" s="504">
        <f>IF(OR(K204="",K203=""),"",K204/K203-1)</f>
        <v/>
      </c>
    </row>
    <row r="205">
      <c r="C205" s="503" t="n">
        <v>45991</v>
      </c>
      <c r="D205" s="293" t="n">
        <v>74.22613525390625</v>
      </c>
      <c r="E205" s="293" t="n">
        <v>100.2775421142578</v>
      </c>
      <c r="F205" s="293" t="n">
        <v>66.29261016845703</v>
      </c>
      <c r="G205" s="293" t="n">
        <v>677.7747192382812</v>
      </c>
      <c r="H205" s="293" t="n">
        <v>88.96875762939453</v>
      </c>
      <c r="I205" s="293" t="n">
        <v>119.3064270019531</v>
      </c>
      <c r="J205" s="293" t="n">
        <v>71.95735931396484</v>
      </c>
      <c r="K205" s="293">
        <f>'07_Backtest_CMD'!AL218</f>
        <v/>
      </c>
      <c r="M205" s="503" t="n">
        <v>45991</v>
      </c>
      <c r="N205" s="504">
        <f>IF(OR(D205="",D204=""),"",D205/D204-1)</f>
        <v/>
      </c>
      <c r="O205" s="504">
        <f>IF(OR(E205="",E204=""),"",E205/E204-1)</f>
        <v/>
      </c>
      <c r="P205" s="504">
        <f>IF(OR(F205="",F204=""),"",F205/F204-1)</f>
        <v/>
      </c>
      <c r="Q205" s="504">
        <f>IF(OR(G205="",G204=""),"",G205/G204-1)</f>
        <v/>
      </c>
      <c r="R205" s="504">
        <f>IF(OR(H205="",H204=""),"",H205/H204-1)</f>
        <v/>
      </c>
      <c r="S205" s="504">
        <f>IF(OR(I205="",I204=""),"",I205/I204-1)</f>
        <v/>
      </c>
      <c r="T205" s="504">
        <f>IF(OR(J205="",J204=""),"",J205/J204-1)</f>
        <v/>
      </c>
      <c r="U205" s="504">
        <f>IF(OR(K205="",K204=""),"",K205/K204-1)</f>
        <v/>
      </c>
    </row>
    <row r="206">
      <c r="C206" s="503" t="n">
        <v>46022</v>
      </c>
      <c r="D206" s="293" t="n">
        <v>73.09371185302734</v>
      </c>
      <c r="E206" s="293" t="n">
        <v>98.66566467285156</v>
      </c>
      <c r="F206" s="293" t="n">
        <v>63.38941192626953</v>
      </c>
      <c r="G206" s="293" t="n">
        <v>678.3152465820312</v>
      </c>
      <c r="H206" s="293" t="n">
        <v>89.26697540283203</v>
      </c>
      <c r="I206" s="293" t="n">
        <v>118.8010711669922</v>
      </c>
      <c r="J206" s="293" t="n">
        <v>70.36860656738281</v>
      </c>
      <c r="K206" s="293">
        <f>'07_Backtest_CMD'!AL219</f>
        <v/>
      </c>
      <c r="M206" s="503" t="n">
        <v>46022</v>
      </c>
      <c r="N206" s="504">
        <f>IF(OR(D206="",D205=""),"",D206/D205-1)</f>
        <v/>
      </c>
      <c r="O206" s="504">
        <f>IF(OR(E206="",E205=""),"",E206/E205-1)</f>
        <v/>
      </c>
      <c r="P206" s="504">
        <f>IF(OR(F206="",F205=""),"",F206/F205-1)</f>
        <v/>
      </c>
      <c r="Q206" s="504">
        <f>IF(OR(G206="",G205=""),"",G206/G205-1)</f>
        <v/>
      </c>
      <c r="R206" s="504">
        <f>IF(OR(H206="",H205=""),"",H206/H205-1)</f>
        <v/>
      </c>
      <c r="S206" s="504">
        <f>IF(OR(I206="",I205=""),"",I206/I205-1)</f>
        <v/>
      </c>
      <c r="T206" s="504">
        <f>IF(OR(J206="",J205=""),"",J206/J205-1)</f>
        <v/>
      </c>
      <c r="U206" s="504">
        <f>IF(OR(K206="",K205=""),"",K206/K205-1)</f>
        <v/>
      </c>
    </row>
    <row r="207">
      <c r="C207" s="503" t="n">
        <v>46053</v>
      </c>
      <c r="D207" s="293" t="n">
        <v>73.44062805175781</v>
      </c>
      <c r="E207" s="293" t="n">
        <v>98.59774780273438</v>
      </c>
      <c r="F207" s="293" t="n">
        <v>63.23340225219727</v>
      </c>
      <c r="G207" s="293" t="n">
        <v>688.3121337890625</v>
      </c>
      <c r="H207" s="293" t="n">
        <v>89.53073883056641</v>
      </c>
      <c r="I207" s="293" t="n">
        <v>119.3486785888672</v>
      </c>
      <c r="J207" s="293" t="n">
        <v>72.69980621337891</v>
      </c>
      <c r="K207" s="293">
        <f>'07_Backtest_CMD'!AL220</f>
        <v/>
      </c>
      <c r="M207" s="503" t="n">
        <v>46053</v>
      </c>
      <c r="N207" s="504">
        <f>IF(OR(D207="",D206=""),"",D207/D206-1)</f>
        <v/>
      </c>
      <c r="O207" s="504">
        <f>IF(OR(E207="",E206=""),"",E207/E206-1)</f>
        <v/>
      </c>
      <c r="P207" s="504">
        <f>IF(OR(F207="",F206=""),"",F207/F206-1)</f>
        <v/>
      </c>
      <c r="Q207" s="504">
        <f>IF(OR(G207="",G206=""),"",G207/G206-1)</f>
        <v/>
      </c>
      <c r="R207" s="504">
        <f>IF(OR(H207="",H206=""),"",H207/H206-1)</f>
        <v/>
      </c>
      <c r="S207" s="504">
        <f>IF(OR(I207="",I206=""),"",I207/I206-1)</f>
        <v/>
      </c>
      <c r="T207" s="504">
        <f>IF(OR(J207="",J206=""),"",J207/J206-1)</f>
        <v/>
      </c>
      <c r="U207" s="504">
        <f>IF(OR(K207="",K206=""),"",K207/K206-1)</f>
        <v/>
      </c>
    </row>
    <row r="208">
      <c r="C208" s="503" t="n">
        <v>46081</v>
      </c>
      <c r="D208" s="293" t="n">
        <v>74.80171203613281</v>
      </c>
      <c r="E208" s="293" t="n">
        <v>102.2798156738281</v>
      </c>
      <c r="F208" s="293" t="n">
        <v>67.41645812988281</v>
      </c>
      <c r="G208" s="293" t="n">
        <v>682.3637084960938</v>
      </c>
      <c r="H208" s="293" t="n">
        <v>89.76979827880859</v>
      </c>
      <c r="I208" s="293" t="n">
        <v>118.9504165649414</v>
      </c>
      <c r="J208" s="293" t="n">
        <v>76.53749084472656</v>
      </c>
      <c r="K208" s="293">
        <f>'07_Backtest_CMD'!AL221</f>
        <v/>
      </c>
      <c r="M208" s="503" t="n">
        <v>46081</v>
      </c>
      <c r="N208" s="504">
        <f>IF(OR(D208="",D207=""),"",D208/D207-1)</f>
        <v/>
      </c>
      <c r="O208" s="504">
        <f>IF(OR(E208="",E207=""),"",E208/E207-1)</f>
        <v/>
      </c>
      <c r="P208" s="504">
        <f>IF(OR(F208="",F207=""),"",F208/F207-1)</f>
        <v/>
      </c>
      <c r="Q208" s="504">
        <f>IF(OR(G208="",G207=""),"",G208/G207-1)</f>
        <v/>
      </c>
      <c r="R208" s="504">
        <f>IF(OR(H208="",H207=""),"",H208/H207-1)</f>
        <v/>
      </c>
      <c r="S208" s="504">
        <f>IF(OR(I208="",I207=""),"",I208/I207-1)</f>
        <v/>
      </c>
      <c r="T208" s="504">
        <f>IF(OR(J208="",J207=""),"",J208/J207-1)</f>
        <v/>
      </c>
      <c r="U208" s="504">
        <f>IF(OR(K208="",K207=""),"",K208/K207-1)</f>
        <v/>
      </c>
    </row>
    <row r="209">
      <c r="C209" s="503" t="n">
        <v>46112</v>
      </c>
      <c r="D209" s="293" t="n">
        <v>72.63208770751953</v>
      </c>
      <c r="E209" s="293" t="n">
        <v>98.42847442626953</v>
      </c>
      <c r="F209" s="293" t="n">
        <v>63.33090591430664</v>
      </c>
      <c r="G209" s="293" t="n">
        <v>648.6688842773438</v>
      </c>
      <c r="H209" s="293" t="n">
        <v>90.02819061279297</v>
      </c>
      <c r="I209" s="293" t="n">
        <v>111.9382247924805</v>
      </c>
      <c r="J209" s="293" t="n">
        <v>72.46017456054688</v>
      </c>
      <c r="K209" s="293">
        <f>'07_Backtest_CMD'!AL222</f>
        <v/>
      </c>
      <c r="M209" s="503" t="n">
        <v>46112</v>
      </c>
      <c r="N209" s="504">
        <f>IF(OR(D209="",D208=""),"",D209/D208-1)</f>
        <v/>
      </c>
      <c r="O209" s="504">
        <f>IF(OR(E209="",E208=""),"",E209/E208-1)</f>
        <v/>
      </c>
      <c r="P209" s="504">
        <f>IF(OR(F209="",F208=""),"",F209/F208-1)</f>
        <v/>
      </c>
      <c r="Q209" s="504">
        <f>IF(OR(G209="",G208=""),"",G209/G208-1)</f>
        <v/>
      </c>
      <c r="R209" s="504">
        <f>IF(OR(H209="",H208=""),"",H209/H208-1)</f>
        <v/>
      </c>
      <c r="S209" s="504">
        <f>IF(OR(I209="",I208=""),"",I209/I208-1)</f>
        <v/>
      </c>
      <c r="T209" s="504">
        <f>IF(OR(J209="",J208=""),"",J209/J208-1)</f>
        <v/>
      </c>
      <c r="U209" s="504">
        <f>IF(OR(K209="",K208=""),"",K209/K208-1)</f>
        <v/>
      </c>
    </row>
    <row r="210">
      <c r="C210" s="503" t="n">
        <v>46142</v>
      </c>
      <c r="D210" s="293" t="n">
        <v>72.87236785888672</v>
      </c>
      <c r="E210" s="293" t="n">
        <v>97.93892669677734</v>
      </c>
      <c r="F210" s="293" t="n">
        <v>62.28897857666016</v>
      </c>
      <c r="G210" s="293" t="n">
        <v>716.8132934570312</v>
      </c>
      <c r="H210" s="293" t="n">
        <v>90.28829956054688</v>
      </c>
      <c r="I210" s="293" t="n">
        <v>133.5850067138672</v>
      </c>
      <c r="J210" s="293" t="n">
        <v>73.93325805664062</v>
      </c>
      <c r="K210" s="293">
        <f>'07_Backtest_CMD'!AL223</f>
        <v/>
      </c>
      <c r="M210" s="503" t="n">
        <v>46142</v>
      </c>
      <c r="N210" s="504">
        <f>IF(OR(D210="",D209=""),"",D210/D209-1)</f>
        <v/>
      </c>
      <c r="O210" s="504">
        <f>IF(OR(E210="",E209=""),"",E210/E209-1)</f>
        <v/>
      </c>
      <c r="P210" s="504">
        <f>IF(OR(F210="",F209=""),"",F210/F209-1)</f>
        <v/>
      </c>
      <c r="Q210" s="504">
        <f>IF(OR(G210="",G209=""),"",G210/G209-1)</f>
        <v/>
      </c>
      <c r="R210" s="504">
        <f>IF(OR(H210="",H209=""),"",H210/H209-1)</f>
        <v/>
      </c>
      <c r="S210" s="504">
        <f>IF(OR(I210="",I209=""),"",I210/I209-1)</f>
        <v/>
      </c>
      <c r="T210" s="504">
        <f>IF(OR(J210="",J209=""),"",J210/J209-1)</f>
        <v/>
      </c>
      <c r="U210" s="504">
        <f>IF(OR(K210="",K209=""),"",K210/K209-1)</f>
        <v/>
      </c>
    </row>
    <row r="211">
      <c r="C211" s="503" t="n">
        <v>46173</v>
      </c>
      <c r="D211" s="293" t="n">
        <v>73.99758148193359</v>
      </c>
      <c r="E211" s="293" t="n">
        <v>98.37117004394531</v>
      </c>
      <c r="F211" s="293" t="n">
        <v>62.87112045288086</v>
      </c>
      <c r="G211" s="293" t="n">
        <v>754.5361328125</v>
      </c>
      <c r="H211" s="293" t="n">
        <v>90.57485961914062</v>
      </c>
      <c r="I211" s="293" t="n">
        <v>150.3592681884766</v>
      </c>
      <c r="J211" s="293" t="n">
        <v>71.80529022216797</v>
      </c>
      <c r="K211" s="293">
        <f>'07_Backtest_CMD'!AL224</f>
        <v/>
      </c>
      <c r="M211" s="503" t="n">
        <v>46173</v>
      </c>
      <c r="N211" s="504">
        <f>IF(OR(D211="",D210=""),"",D211/D210-1)</f>
        <v/>
      </c>
      <c r="O211" s="504">
        <f>IF(OR(E211="",E210=""),"",E211/E210-1)</f>
        <v/>
      </c>
      <c r="P211" s="504">
        <f>IF(OR(F211="",F210=""),"",F211/F210-1)</f>
        <v/>
      </c>
      <c r="Q211" s="504">
        <f>IF(OR(G211="",G210=""),"",G211/G210-1)</f>
        <v/>
      </c>
      <c r="R211" s="504">
        <f>IF(OR(H211="",H210=""),"",H211/H210-1)</f>
        <v/>
      </c>
      <c r="S211" s="504">
        <f>IF(OR(I211="",I210=""),"",I211/I210-1)</f>
        <v/>
      </c>
      <c r="T211" s="504">
        <f>IF(OR(J211="",J210=""),"",J211/J210-1)</f>
        <v/>
      </c>
      <c r="U211" s="504">
        <f>IF(OR(K211="",K210=""),"",K211/K210-1)</f>
        <v/>
      </c>
    </row>
    <row r="212">
      <c r="C212" s="503" t="n">
        <v>46203</v>
      </c>
      <c r="D212" s="293" t="n">
        <v>74.17006683349609</v>
      </c>
      <c r="E212" s="293" t="n">
        <v>99.21251678466797</v>
      </c>
      <c r="F212" s="293" t="n">
        <v>64.21300506591797</v>
      </c>
      <c r="G212" s="293" t="n">
        <v>746.77001953125</v>
      </c>
      <c r="H212" s="293" t="n">
        <v>90.82164001464844</v>
      </c>
      <c r="I212" s="293" t="n">
        <v>161.5399932861328</v>
      </c>
      <c r="J212" s="293" t="n">
        <v>74.62110900878906</v>
      </c>
      <c r="K212" s="293">
        <f>'07_Backtest_CMD'!AL225</f>
        <v/>
      </c>
      <c r="M212" s="503" t="n">
        <v>46203</v>
      </c>
      <c r="N212" s="504">
        <f>IF(OR(D212="",D211=""),"",D212/D211-1)</f>
        <v/>
      </c>
      <c r="O212" s="504">
        <f>IF(OR(E212="",E211=""),"",E212/E211-1)</f>
        <v/>
      </c>
      <c r="P212" s="504">
        <f>IF(OR(F212="",F211=""),"",F212/F211-1)</f>
        <v/>
      </c>
      <c r="Q212" s="504">
        <f>IF(OR(G212="",G211=""),"",G212/G211-1)</f>
        <v/>
      </c>
      <c r="R212" s="504">
        <f>IF(OR(H212="",H211=""),"",H212/H211-1)</f>
        <v/>
      </c>
      <c r="S212" s="504">
        <f>IF(OR(I212="",I211=""),"",I212/I211-1)</f>
        <v/>
      </c>
      <c r="T212" s="504">
        <f>IF(OR(J212="",J211=""),"",J212/J211-1)</f>
        <v/>
      </c>
      <c r="U212" s="504">
        <f>IF(OR(K212="",K211=""),"",K212/K211-1)</f>
        <v/>
      </c>
    </row>
    <row r="213">
      <c r="C213" s="503" t="n">
        <v>46234</v>
      </c>
      <c r="D213" s="293" t="n">
        <v>71.28080749511719</v>
      </c>
      <c r="E213" s="293" t="n">
        <v>95.79221343994141</v>
      </c>
      <c r="F213" s="293" t="n">
        <v>59.45999908447266</v>
      </c>
      <c r="G213" s="293" t="n">
        <v>747.030029296875</v>
      </c>
      <c r="H213" s="293" t="n">
        <v>91.12777709960938</v>
      </c>
      <c r="I213" s="293" t="n">
        <v>143.8300018310547</v>
      </c>
      <c r="J213" s="293" t="n">
        <v>76.08626556396484</v>
      </c>
      <c r="K213" s="293">
        <f>'07_Backtest_CMD'!AL226</f>
        <v/>
      </c>
      <c r="M213" s="503" t="n">
        <v>46234</v>
      </c>
      <c r="N213" s="504">
        <f>IF(OR(D213="",D212=""),"",D213/D212-1)</f>
        <v/>
      </c>
      <c r="O213" s="504">
        <f>IF(OR(E213="",E212=""),"",E213/E212-1)</f>
        <v/>
      </c>
      <c r="P213" s="504">
        <f>IF(OR(F213="",F212=""),"",F213/F212-1)</f>
        <v/>
      </c>
      <c r="Q213" s="504">
        <f>IF(OR(G213="",G212=""),"",G213/G212-1)</f>
        <v/>
      </c>
      <c r="R213" s="504">
        <f>IF(OR(H213="",H212=""),"",H213/H212-1)</f>
        <v/>
      </c>
      <c r="S213" s="504">
        <f>IF(OR(I213="",I212=""),"",I213/I212-1)</f>
        <v/>
      </c>
      <c r="T213" s="504">
        <f>IF(OR(J213="",J212=""),"",J213/J212-1)</f>
        <v/>
      </c>
      <c r="U213" s="504">
        <f>IF(OR(K213="",K212=""),"",K213/K212-1)</f>
        <v/>
      </c>
    </row>
    <row r="214">
      <c r="C214" s="503" t="n">
        <v>46265</v>
      </c>
      <c r="D214" s="293" t="n">
        <v>71.83799743652344</v>
      </c>
      <c r="E214" s="293" t="n">
        <v>96.62800598144531</v>
      </c>
      <c r="F214" s="293" t="n">
        <v>60.16999816894531</v>
      </c>
      <c r="G214" s="293" t="n">
        <v>767.0499877929688</v>
      </c>
      <c r="H214" s="293" t="n">
        <v>91.3800048828125</v>
      </c>
      <c r="I214" s="293" t="n">
        <v>147.0899963378906</v>
      </c>
      <c r="J214" s="293" t="n">
        <v>74.69000244140625</v>
      </c>
      <c r="K214" s="293">
        <f>'07_Backtest_CMD'!AL227</f>
        <v/>
      </c>
      <c r="M214" s="503" t="n">
        <v>46265</v>
      </c>
      <c r="N214" s="504">
        <f>IF(OR(D214="",D213=""),"",D214/D213-1)</f>
        <v/>
      </c>
      <c r="O214" s="504">
        <f>IF(OR(E214="",E213=""),"",E214/E213-1)</f>
        <v/>
      </c>
      <c r="P214" s="504">
        <f>IF(OR(F214="",F213=""),"",F214/F213-1)</f>
        <v/>
      </c>
      <c r="Q214" s="504">
        <f>IF(OR(G214="",G213=""),"",G214/G213-1)</f>
        <v/>
      </c>
      <c r="R214" s="504">
        <f>IF(OR(H214="",H213=""),"",H214/H213-1)</f>
        <v/>
      </c>
      <c r="S214" s="504">
        <f>IF(OR(I214="",I213=""),"",I214/I213-1)</f>
        <v/>
      </c>
      <c r="T214" s="504">
        <f>IF(OR(J214="",J213=""),"",J214/J213-1)</f>
        <v/>
      </c>
      <c r="U214" s="504">
        <f>IF(OR(K214="",K213=""),"",K214/K213-1)</f>
        <v/>
      </c>
    </row>
  </sheetData>
  <mergeCells count="30">
    <mergeCell ref="M11:U11"/>
    <mergeCell ref="I5:U5"/>
    <mergeCell ref="C25:K25"/>
    <mergeCell ref="I6:J6"/>
    <mergeCell ref="M10:U10"/>
    <mergeCell ref="K9:L9"/>
    <mergeCell ref="I11:J11"/>
    <mergeCell ref="C5:G5"/>
    <mergeCell ref="M7:U7"/>
    <mergeCell ref="M25:U25"/>
    <mergeCell ref="W14:Z14"/>
    <mergeCell ref="M6:U6"/>
    <mergeCell ref="M12:U12"/>
    <mergeCell ref="K11:L11"/>
    <mergeCell ref="I7:J7"/>
    <mergeCell ref="C3:U3"/>
    <mergeCell ref="W24:Z31"/>
    <mergeCell ref="M8:U8"/>
    <mergeCell ref="I12:J12"/>
    <mergeCell ref="K12:L12"/>
    <mergeCell ref="K8:L8"/>
    <mergeCell ref="C14:U14"/>
    <mergeCell ref="I8:J8"/>
    <mergeCell ref="K7:L7"/>
    <mergeCell ref="I10:J10"/>
    <mergeCell ref="M9:U9"/>
    <mergeCell ref="K10:L10"/>
    <mergeCell ref="K6:L6"/>
    <mergeCell ref="I9:J9"/>
    <mergeCell ref="C2:U2"/>
  </mergeCells>
  <conditionalFormatting sqref="R16:R23">
    <cfRule type="containsText" priority="1" operator="containsText" dxfId="8" text="Completa"/>
  </conditionalFormatting>
  <conditionalFormatting sqref="Z16:Z21">
    <cfRule type="containsText" priority="2" operator="containsText" dxfId="0" text="REVISAR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C2:R61"/>
  <sheetViews>
    <sheetView showGridLines="0" workbookViewId="0">
      <pane xSplit="3" ySplit="14" topLeftCell="D15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5" customWidth="1" min="3" max="3"/>
    <col width="28" customWidth="1" min="4" max="4"/>
    <col width="21" customWidth="1" min="5" max="5"/>
    <col width="15" customWidth="1" min="6" max="6"/>
    <col width="16" customWidth="1" min="7" max="7"/>
    <col width="22" customWidth="1" min="8" max="8"/>
    <col width="29" customWidth="1" min="9" max="9"/>
    <col width="18" customWidth="1" min="10" max="10"/>
    <col width="15" customWidth="1" min="11" max="11"/>
    <col width="28" customWidth="1" min="12" max="12"/>
    <col width="3" customWidth="1" min="13" max="13"/>
    <col width="3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2" ht="30" customHeight="1">
      <c r="C2" s="505" t="inlineStr">
        <is>
          <t>MODELO NEXUM - PARÁMETROS EX ANTE DE ESTRATEGIAS ACTIVAS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</row>
    <row r="3">
      <c r="C3" s="426" t="inlineStr">
        <is>
          <t>Reglas cerradas antes del backtest. Estos porcentajes son filtros o ponderadores de score; no son pesos del portafolio.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</row>
    <row r="5">
      <c r="C5" s="506" t="inlineStr">
        <is>
          <t>REGLAS COMUNES</t>
        </is>
      </c>
      <c r="D5" s="425" t="n"/>
      <c r="E5" s="425" t="n"/>
      <c r="F5" s="425" t="n"/>
      <c r="G5" s="425" t="n"/>
      <c r="I5" s="506" t="inlineStr">
        <is>
          <t>PRINCIPIOS DE VALIDACIÓN</t>
        </is>
      </c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</row>
    <row r="6">
      <c r="C6" s="141" t="inlineStr">
        <is>
          <t>Frecuencia del backtest</t>
        </is>
      </c>
      <c r="D6" s="317" t="inlineStr">
        <is>
          <t>Mensual</t>
        </is>
      </c>
      <c r="E6" s="141" t="n"/>
      <c r="F6" s="141" t="inlineStr">
        <is>
          <t>Coherente con datos y benchmark</t>
        </is>
      </c>
      <c r="G6" s="141" t="n"/>
      <c r="I6" s="321" t="inlineStr">
        <is>
          <t>Point-in-time</t>
        </is>
      </c>
      <c r="J6" s="499" t="n"/>
      <c r="K6" s="141" t="inlineStr">
        <is>
          <t>Usar constituyentes históricos del S&amp;P 500</t>
        </is>
      </c>
      <c r="L6" s="500" t="n"/>
      <c r="M6" s="500" t="n"/>
      <c r="N6" s="500" t="n"/>
      <c r="O6" s="500" t="n"/>
      <c r="P6" s="500" t="n"/>
      <c r="Q6" s="500" t="n"/>
      <c r="R6" s="499" t="n"/>
    </row>
    <row r="7">
      <c r="C7" s="141" t="inlineStr">
        <is>
          <t>Fecha de señal</t>
        </is>
      </c>
      <c r="D7" s="317" t="inlineStr">
        <is>
          <t>Último cierre del mes</t>
        </is>
      </c>
      <c r="E7" s="141" t="n"/>
      <c r="F7" s="141" t="inlineStr">
        <is>
          <t>Solo información disponible en t</t>
        </is>
      </c>
      <c r="G7" s="141" t="n"/>
      <c r="I7" s="321" t="inlineStr">
        <is>
          <t>Supervivencia</t>
        </is>
      </c>
      <c r="J7" s="499" t="n"/>
      <c r="K7" s="141" t="inlineStr">
        <is>
          <t>Mantener deslistados hasta su fecha efectiva</t>
        </is>
      </c>
      <c r="L7" s="500" t="n"/>
      <c r="M7" s="500" t="n"/>
      <c r="N7" s="500" t="n"/>
      <c r="O7" s="500" t="n"/>
      <c r="P7" s="500" t="n"/>
      <c r="Q7" s="500" t="n"/>
      <c r="R7" s="499" t="n"/>
    </row>
    <row r="8">
      <c r="C8" s="141" t="inlineStr">
        <is>
          <t>Inicio de posición</t>
        </is>
      </c>
      <c r="D8" s="317" t="inlineStr">
        <is>
          <t>Mes siguiente</t>
        </is>
      </c>
      <c r="E8" s="141" t="n"/>
      <c r="F8" s="141" t="inlineStr">
        <is>
          <t>Evita look-ahead bias</t>
        </is>
      </c>
      <c r="G8" s="141" t="n"/>
      <c r="I8" s="321" t="inlineStr">
        <is>
          <t>Eventos</t>
        </is>
      </c>
      <c r="J8" s="499" t="n"/>
      <c r="K8" s="141" t="inlineStr">
        <is>
          <t>Precios ajustados por dividendos, splits y cambios de ticker</t>
        </is>
      </c>
      <c r="L8" s="500" t="n"/>
      <c r="M8" s="500" t="n"/>
      <c r="N8" s="500" t="n"/>
      <c r="O8" s="500" t="n"/>
      <c r="P8" s="500" t="n"/>
      <c r="Q8" s="500" t="n"/>
      <c r="R8" s="499" t="n"/>
    </row>
    <row r="9">
      <c r="C9" s="141" t="inlineStr">
        <is>
          <t>Ponderación base</t>
        </is>
      </c>
      <c r="D9" s="317" t="inlineStr">
        <is>
          <t>Equal weight</t>
        </is>
      </c>
      <c r="E9" s="141" t="n"/>
      <c r="F9" s="141" t="inlineStr">
        <is>
          <t>Evita optimización dentro del backtest</t>
        </is>
      </c>
      <c r="G9" s="141" t="n"/>
      <c r="I9" s="321" t="inlineStr">
        <is>
          <t>Señales</t>
        </is>
      </c>
      <c r="J9" s="499" t="n"/>
      <c r="K9" s="141" t="inlineStr">
        <is>
          <t>Toda ventana termina antes de la fecha de ejecución</t>
        </is>
      </c>
      <c r="L9" s="500" t="n"/>
      <c r="M9" s="500" t="n"/>
      <c r="N9" s="500" t="n"/>
      <c r="O9" s="500" t="n"/>
      <c r="P9" s="500" t="n"/>
      <c r="Q9" s="500" t="n"/>
      <c r="R9" s="499" t="n"/>
    </row>
    <row r="10">
      <c r="C10" s="141" t="inlineStr">
        <is>
          <t>Costo por rotación one-way</t>
        </is>
      </c>
      <c r="D10" s="507" t="n">
        <v>0.001</v>
      </c>
      <c r="E10" s="141" t="inlineStr">
        <is>
          <t>% nocional transado</t>
        </is>
      </c>
      <c r="F10" s="141" t="inlineStr">
        <is>
          <t>Editable; incluye fricción estimada</t>
        </is>
      </c>
      <c r="G10" s="141" t="n"/>
      <c r="I10" s="321" t="inlineStr">
        <is>
          <t>Vacíos</t>
        </is>
      </c>
      <c r="J10" s="499" t="n"/>
      <c r="K10" s="141" t="inlineStr">
        <is>
          <t>No completar retornos faltantes con cero</t>
        </is>
      </c>
      <c r="L10" s="500" t="n"/>
      <c r="M10" s="500" t="n"/>
      <c r="N10" s="500" t="n"/>
      <c r="O10" s="500" t="n"/>
      <c r="P10" s="500" t="n"/>
      <c r="Q10" s="500" t="n"/>
      <c r="R10" s="499" t="n"/>
    </row>
    <row r="11">
      <c r="C11" s="141" t="inlineStr">
        <is>
          <t>Monitoreo</t>
        </is>
      </c>
      <c r="D11" s="317" t="inlineStr">
        <is>
          <t>Semanal</t>
        </is>
      </c>
      <c r="E11" s="141" t="n"/>
      <c r="F11" s="141" t="inlineStr">
        <is>
          <t>No implica operación semanal</t>
        </is>
      </c>
      <c r="G11" s="141" t="n"/>
      <c r="I11" s="321" t="inlineStr">
        <is>
          <t>Costos</t>
        </is>
      </c>
      <c r="J11" s="499" t="n"/>
      <c r="K11" s="141" t="inlineStr">
        <is>
          <t>Aplicar costo sobre turnover, no sobre patrimonio fijo</t>
        </is>
      </c>
      <c r="L11" s="500" t="n"/>
      <c r="M11" s="500" t="n"/>
      <c r="N11" s="500" t="n"/>
      <c r="O11" s="500" t="n"/>
      <c r="P11" s="500" t="n"/>
      <c r="Q11" s="500" t="n"/>
      <c r="R11" s="499" t="n"/>
    </row>
    <row r="12">
      <c r="C12" s="141" t="inlineStr">
        <is>
          <t>Retorno de caja</t>
        </is>
      </c>
      <c r="D12" s="317" t="inlineStr">
        <is>
          <t>BIL</t>
        </is>
      </c>
      <c r="E12" s="141" t="n"/>
      <c r="F12" s="141" t="inlineStr">
        <is>
          <t>Capital sin señal permanece en T-Bills</t>
        </is>
      </c>
      <c r="G12" s="141" t="n"/>
      <c r="I12" s="321" t="inlineStr">
        <is>
          <t>Robustez</t>
        </is>
      </c>
      <c r="J12" s="499" t="n"/>
      <c r="K12" s="141" t="inlineStr">
        <is>
          <t>Reportar máximo, 10 años, 5 años y subperíodos</t>
        </is>
      </c>
      <c r="L12" s="500" t="n"/>
      <c r="M12" s="500" t="n"/>
      <c r="N12" s="500" t="n"/>
      <c r="O12" s="500" t="n"/>
      <c r="P12" s="500" t="n"/>
      <c r="Q12" s="500" t="n"/>
      <c r="R12" s="499" t="n"/>
    </row>
    <row r="14">
      <c r="C14" s="506" t="inlineStr">
        <is>
          <t>1. EQUITY MOMENTUM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O14" s="506" t="inlineStr">
        <is>
          <t>CONTROLES</t>
        </is>
      </c>
      <c r="P14" s="425" t="n"/>
      <c r="Q14" s="425" t="n"/>
      <c r="R14" s="425" t="n"/>
    </row>
    <row r="15" ht="34" customHeight="1">
      <c r="C15" s="326" t="inlineStr">
        <is>
          <t>Grupo</t>
        </is>
      </c>
      <c r="D15" s="326" t="inlineStr">
        <is>
          <t>Parámetro</t>
        </is>
      </c>
      <c r="E15" s="326" t="inlineStr">
        <is>
          <t>Valor</t>
        </is>
      </c>
      <c r="F15" s="326" t="inlineStr">
        <is>
          <t>Unidad</t>
        </is>
      </c>
      <c r="G15" s="326" t="inlineStr">
        <is>
          <t>Tipo</t>
        </is>
      </c>
      <c r="H15" s="326" t="inlineStr">
        <is>
          <t>Fuente lógica</t>
        </is>
      </c>
      <c r="I15" s="326" t="inlineStr">
        <is>
          <t>Implementación</t>
        </is>
      </c>
      <c r="J15" s="326" t="inlineStr">
        <is>
          <t>Control</t>
        </is>
      </c>
      <c r="K15" s="326" t="inlineStr">
        <is>
          <t>Estado</t>
        </is>
      </c>
      <c r="L15" s="326" t="inlineStr">
        <is>
          <t>Observación</t>
        </is>
      </c>
      <c r="M15" s="326" t="str"/>
      <c r="O15" s="326" t="inlineStr">
        <is>
          <t>Control</t>
        </is>
      </c>
      <c r="P15" s="326" t="inlineStr">
        <is>
          <t>Resultado</t>
        </is>
      </c>
      <c r="Q15" s="326" t="inlineStr">
        <is>
          <t>Objetivo</t>
        </is>
      </c>
      <c r="R15" s="326" t="inlineStr">
        <is>
          <t>Estado</t>
        </is>
      </c>
    </row>
    <row r="16">
      <c r="C16" s="141" t="inlineStr">
        <is>
          <t>Universo</t>
        </is>
      </c>
      <c r="D16" s="141" t="inlineStr">
        <is>
          <t>Constituyentes</t>
        </is>
      </c>
      <c r="E16" s="317" t="inlineStr">
        <is>
          <t>S&amp;P 500 histórico</t>
        </is>
      </c>
      <c r="F16" s="141" t="inlineStr">
        <is>
          <t>point-in-time</t>
        </is>
      </c>
      <c r="G16" s="141" t="inlineStr">
        <is>
          <t>Restricción</t>
        </is>
      </c>
      <c r="H16" s="141" t="inlineStr">
        <is>
          <t>Informe corregido</t>
        </is>
      </c>
      <c r="I16" s="141" t="inlineStr">
        <is>
          <t>Archivo de membresía histórica</t>
        </is>
      </c>
      <c r="J16" s="141" t="inlineStr">
        <is>
          <t>Obligatorio</t>
        </is>
      </c>
      <c r="K16" s="141" t="inlineStr">
        <is>
          <t>Definido</t>
        </is>
      </c>
      <c r="L16" s="141" t="inlineStr">
        <is>
          <t>No usar constituyentes actuales</t>
        </is>
      </c>
      <c r="M16" s="141" t="n"/>
      <c r="O16" s="141" t="inlineStr">
        <is>
          <t>Score Momentum suma</t>
        </is>
      </c>
      <c r="P16" s="141">
        <f>E23+E24</f>
        <v/>
      </c>
      <c r="Q16" s="141" t="n">
        <v>1</v>
      </c>
      <c r="R16" s="331">
        <f>IF(ABS(P16-Q16)&lt;0.00001,"OK","REVISAR")</f>
        <v/>
      </c>
    </row>
    <row r="17">
      <c r="C17" s="141" t="inlineStr">
        <is>
          <t>Elegibilidad</t>
        </is>
      </c>
      <c r="D17" s="141" t="inlineStr">
        <is>
          <t>Retorno 3 meses</t>
        </is>
      </c>
      <c r="E17" s="508" t="n">
        <v>0</v>
      </c>
      <c r="F17" s="141" t="inlineStr">
        <is>
          <t>&gt;</t>
        </is>
      </c>
      <c r="G17" s="141" t="inlineStr">
        <is>
          <t>Filtro</t>
        </is>
      </c>
      <c r="H17" s="141" t="inlineStr">
        <is>
          <t>Informe Grupo 11</t>
        </is>
      </c>
      <c r="I17" s="141" t="inlineStr">
        <is>
          <t>Cierre t / cierre t-3 - 1</t>
        </is>
      </c>
      <c r="J17" s="141" t="inlineStr">
        <is>
          <t>Sin look-ahead</t>
        </is>
      </c>
      <c r="K17" s="141" t="inlineStr">
        <is>
          <t>Definido</t>
        </is>
      </c>
      <c r="L17" s="141" t="n"/>
      <c r="M17" s="141" t="n"/>
      <c r="O17" s="141" t="inlineStr">
        <is>
          <t>Score commodities suma</t>
        </is>
      </c>
      <c r="P17" s="141">
        <f>E55+E56+E57</f>
        <v/>
      </c>
      <c r="Q17" s="141" t="n">
        <v>1</v>
      </c>
      <c r="R17" s="331">
        <f>IF(ABS(P17-Q17)&lt;0.00001,"OK","REVISAR")</f>
        <v/>
      </c>
    </row>
    <row r="18">
      <c r="C18" s="141" t="inlineStr">
        <is>
          <t>Elegibilidad</t>
        </is>
      </c>
      <c r="D18" s="141" t="inlineStr">
        <is>
          <t>Retorno 6 meses</t>
        </is>
      </c>
      <c r="E18" s="508" t="n">
        <v>0.05</v>
      </c>
      <c r="F18" s="141" t="inlineStr">
        <is>
          <t>&gt;</t>
        </is>
      </c>
      <c r="G18" s="141" t="inlineStr">
        <is>
          <t>Filtro</t>
        </is>
      </c>
      <c r="H18" s="141" t="inlineStr">
        <is>
          <t>Informe Grupo 11</t>
        </is>
      </c>
      <c r="I18" s="141" t="inlineStr">
        <is>
          <t>Cierre t / cierre t-6 - 1</t>
        </is>
      </c>
      <c r="J18" s="141" t="inlineStr">
        <is>
          <t>Sin look-ahead</t>
        </is>
      </c>
      <c r="K18" s="141" t="inlineStr">
        <is>
          <t>Definido</t>
        </is>
      </c>
      <c r="L18" s="141" t="n"/>
      <c r="M18" s="141" t="n"/>
      <c r="O18" s="141" t="inlineStr">
        <is>
          <t>Beta min &lt; max</t>
        </is>
      </c>
      <c r="P18" s="141">
        <f>IF(E34&lt;E35,1,0)</f>
        <v/>
      </c>
      <c r="Q18" s="141" t="n">
        <v>1</v>
      </c>
      <c r="R18" s="331">
        <f>IF(ABS(P18-Q18)&lt;0.00001,"OK","REVISAR")</f>
        <v/>
      </c>
    </row>
    <row r="19">
      <c r="C19" s="141" t="inlineStr">
        <is>
          <t>Elegibilidad</t>
        </is>
      </c>
      <c r="D19" s="141" t="inlineStr">
        <is>
          <t>Retorno 12 meses</t>
        </is>
      </c>
      <c r="E19" s="508" t="n">
        <v>0.1</v>
      </c>
      <c r="F19" s="141" t="inlineStr">
        <is>
          <t>&gt;</t>
        </is>
      </c>
      <c r="G19" s="141" t="inlineStr">
        <is>
          <t>Filtro</t>
        </is>
      </c>
      <c r="H19" s="141" t="inlineStr">
        <is>
          <t>Informe Grupo 11</t>
        </is>
      </c>
      <c r="I19" s="141" t="inlineStr">
        <is>
          <t>Cierre t / cierre t-12 - 1</t>
        </is>
      </c>
      <c r="J19" s="141" t="inlineStr">
        <is>
          <t>Sin look-ahead</t>
        </is>
      </c>
      <c r="K19" s="141" t="inlineStr">
        <is>
          <t>Definido</t>
        </is>
      </c>
      <c r="L19" s="141" t="n"/>
      <c r="M19" s="141" t="n"/>
      <c r="O19" s="141" t="inlineStr">
        <is>
          <t>Beta objetivo en rango</t>
        </is>
      </c>
      <c r="P19" s="141">
        <f>IF(AND(E43&gt;=E34,E43&lt;=E35),1,0)</f>
        <v/>
      </c>
      <c r="Q19" s="141" t="n">
        <v>1</v>
      </c>
      <c r="R19" s="331">
        <f>IF(ABS(P19-Q19)&lt;0.00001,"OK","REVISAR")</f>
        <v/>
      </c>
    </row>
    <row r="20">
      <c r="C20" s="141" t="inlineStr">
        <is>
          <t>Tendencia</t>
        </is>
      </c>
      <c r="D20" s="141" t="inlineStr">
        <is>
          <t>Precio / MM200</t>
        </is>
      </c>
      <c r="E20" s="317" t="n">
        <v>1</v>
      </c>
      <c r="F20" s="141" t="inlineStr">
        <is>
          <t>&gt;</t>
        </is>
      </c>
      <c r="G20" s="141" t="inlineStr">
        <is>
          <t>Filtro</t>
        </is>
      </c>
      <c r="H20" s="141" t="inlineStr">
        <is>
          <t>Informe Grupo 11</t>
        </is>
      </c>
      <c r="I20" s="141" t="inlineStr">
        <is>
          <t>Precio t &gt; media 200 días</t>
        </is>
      </c>
      <c r="J20" s="141" t="inlineStr">
        <is>
          <t>Dato diario</t>
        </is>
      </c>
      <c r="K20" s="141" t="inlineStr">
        <is>
          <t>Definido</t>
        </is>
      </c>
      <c r="L20" s="141" t="n"/>
      <c r="M20" s="141" t="n"/>
      <c r="O20" s="141" t="inlineStr">
        <is>
          <t>Costo no negativo</t>
        </is>
      </c>
      <c r="P20" s="141">
        <f>IF(D10&gt;=0,1,0)</f>
        <v/>
      </c>
      <c r="Q20" s="141" t="n">
        <v>1</v>
      </c>
      <c r="R20" s="331">
        <f>IF(ABS(P20-Q20)&lt;0.00001,"OK","REVISAR")</f>
        <v/>
      </c>
    </row>
    <row r="21">
      <c r="C21" s="141" t="inlineStr">
        <is>
          <t>Liquidez</t>
        </is>
      </c>
      <c r="D21" s="141" t="inlineStr">
        <is>
          <t>ADV mínimo</t>
        </is>
      </c>
      <c r="E21" s="509" t="n">
        <v>5000000</v>
      </c>
      <c r="F21" s="141" t="inlineStr">
        <is>
          <t>USD/día</t>
        </is>
      </c>
      <c r="G21" s="141" t="inlineStr">
        <is>
          <t>Filtro</t>
        </is>
      </c>
      <c r="H21" s="141" t="inlineStr">
        <is>
          <t>Informe Grupo 11</t>
        </is>
      </c>
      <c r="I21" s="141" t="inlineStr">
        <is>
          <t>Promedio 60 días</t>
        </is>
      </c>
      <c r="J21" s="141" t="inlineStr">
        <is>
          <t>Dato diario</t>
        </is>
      </c>
      <c r="K21" s="141" t="inlineStr">
        <is>
          <t>Definido</t>
        </is>
      </c>
      <c r="L21" s="141" t="n"/>
      <c r="M21" s="141" t="n"/>
      <c r="O21" s="141" t="inlineStr">
        <is>
          <t>Ejecución rezagada</t>
        </is>
      </c>
      <c r="P21" s="141">
        <f>IF(D8="Mes siguiente",1,0)</f>
        <v/>
      </c>
      <c r="Q21" s="141" t="n">
        <v>1</v>
      </c>
      <c r="R21" s="331">
        <f>IF(ABS(P21-Q21)&lt;0.00001,"OK","REVISAR")</f>
        <v/>
      </c>
    </row>
    <row r="22">
      <c r="C22" s="141" t="inlineStr">
        <is>
          <t>Riesgo</t>
        </is>
      </c>
      <c r="D22" s="141" t="inlineStr">
        <is>
          <t>Sharpe histórico mínimo</t>
        </is>
      </c>
      <c r="E22" s="510" t="n">
        <v>0.5</v>
      </c>
      <c r="F22" s="141" t="inlineStr">
        <is>
          <t>x</t>
        </is>
      </c>
      <c r="G22" s="141" t="inlineStr">
        <is>
          <t>Filtro</t>
        </is>
      </c>
      <c r="H22" s="141" t="inlineStr">
        <is>
          <t>Informe Grupo 11</t>
        </is>
      </c>
      <c r="I22" s="141" t="inlineStr">
        <is>
          <t>12 meses; BIL como rf</t>
        </is>
      </c>
      <c r="J22" s="141" t="inlineStr">
        <is>
          <t>Mensual</t>
        </is>
      </c>
      <c r="K22" s="141" t="inlineStr">
        <is>
          <t>Definido</t>
        </is>
      </c>
      <c r="L22" s="141" t="n"/>
      <c r="M22" s="141" t="n"/>
      <c r="O22" s="141" t="inlineStr">
        <is>
          <t>Base BAB sin cortos</t>
        </is>
      </c>
      <c r="P22" s="141">
        <f>IF(E42=0,1,0)</f>
        <v/>
      </c>
      <c r="Q22" s="141" t="n">
        <v>1</v>
      </c>
      <c r="R22" s="331">
        <f>IF(ABS(P22-Q22)&lt;0.00001,"OK","REVISAR")</f>
        <v/>
      </c>
    </row>
    <row r="23">
      <c r="C23" s="141" t="inlineStr">
        <is>
          <t>Ranking</t>
        </is>
      </c>
      <c r="D23" s="141" t="inlineStr">
        <is>
          <t>Peso retorno 6m</t>
        </is>
      </c>
      <c r="E23" s="508" t="n">
        <v>0.5</v>
      </c>
      <c r="F23" s="141" t="inlineStr">
        <is>
          <t>score</t>
        </is>
      </c>
      <c r="G23" s="141" t="inlineStr">
        <is>
          <t>Ponderador</t>
        </is>
      </c>
      <c r="H23" s="141" t="inlineStr">
        <is>
          <t>Regla Nexum</t>
        </is>
      </c>
      <c r="I23" s="141" t="inlineStr">
        <is>
          <t>Percentil entre elegibles</t>
        </is>
      </c>
      <c r="J23" s="141" t="inlineStr">
        <is>
          <t>Suma score</t>
        </is>
      </c>
      <c r="K23" s="141" t="inlineStr">
        <is>
          <t>Definido</t>
        </is>
      </c>
      <c r="L23" s="141" t="inlineStr">
        <is>
          <t>Ranking parsimonioso</t>
        </is>
      </c>
      <c r="M23" s="141" t="n"/>
      <c r="O23" s="141" t="inlineStr">
        <is>
          <t>Pesos portafolio definidos</t>
        </is>
      </c>
      <c r="P23" s="141" t="n">
        <v>0</v>
      </c>
      <c r="Q23" s="141" t="n">
        <v>0</v>
      </c>
      <c r="R23" s="331">
        <f>IF(ABS(P23-Q23)&lt;0.00001,"OK","REVISAR")</f>
        <v/>
      </c>
    </row>
    <row r="24">
      <c r="C24" s="141" t="inlineStr">
        <is>
          <t>Ranking</t>
        </is>
      </c>
      <c r="D24" s="141" t="inlineStr">
        <is>
          <t>Peso retorno 12m</t>
        </is>
      </c>
      <c r="E24" s="508" t="n">
        <v>0.5</v>
      </c>
      <c r="F24" s="141" t="inlineStr">
        <is>
          <t>score</t>
        </is>
      </c>
      <c r="G24" s="141" t="inlineStr">
        <is>
          <t>Ponderador</t>
        </is>
      </c>
      <c r="H24" s="141" t="inlineStr">
        <is>
          <t>Regla Nexum</t>
        </is>
      </c>
      <c r="I24" s="141" t="inlineStr">
        <is>
          <t>Percentil entre elegibles</t>
        </is>
      </c>
      <c r="J24" s="141" t="inlineStr">
        <is>
          <t>Suma score</t>
        </is>
      </c>
      <c r="K24" s="141" t="inlineStr">
        <is>
          <t>Definido</t>
        </is>
      </c>
      <c r="L24" s="141" t="inlineStr">
        <is>
          <t>Evita sobrecargar indicadores</t>
        </is>
      </c>
      <c r="M24" s="141" t="n"/>
    </row>
    <row r="25">
      <c r="C25" s="141" t="inlineStr">
        <is>
          <t>Cartera</t>
        </is>
      </c>
      <c r="D25" s="141" t="inlineStr">
        <is>
          <t>Número objetivo</t>
        </is>
      </c>
      <c r="E25" s="317" t="n">
        <v>10</v>
      </c>
      <c r="F25" s="141" t="inlineStr">
        <is>
          <t>acciones</t>
        </is>
      </c>
      <c r="G25" s="141" t="inlineStr">
        <is>
          <t>Selección</t>
        </is>
      </c>
      <c r="H25" s="141" t="inlineStr">
        <is>
          <t>Regla Nexum</t>
        </is>
      </c>
      <c r="I25" s="141" t="inlineStr">
        <is>
          <t>Top 10 por score</t>
        </is>
      </c>
      <c r="J25" s="141" t="inlineStr">
        <is>
          <t>Diversificación</t>
        </is>
      </c>
      <c r="K25" s="141" t="inlineStr">
        <is>
          <t>Definido</t>
        </is>
      </c>
      <c r="L25" s="141" t="n"/>
      <c r="M25" s="141" t="n"/>
    </row>
    <row r="26">
      <c r="C26" s="141" t="inlineStr">
        <is>
          <t>Cartera</t>
        </is>
      </c>
      <c r="D26" s="141" t="inlineStr">
        <is>
          <t>Máximo por sector</t>
        </is>
      </c>
      <c r="E26" s="508" t="n">
        <v>0.25</v>
      </c>
      <c r="F26" s="141" t="inlineStr">
        <is>
          <t>% estrategia</t>
        </is>
      </c>
      <c r="G26" s="141" t="inlineStr">
        <is>
          <t>Límite</t>
        </is>
      </c>
      <c r="H26" s="141" t="inlineStr">
        <is>
          <t>Control riesgo</t>
        </is>
      </c>
      <c r="I26" s="141" t="inlineStr">
        <is>
          <t>Reemplazar por siguiente ranking</t>
        </is>
      </c>
      <c r="J26" s="141" t="inlineStr">
        <is>
          <t>Ex ante</t>
        </is>
      </c>
      <c r="K26" s="141" t="inlineStr">
        <is>
          <t>Definido</t>
        </is>
      </c>
      <c r="L26" s="141" t="n"/>
      <c r="M26" s="141" t="n"/>
      <c r="O26" s="335" t="inlineStr">
        <is>
          <t>DECISIONES METODOLÓGICAS
• Se conserva la esencia de los filtros del informe.
• Momentum se rankea solo con retornos 6m y 12m; las medias móviles y Sharpe actúan como filtros para evitar doble conteo.
• BAB se implementa long-only en el caso base; no replica la versión académica apalancada.
• Commodities usa ETF observables. La curva de futuros queda como overlay de monitoreo, no como señal histórica inventada.
• Monitorear semanalmente no significa rebalancear semanalmente.
• Ningún parámetro de esta hoja fija la asignación final del portafolio.</t>
        </is>
      </c>
      <c r="P26" s="488" t="n"/>
      <c r="Q26" s="488" t="n"/>
      <c r="R26" s="489" t="n"/>
    </row>
    <row r="27">
      <c r="C27" s="141" t="inlineStr">
        <is>
          <t>Rebalanceo</t>
        </is>
      </c>
      <c r="D27" s="141" t="inlineStr">
        <is>
          <t>Frecuencia</t>
        </is>
      </c>
      <c r="E27" s="317" t="inlineStr">
        <is>
          <t>Mensual</t>
        </is>
      </c>
      <c r="F27" s="141" t="n"/>
      <c r="G27" s="141" t="inlineStr">
        <is>
          <t>Regla</t>
        </is>
      </c>
      <c r="H27" s="141" t="inlineStr">
        <is>
          <t>Benchmark metodología</t>
        </is>
      </c>
      <c r="I27" s="141" t="inlineStr">
        <is>
          <t>Señal t; retorno t+1</t>
        </is>
      </c>
      <c r="J27" s="141" t="inlineStr">
        <is>
          <t>Calendario</t>
        </is>
      </c>
      <c r="K27" s="141" t="inlineStr">
        <is>
          <t>Definido</t>
        </is>
      </c>
      <c r="L27" s="141" t="inlineStr">
        <is>
          <t>Semanal solo por breach</t>
        </is>
      </c>
      <c r="M27" s="141" t="n"/>
      <c r="O27" s="490" t="n"/>
      <c r="R27" s="491" t="n"/>
    </row>
    <row r="28">
      <c r="O28" s="490" t="n"/>
      <c r="R28" s="491" t="n"/>
    </row>
    <row r="29">
      <c r="O29" s="490" t="n"/>
      <c r="R29" s="491" t="n"/>
    </row>
    <row r="30">
      <c r="C30" s="506" t="inlineStr">
        <is>
          <t>2. BETTING AGAINST BETA - ADAPTACIÓN LONG-ONLY</t>
        </is>
      </c>
      <c r="D30" s="425" t="n"/>
      <c r="E30" s="425" t="n"/>
      <c r="F30" s="425" t="n"/>
      <c r="G30" s="425" t="n"/>
      <c r="H30" s="425" t="n"/>
      <c r="I30" s="425" t="n"/>
      <c r="J30" s="425" t="n"/>
      <c r="K30" s="425" t="n"/>
      <c r="L30" s="425" t="n"/>
      <c r="M30" s="425" t="n"/>
      <c r="O30" s="490" t="n"/>
      <c r="R30" s="491" t="n"/>
    </row>
    <row r="31" ht="34" customHeight="1">
      <c r="C31" s="326" t="inlineStr">
        <is>
          <t>Grupo</t>
        </is>
      </c>
      <c r="D31" s="326" t="inlineStr">
        <is>
          <t>Parámetro</t>
        </is>
      </c>
      <c r="E31" s="326" t="inlineStr">
        <is>
          <t>Valor</t>
        </is>
      </c>
      <c r="F31" s="326" t="inlineStr">
        <is>
          <t>Unidad</t>
        </is>
      </c>
      <c r="G31" s="326" t="inlineStr">
        <is>
          <t>Tipo</t>
        </is>
      </c>
      <c r="H31" s="326" t="inlineStr">
        <is>
          <t>Fuente lógica</t>
        </is>
      </c>
      <c r="I31" s="326" t="inlineStr">
        <is>
          <t>Implementación</t>
        </is>
      </c>
      <c r="J31" s="326" t="inlineStr">
        <is>
          <t>Control</t>
        </is>
      </c>
      <c r="K31" s="326" t="inlineStr">
        <is>
          <t>Estado</t>
        </is>
      </c>
      <c r="L31" s="326" t="inlineStr">
        <is>
          <t>Observación</t>
        </is>
      </c>
      <c r="M31" s="326" t="str"/>
      <c r="O31" s="490" t="n"/>
      <c r="R31" s="491" t="n"/>
    </row>
    <row r="32">
      <c r="C32" s="141" t="inlineStr">
        <is>
          <t>Universo</t>
        </is>
      </c>
      <c r="D32" s="141" t="inlineStr">
        <is>
          <t>Constituyentes</t>
        </is>
      </c>
      <c r="E32" s="317" t="inlineStr">
        <is>
          <t>S&amp;P 500 histórico</t>
        </is>
      </c>
      <c r="F32" s="141" t="inlineStr">
        <is>
          <t>point-in-time</t>
        </is>
      </c>
      <c r="G32" s="141" t="inlineStr">
        <is>
          <t>Restricción</t>
        </is>
      </c>
      <c r="H32" s="141" t="inlineStr">
        <is>
          <t>Benchmark Nexum</t>
        </is>
      </c>
      <c r="I32" s="141" t="inlineStr">
        <is>
          <t>Archivo de membresía histórica</t>
        </is>
      </c>
      <c r="J32" s="141" t="inlineStr">
        <is>
          <t>Obligatorio</t>
        </is>
      </c>
      <c r="K32" s="141" t="inlineStr">
        <is>
          <t>Definido</t>
        </is>
      </c>
      <c r="L32" s="141" t="n"/>
      <c r="M32" s="141" t="n"/>
      <c r="O32" s="490" t="n"/>
      <c r="R32" s="491" t="n"/>
    </row>
    <row r="33">
      <c r="C33" s="141" t="inlineStr">
        <is>
          <t>Beta</t>
        </is>
      </c>
      <c r="D33" s="141" t="inlineStr">
        <is>
          <t>Ventana estimación</t>
        </is>
      </c>
      <c r="E33" s="317" t="n">
        <v>36</v>
      </c>
      <c r="F33" s="141" t="inlineStr">
        <is>
          <t>meses</t>
        </is>
      </c>
      <c r="G33" s="141" t="inlineStr">
        <is>
          <t>Parámetro</t>
        </is>
      </c>
      <c r="H33" s="141" t="inlineStr">
        <is>
          <t>Regla Nexum</t>
        </is>
      </c>
      <c r="I33" s="141" t="inlineStr">
        <is>
          <t>Cov(Ri,Rm)/Var(Rm)</t>
        </is>
      </c>
      <c r="J33" s="141" t="inlineStr">
        <is>
          <t>Mínimo 30 obs.</t>
        </is>
      </c>
      <c r="K33" s="141" t="inlineStr">
        <is>
          <t>Definido</t>
        </is>
      </c>
      <c r="L33" s="141" t="inlineStr">
        <is>
          <t>Mercado = SPY</t>
        </is>
      </c>
      <c r="M33" s="141" t="n"/>
      <c r="O33" s="490" t="n"/>
      <c r="R33" s="491" t="n"/>
    </row>
    <row r="34">
      <c r="C34" s="141" t="inlineStr">
        <is>
          <t>Beta</t>
        </is>
      </c>
      <c r="D34" s="141" t="inlineStr">
        <is>
          <t>Beta mínima</t>
        </is>
      </c>
      <c r="E34" s="317" t="n">
        <v>0.5</v>
      </c>
      <c r="F34" s="141" t="inlineStr">
        <is>
          <t>beta</t>
        </is>
      </c>
      <c r="G34" s="141" t="inlineStr">
        <is>
          <t>Filtro</t>
        </is>
      </c>
      <c r="H34" s="141" t="inlineStr">
        <is>
          <t>IPS / Informe</t>
        </is>
      </c>
      <c r="I34" s="141" t="inlineStr">
        <is>
          <t>Estimación al cierre t</t>
        </is>
      </c>
      <c r="J34" s="141" t="inlineStr">
        <is>
          <t>Ex ante</t>
        </is>
      </c>
      <c r="K34" s="141" t="inlineStr">
        <is>
          <t>Definido</t>
        </is>
      </c>
      <c r="L34" s="141" t="n"/>
      <c r="M34" s="141" t="n"/>
      <c r="O34" s="490" t="n"/>
      <c r="R34" s="491" t="n"/>
    </row>
    <row r="35">
      <c r="C35" s="141" t="inlineStr">
        <is>
          <t>Beta</t>
        </is>
      </c>
      <c r="D35" s="141" t="inlineStr">
        <is>
          <t>Beta máxima</t>
        </is>
      </c>
      <c r="E35" s="317" t="n">
        <v>0.9</v>
      </c>
      <c r="F35" s="141" t="inlineStr">
        <is>
          <t>beta</t>
        </is>
      </c>
      <c r="G35" s="141" t="inlineStr">
        <is>
          <t>Filtro</t>
        </is>
      </c>
      <c r="H35" s="141" t="inlineStr">
        <is>
          <t>IPS / Informe</t>
        </is>
      </c>
      <c r="I35" s="141" t="inlineStr">
        <is>
          <t>Estimación al cierre t</t>
        </is>
      </c>
      <c r="J35" s="141" t="inlineStr">
        <is>
          <t>Ex ante</t>
        </is>
      </c>
      <c r="K35" s="141" t="inlineStr">
        <is>
          <t>Definido</t>
        </is>
      </c>
      <c r="L35" s="141" t="n"/>
      <c r="M35" s="141" t="n"/>
      <c r="O35" s="490" t="n"/>
      <c r="R35" s="491" t="n"/>
    </row>
    <row r="36">
      <c r="C36" s="141" t="inlineStr">
        <is>
          <t>Liquidez</t>
        </is>
      </c>
      <c r="D36" s="141" t="inlineStr">
        <is>
          <t>ADV mínimo</t>
        </is>
      </c>
      <c r="E36" s="509" t="n">
        <v>5000000</v>
      </c>
      <c r="F36" s="141" t="inlineStr">
        <is>
          <t>USD/día</t>
        </is>
      </c>
      <c r="G36" s="141" t="inlineStr">
        <is>
          <t>Filtro</t>
        </is>
      </c>
      <c r="H36" s="141" t="inlineStr">
        <is>
          <t>Informe Grupo 11</t>
        </is>
      </c>
      <c r="I36" s="141" t="inlineStr">
        <is>
          <t>Promedio 60 días</t>
        </is>
      </c>
      <c r="J36" s="141" t="inlineStr">
        <is>
          <t>Dato diario</t>
        </is>
      </c>
      <c r="K36" s="141" t="inlineStr">
        <is>
          <t>Definido</t>
        </is>
      </c>
      <c r="L36" s="141" t="n"/>
      <c r="M36" s="141" t="n"/>
      <c r="O36" s="492" t="n"/>
      <c r="P36" s="493" t="n"/>
      <c r="Q36" s="493" t="n"/>
      <c r="R36" s="494" t="n"/>
    </row>
    <row r="37">
      <c r="C37" s="141" t="inlineStr">
        <is>
          <t>Precio</t>
        </is>
      </c>
      <c r="D37" s="141" t="inlineStr">
        <is>
          <t>Precio mínimo</t>
        </is>
      </c>
      <c r="E37" s="317" t="n">
        <v>5</v>
      </c>
      <c r="F37" s="141" t="inlineStr">
        <is>
          <t>USD</t>
        </is>
      </c>
      <c r="G37" s="141" t="inlineStr">
        <is>
          <t>Filtro</t>
        </is>
      </c>
      <c r="H37" s="141" t="inlineStr">
        <is>
          <t>Informe Grupo 11</t>
        </is>
      </c>
      <c r="I37" s="141" t="inlineStr">
        <is>
          <t>Precio al cierre t</t>
        </is>
      </c>
      <c r="J37" s="141" t="inlineStr">
        <is>
          <t>Dato diario</t>
        </is>
      </c>
      <c r="K37" s="141" t="inlineStr">
        <is>
          <t>Definido</t>
        </is>
      </c>
      <c r="L37" s="141" t="n"/>
      <c r="M37" s="141" t="n"/>
    </row>
    <row r="38">
      <c r="C38" s="141" t="inlineStr">
        <is>
          <t>Historia</t>
        </is>
      </c>
      <c r="D38" s="141" t="inlineStr">
        <is>
          <t>Cotización mínima</t>
        </is>
      </c>
      <c r="E38" s="317" t="n">
        <v>36</v>
      </c>
      <c r="F38" s="141" t="inlineStr">
        <is>
          <t>meses</t>
        </is>
      </c>
      <c r="G38" s="141" t="inlineStr">
        <is>
          <t>Filtro</t>
        </is>
      </c>
      <c r="H38" s="141" t="inlineStr">
        <is>
          <t>Informe Grupo 11</t>
        </is>
      </c>
      <c r="I38" s="141" t="inlineStr">
        <is>
          <t>Retornos mensuales válidos</t>
        </is>
      </c>
      <c r="J38" s="141" t="inlineStr">
        <is>
          <t>Sin backfill</t>
        </is>
      </c>
      <c r="K38" s="141" t="inlineStr">
        <is>
          <t>Definido</t>
        </is>
      </c>
      <c r="L38" s="141" t="n"/>
      <c r="M38" s="141" t="n"/>
    </row>
    <row r="39">
      <c r="C39" s="141" t="inlineStr">
        <is>
          <t>Ranking</t>
        </is>
      </c>
      <c r="D39" s="141" t="inlineStr">
        <is>
          <t>Criterio primario</t>
        </is>
      </c>
      <c r="E39" s="317" t="inlineStr">
        <is>
          <t>Beta ascendente</t>
        </is>
      </c>
      <c r="F39" s="141" t="n"/>
      <c r="G39" s="141" t="inlineStr">
        <is>
          <t>Ranking</t>
        </is>
      </c>
      <c r="H39" s="141" t="inlineStr">
        <is>
          <t>Regla Nexum</t>
        </is>
      </c>
      <c r="I39" s="141" t="inlineStr">
        <is>
          <t>Menor beta obtiene mayor score</t>
        </is>
      </c>
      <c r="J39" s="141" t="inlineStr">
        <is>
          <t>Simple</t>
        </is>
      </c>
      <c r="K39" s="141" t="inlineStr">
        <is>
          <t>Definido</t>
        </is>
      </c>
      <c r="L39" s="141" t="n"/>
      <c r="M39" s="141" t="n"/>
      <c r="O39" s="340" t="inlineStr">
        <is>
          <t>DATOS AÚN NECESARIOS
1. Membresía histórica point-in-time del S&amp;P 500.
2. Precios ajustados diarios de las acciones elegibles.
3. Volumen y capitalización en cada fecha.
4. Precios ajustados de GLD, USO y DBA.
Sin los puntos 1–3 no se presentará un backtest accionario como libre de sesgo de supervivencia.</t>
        </is>
      </c>
      <c r="P39" s="511" t="n"/>
      <c r="Q39" s="511" t="n"/>
      <c r="R39" s="512" t="n"/>
    </row>
    <row r="40">
      <c r="C40" s="141" t="inlineStr">
        <is>
          <t>Cartera</t>
        </is>
      </c>
      <c r="D40" s="141" t="inlineStr">
        <is>
          <t>Número objetivo</t>
        </is>
      </c>
      <c r="E40" s="317" t="n">
        <v>10</v>
      </c>
      <c r="F40" s="141" t="inlineStr">
        <is>
          <t>acciones</t>
        </is>
      </c>
      <c r="G40" s="141" t="inlineStr">
        <is>
          <t>Selección</t>
        </is>
      </c>
      <c r="H40" s="141" t="inlineStr">
        <is>
          <t>Regla Nexum</t>
        </is>
      </c>
      <c r="I40" s="141" t="inlineStr">
        <is>
          <t>Top 10 elegibles</t>
        </is>
      </c>
      <c r="J40" s="141" t="inlineStr">
        <is>
          <t>Diversificación</t>
        </is>
      </c>
      <c r="K40" s="141" t="inlineStr">
        <is>
          <t>Definido</t>
        </is>
      </c>
      <c r="L40" s="141" t="n"/>
      <c r="M40" s="141" t="n"/>
      <c r="O40" s="513" t="n"/>
      <c r="R40" s="514" t="n"/>
    </row>
    <row r="41">
      <c r="C41" s="141" t="inlineStr">
        <is>
          <t>Cartera</t>
        </is>
      </c>
      <c r="D41" s="141" t="inlineStr">
        <is>
          <t>Máximo por sector</t>
        </is>
      </c>
      <c r="E41" s="508" t="n">
        <v>0.25</v>
      </c>
      <c r="F41" s="141" t="inlineStr">
        <is>
          <t>% estrategia</t>
        </is>
      </c>
      <c r="G41" s="141" t="inlineStr">
        <is>
          <t>Límite</t>
        </is>
      </c>
      <c r="H41" s="141" t="inlineStr">
        <is>
          <t>Control riesgo</t>
        </is>
      </c>
      <c r="I41" s="141" t="inlineStr">
        <is>
          <t>Reemplazar por siguiente ranking</t>
        </is>
      </c>
      <c r="J41" s="141" t="inlineStr">
        <is>
          <t>Ex ante</t>
        </is>
      </c>
      <c r="K41" s="141" t="inlineStr">
        <is>
          <t>Definido</t>
        </is>
      </c>
      <c r="L41" s="141" t="n"/>
      <c r="M41" s="141" t="n"/>
      <c r="O41" s="513" t="n"/>
      <c r="R41" s="514" t="n"/>
    </row>
    <row r="42">
      <c r="C42" s="141" t="inlineStr">
        <is>
          <t>Implementación</t>
        </is>
      </c>
      <c r="D42" s="141" t="inlineStr">
        <is>
          <t>Posición corta</t>
        </is>
      </c>
      <c r="E42" s="508" t="n">
        <v>0</v>
      </c>
      <c r="F42" s="141" t="inlineStr">
        <is>
          <t>%</t>
        </is>
      </c>
      <c r="G42" s="141" t="inlineStr">
        <is>
          <t>Base case</t>
        </is>
      </c>
      <c r="H42" s="141" t="inlineStr">
        <is>
          <t>Benchmark Nexum</t>
        </is>
      </c>
      <c r="I42" s="141" t="inlineStr">
        <is>
          <t>Long-only sin apalancamiento</t>
        </is>
      </c>
      <c r="J42" s="141" t="inlineStr">
        <is>
          <t>Mandato</t>
        </is>
      </c>
      <c r="K42" s="141" t="inlineStr">
        <is>
          <t>Definido</t>
        </is>
      </c>
      <c r="L42" s="141" t="inlineStr">
        <is>
          <t>Cortos solo escenario separado</t>
        </is>
      </c>
      <c r="M42" s="141" t="n"/>
      <c r="O42" s="513" t="n"/>
      <c r="R42" s="514" t="n"/>
    </row>
    <row r="43">
      <c r="C43" s="141" t="inlineStr">
        <is>
          <t>Benchmark</t>
        </is>
      </c>
      <c r="D43" s="141" t="inlineStr">
        <is>
          <t>Beta objetivo</t>
        </is>
      </c>
      <c r="E43" s="317" t="n">
        <v>0.7</v>
      </c>
      <c r="F43" s="141" t="inlineStr">
        <is>
          <t>beta</t>
        </is>
      </c>
      <c r="G43" s="141" t="inlineStr">
        <is>
          <t>Referencia</t>
        </is>
      </c>
      <c r="H43" s="141" t="inlineStr">
        <is>
          <t>Benchmark Nexum</t>
        </is>
      </c>
      <c r="I43" s="141" t="inlineStr">
        <is>
          <t>β×SPY+(1−β)×BIL</t>
        </is>
      </c>
      <c r="J43" s="141" t="inlineStr">
        <is>
          <t>Fija por período</t>
        </is>
      </c>
      <c r="K43" s="141" t="inlineStr">
        <is>
          <t>Provisional</t>
        </is>
      </c>
      <c r="L43" s="141" t="inlineStr">
        <is>
          <t>Validar beta realizada</t>
        </is>
      </c>
      <c r="M43" s="141" t="n"/>
      <c r="O43" s="513" t="n"/>
      <c r="R43" s="514" t="n"/>
    </row>
    <row r="44">
      <c r="C44" s="141" t="inlineStr">
        <is>
          <t>Rebalanceo</t>
        </is>
      </c>
      <c r="D44" s="141" t="inlineStr">
        <is>
          <t>Frecuencia</t>
        </is>
      </c>
      <c r="E44" s="317" t="inlineStr">
        <is>
          <t>Mensual</t>
        </is>
      </c>
      <c r="F44" s="141" t="n"/>
      <c r="G44" s="141" t="inlineStr">
        <is>
          <t>Regla</t>
        </is>
      </c>
      <c r="H44" s="141" t="inlineStr">
        <is>
          <t>Benchmark metodología</t>
        </is>
      </c>
      <c r="I44" s="141" t="inlineStr">
        <is>
          <t>Señal t; retorno t+1</t>
        </is>
      </c>
      <c r="J44" s="141" t="inlineStr">
        <is>
          <t>Calendario</t>
        </is>
      </c>
      <c r="K44" s="141" t="inlineStr">
        <is>
          <t>Definido</t>
        </is>
      </c>
      <c r="L44" s="141" t="inlineStr">
        <is>
          <t>Semanal solo por breach</t>
        </is>
      </c>
      <c r="M44" s="141" t="n"/>
      <c r="O44" s="513" t="n"/>
      <c r="R44" s="514" t="n"/>
    </row>
    <row r="45">
      <c r="O45" s="513" t="n"/>
      <c r="R45" s="514" t="n"/>
    </row>
    <row r="46">
      <c r="O46" s="515" t="n"/>
      <c r="P46" s="516" t="n"/>
      <c r="Q46" s="516" t="n"/>
      <c r="R46" s="517" t="n"/>
    </row>
    <row r="47">
      <c r="C47" s="506" t="inlineStr">
        <is>
          <t>3. COMMODITY MOMENTUM - IMPLEMENTACIÓN ETF</t>
        </is>
      </c>
      <c r="D47" s="425" t="n"/>
      <c r="E47" s="425" t="n"/>
      <c r="F47" s="425" t="n"/>
      <c r="G47" s="425" t="n"/>
      <c r="H47" s="425" t="n"/>
      <c r="I47" s="425" t="n"/>
      <c r="J47" s="425" t="n"/>
      <c r="K47" s="425" t="n"/>
      <c r="L47" s="425" t="n"/>
      <c r="M47" s="425" t="n"/>
    </row>
    <row r="48" ht="34" customHeight="1">
      <c r="C48" s="326" t="inlineStr">
        <is>
          <t>Grupo</t>
        </is>
      </c>
      <c r="D48" s="326" t="inlineStr">
        <is>
          <t>Parámetro</t>
        </is>
      </c>
      <c r="E48" s="326" t="inlineStr">
        <is>
          <t>Valor</t>
        </is>
      </c>
      <c r="F48" s="326" t="inlineStr">
        <is>
          <t>Unidad</t>
        </is>
      </c>
      <c r="G48" s="326" t="inlineStr">
        <is>
          <t>Tipo</t>
        </is>
      </c>
      <c r="H48" s="326" t="inlineStr">
        <is>
          <t>Fuente lógica</t>
        </is>
      </c>
      <c r="I48" s="326" t="inlineStr">
        <is>
          <t>Implementación</t>
        </is>
      </c>
      <c r="J48" s="326" t="inlineStr">
        <is>
          <t>Control</t>
        </is>
      </c>
      <c r="K48" s="326" t="inlineStr">
        <is>
          <t>Estado</t>
        </is>
      </c>
      <c r="L48" s="326" t="inlineStr">
        <is>
          <t>Observación</t>
        </is>
      </c>
      <c r="M48" s="326" t="str"/>
    </row>
    <row r="49">
      <c r="C49" s="141" t="inlineStr">
        <is>
          <t>Universo</t>
        </is>
      </c>
      <c r="D49" s="141" t="inlineStr">
        <is>
          <t>Instrumentos</t>
        </is>
      </c>
      <c r="E49" s="317" t="inlineStr">
        <is>
          <t>GLD / USO / DBA</t>
        </is>
      </c>
      <c r="F49" s="141" t="n"/>
      <c r="G49" s="141" t="inlineStr">
        <is>
          <t>Restricción</t>
        </is>
      </c>
      <c r="H49" s="141" t="inlineStr">
        <is>
          <t>Estructura acordada</t>
        </is>
      </c>
      <c r="I49" s="141" t="inlineStr">
        <is>
          <t>Oro / petróleo / agricultura</t>
        </is>
      </c>
      <c r="J49" s="141" t="inlineStr">
        <is>
          <t>StockTrak</t>
        </is>
      </c>
      <c r="K49" s="141" t="inlineStr">
        <is>
          <t>Provisional</t>
        </is>
      </c>
      <c r="L49" s="141" t="inlineStr">
        <is>
          <t>Ampliable si la plataforma lo permite</t>
        </is>
      </c>
      <c r="M49" s="141" t="n"/>
    </row>
    <row r="50">
      <c r="C50" s="141" t="inlineStr">
        <is>
          <t>Elegibilidad</t>
        </is>
      </c>
      <c r="D50" s="141" t="inlineStr">
        <is>
          <t>Retorno 3 meses</t>
        </is>
      </c>
      <c r="E50" s="508" t="n">
        <v>0.05</v>
      </c>
      <c r="F50" s="141" t="inlineStr">
        <is>
          <t>&gt;</t>
        </is>
      </c>
      <c r="G50" s="141" t="inlineStr">
        <is>
          <t>Filtro</t>
        </is>
      </c>
      <c r="H50" s="141" t="inlineStr">
        <is>
          <t>Informe Grupo 11</t>
        </is>
      </c>
      <c r="I50" s="141" t="inlineStr">
        <is>
          <t>Cierre t / cierre t-3 - 1</t>
        </is>
      </c>
      <c r="J50" s="141" t="inlineStr">
        <is>
          <t>Sin look-ahead</t>
        </is>
      </c>
      <c r="K50" s="141" t="inlineStr">
        <is>
          <t>Definido</t>
        </is>
      </c>
      <c r="L50" s="141" t="n"/>
      <c r="M50" s="141" t="n"/>
    </row>
    <row r="51">
      <c r="C51" s="141" t="inlineStr">
        <is>
          <t>Elegibilidad</t>
        </is>
      </c>
      <c r="D51" s="141" t="inlineStr">
        <is>
          <t>Retorno 6 meses</t>
        </is>
      </c>
      <c r="E51" s="508" t="n">
        <v>0.08</v>
      </c>
      <c r="F51" s="141" t="inlineStr">
        <is>
          <t>&gt;</t>
        </is>
      </c>
      <c r="G51" s="141" t="inlineStr">
        <is>
          <t>Filtro</t>
        </is>
      </c>
      <c r="H51" s="141" t="inlineStr">
        <is>
          <t>Informe Grupo 11</t>
        </is>
      </c>
      <c r="I51" s="141" t="inlineStr">
        <is>
          <t>Cierre t / cierre t-6 - 1</t>
        </is>
      </c>
      <c r="J51" s="141" t="inlineStr">
        <is>
          <t>Sin look-ahead</t>
        </is>
      </c>
      <c r="K51" s="141" t="inlineStr">
        <is>
          <t>Definido</t>
        </is>
      </c>
      <c r="L51" s="141" t="n"/>
      <c r="M51" s="141" t="n"/>
    </row>
    <row r="52">
      <c r="C52" s="141" t="inlineStr">
        <is>
          <t>Elegibilidad</t>
        </is>
      </c>
      <c r="D52" s="141" t="inlineStr">
        <is>
          <t>Retorno 12 meses</t>
        </is>
      </c>
      <c r="E52" s="508" t="n">
        <v>0.1</v>
      </c>
      <c r="F52" s="141" t="inlineStr">
        <is>
          <t>&gt;</t>
        </is>
      </c>
      <c r="G52" s="141" t="inlineStr">
        <is>
          <t>Filtro</t>
        </is>
      </c>
      <c r="H52" s="141" t="inlineStr">
        <is>
          <t>Informe Grupo 11</t>
        </is>
      </c>
      <c r="I52" s="141" t="inlineStr">
        <is>
          <t>Cierre t / cierre t-12 - 1</t>
        </is>
      </c>
      <c r="J52" s="141" t="inlineStr">
        <is>
          <t>Sin look-ahead</t>
        </is>
      </c>
      <c r="K52" s="141" t="inlineStr">
        <is>
          <t>Definido</t>
        </is>
      </c>
      <c r="L52" s="141" t="n"/>
      <c r="M52" s="141" t="n"/>
    </row>
    <row r="53">
      <c r="C53" s="141" t="inlineStr">
        <is>
          <t>Tendencia</t>
        </is>
      </c>
      <c r="D53" s="141" t="inlineStr">
        <is>
          <t>Precio / MM200</t>
        </is>
      </c>
      <c r="E53" s="317" t="n">
        <v>1</v>
      </c>
      <c r="F53" s="141" t="inlineStr">
        <is>
          <t>&gt;</t>
        </is>
      </c>
      <c r="G53" s="141" t="inlineStr">
        <is>
          <t>Filtro</t>
        </is>
      </c>
      <c r="H53" s="141" t="inlineStr">
        <is>
          <t>Informe Grupo 11</t>
        </is>
      </c>
      <c r="I53" s="141" t="inlineStr">
        <is>
          <t>Precio t &gt; media 200 días</t>
        </is>
      </c>
      <c r="J53" s="141" t="inlineStr">
        <is>
          <t>Dato diario</t>
        </is>
      </c>
      <c r="K53" s="141" t="inlineStr">
        <is>
          <t>Definido</t>
        </is>
      </c>
      <c r="L53" s="141" t="n"/>
      <c r="M53" s="141" t="n"/>
    </row>
    <row r="54">
      <c r="C54" s="141" t="inlineStr">
        <is>
          <t>Riesgo</t>
        </is>
      </c>
      <c r="D54" s="141" t="inlineStr">
        <is>
          <t>Volatilidad máxima</t>
        </is>
      </c>
      <c r="E54" s="508" t="n">
        <v>0.5</v>
      </c>
      <c r="F54" s="141" t="inlineStr">
        <is>
          <t>anual</t>
        </is>
      </c>
      <c r="G54" s="141" t="inlineStr">
        <is>
          <t>Filtro</t>
        </is>
      </c>
      <c r="H54" s="141" t="inlineStr">
        <is>
          <t>Informe Grupo 11</t>
        </is>
      </c>
      <c r="I54" s="141" t="inlineStr">
        <is>
          <t>SD 12m × raíz(12)</t>
        </is>
      </c>
      <c r="J54" s="141" t="inlineStr">
        <is>
          <t>Mensual</t>
        </is>
      </c>
      <c r="K54" s="141" t="inlineStr">
        <is>
          <t>Definido</t>
        </is>
      </c>
      <c r="L54" s="141" t="n"/>
      <c r="M54" s="141" t="n"/>
    </row>
    <row r="55">
      <c r="C55" s="141" t="inlineStr">
        <is>
          <t>Ranking</t>
        </is>
      </c>
      <c r="D55" s="141" t="inlineStr">
        <is>
          <t>Peso retorno 3m</t>
        </is>
      </c>
      <c r="E55" s="508" t="n">
        <v>0.333333</v>
      </c>
      <c r="F55" s="141" t="inlineStr">
        <is>
          <t>score</t>
        </is>
      </c>
      <c r="G55" s="141" t="inlineStr">
        <is>
          <t>Ponderador</t>
        </is>
      </c>
      <c r="H55" s="141" t="inlineStr">
        <is>
          <t>Regla Nexum</t>
        </is>
      </c>
      <c r="I55" s="141" t="inlineStr">
        <is>
          <t>Percentil entre elegibles</t>
        </is>
      </c>
      <c r="J55" s="141" t="inlineStr">
        <is>
          <t>Suma score</t>
        </is>
      </c>
      <c r="K55" s="141" t="inlineStr">
        <is>
          <t>Definido</t>
        </is>
      </c>
      <c r="L55" s="141" t="n"/>
      <c r="M55" s="141" t="n"/>
    </row>
    <row r="56">
      <c r="C56" s="141" t="inlineStr">
        <is>
          <t>Ranking</t>
        </is>
      </c>
      <c r="D56" s="141" t="inlineStr">
        <is>
          <t>Peso retorno 6m</t>
        </is>
      </c>
      <c r="E56" s="508" t="n">
        <v>0.333333</v>
      </c>
      <c r="F56" s="141" t="inlineStr">
        <is>
          <t>score</t>
        </is>
      </c>
      <c r="G56" s="141" t="inlineStr">
        <is>
          <t>Ponderador</t>
        </is>
      </c>
      <c r="H56" s="141" t="inlineStr">
        <is>
          <t>Regla Nexum</t>
        </is>
      </c>
      <c r="I56" s="141" t="inlineStr">
        <is>
          <t>Percentil entre elegibles</t>
        </is>
      </c>
      <c r="J56" s="141" t="inlineStr">
        <is>
          <t>Suma score</t>
        </is>
      </c>
      <c r="K56" s="141" t="inlineStr">
        <is>
          <t>Definido</t>
        </is>
      </c>
      <c r="L56" s="141" t="n"/>
      <c r="M56" s="141" t="n"/>
    </row>
    <row r="57">
      <c r="C57" s="141" t="inlineStr">
        <is>
          <t>Ranking</t>
        </is>
      </c>
      <c r="D57" s="141" t="inlineStr">
        <is>
          <t>Peso retorno 12m</t>
        </is>
      </c>
      <c r="E57" s="508" t="n">
        <v>0.333334</v>
      </c>
      <c r="F57" s="141" t="inlineStr">
        <is>
          <t>score</t>
        </is>
      </c>
      <c r="G57" s="141" t="inlineStr">
        <is>
          <t>Ponderador</t>
        </is>
      </c>
      <c r="H57" s="141" t="inlineStr">
        <is>
          <t>Regla Nexum</t>
        </is>
      </c>
      <c r="I57" s="141" t="inlineStr">
        <is>
          <t>Percentil entre elegibles</t>
        </is>
      </c>
      <c r="J57" s="141" t="inlineStr">
        <is>
          <t>Suma score</t>
        </is>
      </c>
      <c r="K57" s="141" t="inlineStr">
        <is>
          <t>Definido</t>
        </is>
      </c>
      <c r="L57" s="141" t="n"/>
      <c r="M57" s="141" t="n"/>
    </row>
    <row r="58">
      <c r="C58" s="141" t="inlineStr">
        <is>
          <t>Cartera</t>
        </is>
      </c>
      <c r="D58" s="141" t="inlineStr">
        <is>
          <t>Número máximo</t>
        </is>
      </c>
      <c r="E58" s="317" t="n">
        <v>3</v>
      </c>
      <c r="F58" s="141" t="inlineStr">
        <is>
          <t>ETF</t>
        </is>
      </c>
      <c r="G58" s="141" t="inlineStr">
        <is>
          <t>Selección</t>
        </is>
      </c>
      <c r="H58" s="141" t="inlineStr">
        <is>
          <t>Universo disponible</t>
        </is>
      </c>
      <c r="I58" s="141" t="inlineStr">
        <is>
          <t>Todos los elegibles</t>
        </is>
      </c>
      <c r="J58" s="141" t="inlineStr">
        <is>
          <t>Diversificación</t>
        </is>
      </c>
      <c r="K58" s="141" t="inlineStr">
        <is>
          <t>Definido</t>
        </is>
      </c>
      <c r="L58" s="141" t="n"/>
      <c r="M58" s="141" t="n"/>
    </row>
    <row r="59">
      <c r="C59" s="141" t="inlineStr">
        <is>
          <t>Cartera</t>
        </is>
      </c>
      <c r="D59" s="141" t="inlineStr">
        <is>
          <t>Sin señal</t>
        </is>
      </c>
      <c r="E59" s="317" t="inlineStr">
        <is>
          <t>100% BIL</t>
        </is>
      </c>
      <c r="F59" s="141" t="n"/>
      <c r="G59" s="141" t="inlineStr">
        <is>
          <t>Regla defensiva</t>
        </is>
      </c>
      <c r="H59" s="141" t="inlineStr">
        <is>
          <t>Regla Nexum</t>
        </is>
      </c>
      <c r="I59" s="141" t="inlineStr">
        <is>
          <t>Saldo no invertido va a caja</t>
        </is>
      </c>
      <c r="J59" s="141" t="inlineStr">
        <is>
          <t>Siempre invertido</t>
        </is>
      </c>
      <c r="K59" s="141" t="inlineStr">
        <is>
          <t>Definido</t>
        </is>
      </c>
      <c r="L59" s="141" t="n"/>
      <c r="M59" s="141" t="n"/>
    </row>
    <row r="60">
      <c r="C60" s="141" t="inlineStr">
        <is>
          <t>Curva futuros</t>
        </is>
      </c>
      <c r="D60" s="141" t="inlineStr">
        <is>
          <t>Backwardation / contango</t>
        </is>
      </c>
      <c r="E60" s="317" t="inlineStr">
        <is>
          <t>Overlay en vivo</t>
        </is>
      </c>
      <c r="F60" s="141" t="n"/>
      <c r="G60" s="141" t="inlineStr">
        <is>
          <t>Monitoreo</t>
        </is>
      </c>
      <c r="H60" s="141" t="inlineStr">
        <is>
          <t>Informe Grupo 11</t>
        </is>
      </c>
      <c r="I60" s="141" t="inlineStr">
        <is>
          <t>No se usa en backtest ETF base</t>
        </is>
      </c>
      <c r="J60" s="141" t="inlineStr">
        <is>
          <t>Trazabilidad</t>
        </is>
      </c>
      <c r="K60" s="141" t="inlineStr">
        <is>
          <t>Definido</t>
        </is>
      </c>
      <c r="L60" s="141" t="inlineStr">
        <is>
          <t>Evita usar datos no disponibles</t>
        </is>
      </c>
      <c r="M60" s="141" t="n"/>
    </row>
    <row r="61">
      <c r="C61" s="141" t="inlineStr">
        <is>
          <t>Rebalanceo</t>
        </is>
      </c>
      <c r="D61" s="141" t="inlineStr">
        <is>
          <t>Frecuencia</t>
        </is>
      </c>
      <c r="E61" s="317" t="inlineStr">
        <is>
          <t>Mensual</t>
        </is>
      </c>
      <c r="F61" s="141" t="n"/>
      <c r="G61" s="141" t="inlineStr">
        <is>
          <t>Regla</t>
        </is>
      </c>
      <c r="H61" s="141" t="inlineStr">
        <is>
          <t>Benchmark metodología</t>
        </is>
      </c>
      <c r="I61" s="141" t="inlineStr">
        <is>
          <t>Señal t; retorno t+1</t>
        </is>
      </c>
      <c r="J61" s="141" t="inlineStr">
        <is>
          <t>Calendario</t>
        </is>
      </c>
      <c r="K61" s="141" t="inlineStr">
        <is>
          <t>Definido</t>
        </is>
      </c>
      <c r="L61" s="141" t="inlineStr">
        <is>
          <t>Semanal solo por breach</t>
        </is>
      </c>
      <c r="M61" s="141" t="n"/>
    </row>
  </sheetData>
  <mergeCells count="24">
    <mergeCell ref="C2:R2"/>
    <mergeCell ref="I6:J6"/>
    <mergeCell ref="I5:R5"/>
    <mergeCell ref="C30:M30"/>
    <mergeCell ref="O26:R36"/>
    <mergeCell ref="I11:J11"/>
    <mergeCell ref="C5:G5"/>
    <mergeCell ref="C14:M14"/>
    <mergeCell ref="K9:R9"/>
    <mergeCell ref="O14:R14"/>
    <mergeCell ref="O39:R46"/>
    <mergeCell ref="I7:J7"/>
    <mergeCell ref="K11:R11"/>
    <mergeCell ref="C3:R3"/>
    <mergeCell ref="C47:M47"/>
    <mergeCell ref="I12:J12"/>
    <mergeCell ref="K12:R12"/>
    <mergeCell ref="K8:R8"/>
    <mergeCell ref="I8:J8"/>
    <mergeCell ref="K7:R7"/>
    <mergeCell ref="I10:J10"/>
    <mergeCell ref="K10:R10"/>
    <mergeCell ref="K6:R6"/>
    <mergeCell ref="I9:J9"/>
  </mergeCells>
  <conditionalFormatting sqref="R16:R23">
    <cfRule type="containsText" priority="1" operator="containsText" dxfId="0" text="REVISAR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C2:AO4695"/>
  <sheetViews>
    <sheetView showGridLines="0" workbookViewId="0">
      <pane xSplit="3" ySplit="15" topLeftCell="D16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3" customWidth="1" min="38" max="38"/>
    <col width="13" customWidth="1" min="39" max="39"/>
    <col width="11" customWidth="1" min="40" max="40"/>
    <col width="12" customWidth="1" min="41" max="41"/>
  </cols>
  <sheetData>
    <row r="2" ht="30" customHeight="1">
      <c r="C2" s="518" t="inlineStr">
        <is>
          <t>MODELO NEXUM - BACKTEST COMMODITY MOMENTUM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  <c r="O2" s="425" t="n"/>
      <c r="P2" s="425" t="n"/>
      <c r="Q2" s="425" t="n"/>
      <c r="R2" s="425" t="n"/>
      <c r="S2" s="425" t="n"/>
      <c r="T2" s="425" t="n"/>
      <c r="U2" s="425" t="n"/>
      <c r="V2" s="425" t="n"/>
      <c r="W2" s="425" t="n"/>
      <c r="X2" s="425" t="n"/>
      <c r="Y2" s="425" t="n"/>
      <c r="Z2" s="425" t="n"/>
      <c r="AA2" s="425" t="n"/>
      <c r="AB2" s="425" t="n"/>
      <c r="AC2" s="425" t="n"/>
      <c r="AD2" s="425" t="n"/>
      <c r="AE2" s="425" t="n"/>
      <c r="AF2" s="425" t="n"/>
      <c r="AG2" s="425" t="n"/>
      <c r="AH2" s="425" t="n"/>
      <c r="AI2" s="425" t="n"/>
      <c r="AJ2" s="425" t="n"/>
      <c r="AK2" s="425" t="n"/>
      <c r="AL2" s="425" t="n"/>
      <c r="AM2" s="425" t="n"/>
      <c r="AN2" s="425" t="n"/>
    </row>
    <row r="3">
      <c r="C3" s="426" t="inlineStr">
        <is>
          <t>GLD, USO y DBA · señales al cierre t · retorno desde t+1 · BIL cuando no hay señal · costos sobre turnover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  <c r="O3" s="425" t="n"/>
      <c r="P3" s="425" t="n"/>
      <c r="Q3" s="425" t="n"/>
      <c r="R3" s="425" t="n"/>
      <c r="S3" s="425" t="n"/>
      <c r="T3" s="425" t="n"/>
      <c r="U3" s="425" t="n"/>
      <c r="V3" s="425" t="n"/>
      <c r="W3" s="425" t="n"/>
      <c r="X3" s="425" t="n"/>
      <c r="Y3" s="425" t="n"/>
      <c r="Z3" s="425" t="n"/>
      <c r="AA3" s="425" t="n"/>
      <c r="AB3" s="425" t="n"/>
      <c r="AC3" s="425" t="n"/>
      <c r="AD3" s="425" t="n"/>
      <c r="AE3" s="425" t="n"/>
      <c r="AF3" s="425" t="n"/>
      <c r="AG3" s="425" t="n"/>
      <c r="AH3" s="425" t="n"/>
      <c r="AI3" s="425" t="n"/>
      <c r="AJ3" s="425" t="n"/>
      <c r="AK3" s="425" t="n"/>
      <c r="AL3" s="425" t="n"/>
      <c r="AM3" s="425" t="n"/>
      <c r="AN3" s="425" t="n"/>
    </row>
    <row r="5">
      <c r="C5" s="519" t="inlineStr">
        <is>
          <t>RESULTADOS DEL BACKTEST</t>
        </is>
      </c>
      <c r="D5" s="425" t="n"/>
      <c r="E5" s="425" t="n"/>
      <c r="F5" s="425" t="n"/>
      <c r="G5" s="425" t="n"/>
      <c r="I5" s="519" t="inlineStr">
        <is>
          <t>OPERACIÓN Y COSTOS</t>
        </is>
      </c>
      <c r="J5" s="425" t="n"/>
      <c r="K5" s="425" t="n"/>
      <c r="L5" s="425" t="n"/>
      <c r="M5" s="425" t="n"/>
      <c r="O5" s="519" t="inlineStr">
        <is>
          <t>REGLAS ACTIVAS (VINCULADAS)</t>
        </is>
      </c>
      <c r="P5" s="425" t="n"/>
      <c r="Q5" s="425" t="n"/>
      <c r="R5" s="425" t="n"/>
      <c r="S5" s="425" t="n"/>
      <c r="T5" s="425" t="n"/>
      <c r="U5" s="425" t="n"/>
      <c r="V5" s="425" t="n"/>
      <c r="X5" s="519" t="inlineStr">
        <is>
          <t>VALIDACIÓN</t>
        </is>
      </c>
      <c r="Y5" s="425" t="n"/>
      <c r="Z5" s="425" t="n"/>
      <c r="AA5" s="425" t="n"/>
      <c r="AB5" s="425" t="n"/>
      <c r="AC5" s="425" t="n"/>
      <c r="AD5" s="425" t="n"/>
      <c r="AE5" s="425" t="n"/>
      <c r="AF5" s="425" t="n"/>
      <c r="AG5" s="425" t="n"/>
      <c r="AH5" s="425" t="n"/>
      <c r="AI5" s="425" t="n"/>
      <c r="AJ5" s="425" t="n"/>
      <c r="AK5" s="425" t="n"/>
      <c r="AL5" s="425" t="n"/>
      <c r="AM5" s="425" t="n"/>
      <c r="AN5" s="425" t="n"/>
    </row>
    <row r="6">
      <c r="C6" s="141" t="inlineStr">
        <is>
          <t>Inicio efectivo</t>
        </is>
      </c>
      <c r="D6" s="501" t="n">
        <v>40574</v>
      </c>
      <c r="E6" s="141" t="n"/>
      <c r="F6" s="141" t="inlineStr">
        <is>
          <t>Índice base = 100</t>
        </is>
      </c>
      <c r="G6" s="141" t="n"/>
      <c r="I6" s="141" t="inlineStr">
        <is>
          <t>Turnover medio</t>
        </is>
      </c>
      <c r="J6" s="520">
        <f>AVERAGE(AH41:AH227)</f>
        <v/>
      </c>
      <c r="K6" s="141" t="n"/>
      <c r="L6" s="141" t="inlineStr">
        <is>
          <t>0,5 × suma cambios absolutos</t>
        </is>
      </c>
      <c r="M6" s="141" t="n"/>
      <c r="O6" s="141" t="inlineStr">
        <is>
          <t>Retorno 3m</t>
        </is>
      </c>
      <c r="P6" s="521">
        <f>'06_Parametros_Estrategias'!E50</f>
        <v/>
      </c>
      <c r="Q6" s="141" t="inlineStr">
        <is>
          <t>&gt;</t>
        </is>
      </c>
      <c r="R6" s="141" t="n"/>
      <c r="S6" s="141" t="inlineStr">
        <is>
          <t>06_Parametros_Estrategias</t>
        </is>
      </c>
      <c r="T6" s="141" t="n"/>
      <c r="U6" s="141" t="n"/>
      <c r="V6" s="141" t="n"/>
      <c r="X6" s="356" t="inlineStr">
        <is>
          <t>Look-ahead</t>
        </is>
      </c>
      <c r="Y6" s="499" t="n"/>
      <c r="Z6" s="141" t="inlineStr">
        <is>
          <t>Señal t aplicada en t+1</t>
        </is>
      </c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0" t="n"/>
      <c r="AJ6" s="500" t="n"/>
      <c r="AK6" s="500" t="n"/>
      <c r="AL6" s="500" t="n"/>
      <c r="AM6" s="500" t="n"/>
      <c r="AN6" s="499" t="n"/>
    </row>
    <row r="7">
      <c r="C7" s="141" t="inlineStr">
        <is>
          <t>Fin</t>
        </is>
      </c>
      <c r="D7" s="501" t="n">
        <v>46265</v>
      </c>
      <c r="E7" s="141" t="n"/>
      <c r="F7" s="141" t="inlineStr">
        <is>
          <t>Último mes completo</t>
        </is>
      </c>
      <c r="G7" s="141" t="n"/>
      <c r="I7" s="141" t="inlineStr">
        <is>
          <t>Costo acumulado (suma)</t>
        </is>
      </c>
      <c r="J7" s="520">
        <f>SUM(AJ41:AJ227)</f>
        <v/>
      </c>
      <c r="K7" s="141" t="n"/>
      <c r="L7" s="141" t="inlineStr">
        <is>
          <t>Turnover × costo one-way</t>
        </is>
      </c>
      <c r="M7" s="141" t="n"/>
      <c r="O7" s="141" t="inlineStr">
        <is>
          <t>Retorno 6m</t>
        </is>
      </c>
      <c r="P7" s="521">
        <f>'06_Parametros_Estrategias'!E51</f>
        <v/>
      </c>
      <c r="Q7" s="141" t="inlineStr">
        <is>
          <t>&gt;</t>
        </is>
      </c>
      <c r="R7" s="141" t="n"/>
      <c r="S7" s="141" t="inlineStr">
        <is>
          <t>06_Parametros_Estrategias</t>
        </is>
      </c>
      <c r="T7" s="141" t="n"/>
      <c r="U7" s="141" t="n"/>
      <c r="V7" s="141" t="n"/>
      <c r="X7" s="356" t="inlineStr">
        <is>
          <t>Supervivencia</t>
        </is>
      </c>
      <c r="Y7" s="499" t="n"/>
      <c r="Z7" s="141" t="inlineStr">
        <is>
          <t>ETF disponibles durante toda la muestra</t>
        </is>
      </c>
      <c r="AA7" s="500" t="n"/>
      <c r="AB7" s="500" t="n"/>
      <c r="AC7" s="500" t="n"/>
      <c r="AD7" s="500" t="n"/>
      <c r="AE7" s="500" t="n"/>
      <c r="AF7" s="500" t="n"/>
      <c r="AG7" s="500" t="n"/>
      <c r="AH7" s="500" t="n"/>
      <c r="AI7" s="500" t="n"/>
      <c r="AJ7" s="500" t="n"/>
      <c r="AK7" s="500" t="n"/>
      <c r="AL7" s="500" t="n"/>
      <c r="AM7" s="500" t="n"/>
      <c r="AN7" s="499" t="n"/>
    </row>
    <row r="8">
      <c r="C8" s="141" t="inlineStr">
        <is>
          <t>Meses de retorno</t>
        </is>
      </c>
      <c r="D8" s="350" t="n">
        <v>187</v>
      </c>
      <c r="E8" s="141" t="n"/>
      <c r="F8" s="141" t="inlineStr">
        <is>
          <t>Feb-2011 a Ago-2026</t>
        </is>
      </c>
      <c r="G8" s="141" t="n"/>
      <c r="I8" s="141" t="inlineStr">
        <is>
          <t>Meses con GLD</t>
        </is>
      </c>
      <c r="J8" s="350">
        <f>COUNTIF(L40:L227,"&gt;0")</f>
        <v/>
      </c>
      <c r="K8" s="141" t="n"/>
      <c r="L8" s="141" t="inlineStr">
        <is>
          <t>Peso positivo</t>
        </is>
      </c>
      <c r="M8" s="141" t="n"/>
      <c r="O8" s="141" t="inlineStr">
        <is>
          <t>Retorno 12m</t>
        </is>
      </c>
      <c r="P8" s="521">
        <f>'06_Parametros_Estrategias'!E52</f>
        <v/>
      </c>
      <c r="Q8" s="141" t="inlineStr">
        <is>
          <t>&gt;</t>
        </is>
      </c>
      <c r="R8" s="141" t="n"/>
      <c r="S8" s="141" t="inlineStr">
        <is>
          <t>06_Parametros_Estrategias</t>
        </is>
      </c>
      <c r="T8" s="141" t="n"/>
      <c r="U8" s="141" t="n"/>
      <c r="V8" s="141" t="n"/>
      <c r="X8" s="356" t="inlineStr">
        <is>
          <t>Dividendos/splits</t>
        </is>
      </c>
      <c r="Y8" s="499" t="n"/>
      <c r="Z8" s="141" t="inlineStr">
        <is>
          <t>Adjusted Close</t>
        </is>
      </c>
      <c r="AA8" s="500" t="n"/>
      <c r="AB8" s="500" t="n"/>
      <c r="AC8" s="500" t="n"/>
      <c r="AD8" s="500" t="n"/>
      <c r="AE8" s="500" t="n"/>
      <c r="AF8" s="500" t="n"/>
      <c r="AG8" s="500" t="n"/>
      <c r="AH8" s="500" t="n"/>
      <c r="AI8" s="500" t="n"/>
      <c r="AJ8" s="500" t="n"/>
      <c r="AK8" s="500" t="n"/>
      <c r="AL8" s="500" t="n"/>
      <c r="AM8" s="500" t="n"/>
      <c r="AN8" s="499" t="n"/>
    </row>
    <row r="9">
      <c r="C9" s="141" t="inlineStr">
        <is>
          <t>CAGR neto</t>
        </is>
      </c>
      <c r="D9" s="522">
        <f>(AL227/AL40)^(12/187)-1</f>
        <v/>
      </c>
      <c r="E9" s="141" t="n"/>
      <c r="F9" s="141" t="inlineStr">
        <is>
          <t>Crecimiento anual compuesto</t>
        </is>
      </c>
      <c r="G9" s="141" t="n"/>
      <c r="I9" s="141" t="inlineStr">
        <is>
          <t>Meses con USO</t>
        </is>
      </c>
      <c r="J9" s="350">
        <f>COUNTIF(U40:U227,"&gt;0")</f>
        <v/>
      </c>
      <c r="K9" s="141" t="n"/>
      <c r="L9" s="141" t="inlineStr">
        <is>
          <t>Peso positivo</t>
        </is>
      </c>
      <c r="M9" s="141" t="n"/>
      <c r="O9" s="141" t="inlineStr">
        <is>
          <t>Precio / MM200</t>
        </is>
      </c>
      <c r="P9" s="352">
        <f>'06_Parametros_Estrategias'!E53</f>
        <v/>
      </c>
      <c r="Q9" s="141" t="inlineStr">
        <is>
          <t>&gt;</t>
        </is>
      </c>
      <c r="R9" s="141" t="n"/>
      <c r="S9" s="141" t="inlineStr">
        <is>
          <t>06_Parametros_Estrategias</t>
        </is>
      </c>
      <c r="T9" s="141" t="n"/>
      <c r="U9" s="141" t="n"/>
      <c r="V9" s="141" t="n"/>
      <c r="X9" s="356" t="inlineStr">
        <is>
          <t>USO</t>
        </is>
      </c>
      <c r="Y9" s="499" t="n"/>
      <c r="Z9" s="141" t="inlineStr">
        <is>
          <t>Adjusted Close captura reverse split; no elimina roll yield</t>
        </is>
      </c>
      <c r="AA9" s="500" t="n"/>
      <c r="AB9" s="500" t="n"/>
      <c r="AC9" s="500" t="n"/>
      <c r="AD9" s="500" t="n"/>
      <c r="AE9" s="500" t="n"/>
      <c r="AF9" s="500" t="n"/>
      <c r="AG9" s="500" t="n"/>
      <c r="AH9" s="500" t="n"/>
      <c r="AI9" s="500" t="n"/>
      <c r="AJ9" s="500" t="n"/>
      <c r="AK9" s="500" t="n"/>
      <c r="AL9" s="500" t="n"/>
      <c r="AM9" s="500" t="n"/>
      <c r="AN9" s="499" t="n"/>
    </row>
    <row r="10">
      <c r="C10" s="141" t="inlineStr">
        <is>
          <t>Volatilidad anual</t>
        </is>
      </c>
      <c r="D10" s="522">
        <f>STDEV.S(AK41:AK227)*SQRT(12)</f>
        <v/>
      </c>
      <c r="E10" s="141" t="n"/>
      <c r="F10" s="141" t="inlineStr">
        <is>
          <t>SD mensual × raíz(12)</t>
        </is>
      </c>
      <c r="G10" s="141" t="n"/>
      <c r="I10" s="141" t="inlineStr">
        <is>
          <t>Meses con DBA</t>
        </is>
      </c>
      <c r="J10" s="350">
        <f>COUNTIF(AD40:AD227,"&gt;0")</f>
        <v/>
      </c>
      <c r="K10" s="141" t="n"/>
      <c r="L10" s="141" t="inlineStr">
        <is>
          <t>Peso positivo</t>
        </is>
      </c>
      <c r="M10" s="141" t="n"/>
      <c r="O10" s="141" t="inlineStr">
        <is>
          <t>Volatilidad máxima</t>
        </is>
      </c>
      <c r="P10" s="521">
        <f>'06_Parametros_Estrategias'!E54</f>
        <v/>
      </c>
      <c r="Q10" s="141" t="inlineStr">
        <is>
          <t>&lt;</t>
        </is>
      </c>
      <c r="R10" s="141" t="n"/>
      <c r="S10" s="141" t="inlineStr">
        <is>
          <t>06_Parametros_Estrategias</t>
        </is>
      </c>
      <c r="T10" s="141" t="n"/>
      <c r="U10" s="141" t="n"/>
      <c r="V10" s="141" t="n"/>
      <c r="X10" s="356" t="inlineStr">
        <is>
          <t>Curva futuros</t>
        </is>
      </c>
      <c r="Y10" s="499" t="n"/>
      <c r="Z10" s="141" t="inlineStr">
        <is>
          <t>No usada por falta de serie histórica homogénea</t>
        </is>
      </c>
      <c r="AA10" s="500" t="n"/>
      <c r="AB10" s="500" t="n"/>
      <c r="AC10" s="500" t="n"/>
      <c r="AD10" s="500" t="n"/>
      <c r="AE10" s="500" t="n"/>
      <c r="AF10" s="500" t="n"/>
      <c r="AG10" s="500" t="n"/>
      <c r="AH10" s="500" t="n"/>
      <c r="AI10" s="500" t="n"/>
      <c r="AJ10" s="500" t="n"/>
      <c r="AK10" s="500" t="n"/>
      <c r="AL10" s="500" t="n"/>
      <c r="AM10" s="500" t="n"/>
      <c r="AN10" s="499" t="n"/>
    </row>
    <row r="11">
      <c r="C11" s="141" t="inlineStr">
        <is>
          <t>Sharpe vs BIL</t>
        </is>
      </c>
      <c r="D11" s="523">
        <f>AVERAGE(AO41:AO227)*12/(STDEV.S(AO41:AO227)*SQRT(12))</f>
        <v/>
      </c>
      <c r="E11" s="141" t="n"/>
      <c r="F11" s="141" t="inlineStr">
        <is>
          <t>Exceso mensual anualizado</t>
        </is>
      </c>
      <c r="G11" s="141" t="n"/>
      <c r="I11" s="141" t="inlineStr">
        <is>
          <t>Meses 100% BIL</t>
        </is>
      </c>
      <c r="J11" s="350">
        <f>COUNTIF(AE40:AE227,1)</f>
        <v/>
      </c>
      <c r="K11" s="141" t="n"/>
      <c r="L11" s="141" t="inlineStr">
        <is>
          <t>Ningún ETF elegible</t>
        </is>
      </c>
      <c r="M11" s="141" t="n"/>
      <c r="O11" s="141" t="inlineStr">
        <is>
          <t>Costo one-way</t>
        </is>
      </c>
      <c r="P11" s="521">
        <f>'06_Parametros_Estrategias'!D10</f>
        <v/>
      </c>
      <c r="Q11" s="141" t="n"/>
      <c r="R11" s="141" t="n"/>
      <c r="S11" s="141" t="inlineStr">
        <is>
          <t>06_Parametros_Estrategias</t>
        </is>
      </c>
      <c r="T11" s="141" t="n"/>
      <c r="U11" s="141" t="n"/>
      <c r="V11" s="141" t="n"/>
      <c r="X11" s="356" t="inlineStr">
        <is>
          <t>Costos</t>
        </is>
      </c>
      <c r="Y11" s="499" t="n"/>
      <c r="Z11" s="141" t="inlineStr">
        <is>
          <t>Aplicados al cambio de pesos objetivo</t>
        </is>
      </c>
      <c r="AA11" s="500" t="n"/>
      <c r="AB11" s="500" t="n"/>
      <c r="AC11" s="500" t="n"/>
      <c r="AD11" s="500" t="n"/>
      <c r="AE11" s="500" t="n"/>
      <c r="AF11" s="500" t="n"/>
      <c r="AG11" s="500" t="n"/>
      <c r="AH11" s="500" t="n"/>
      <c r="AI11" s="500" t="n"/>
      <c r="AJ11" s="500" t="n"/>
      <c r="AK11" s="500" t="n"/>
      <c r="AL11" s="500" t="n"/>
      <c r="AM11" s="500" t="n"/>
      <c r="AN11" s="499" t="n"/>
    </row>
    <row r="12">
      <c r="C12" s="141" t="inlineStr">
        <is>
          <t>Máximo drawdown</t>
        </is>
      </c>
      <c r="D12" s="522">
        <f>MIN(AN40:AN227)</f>
        <v/>
      </c>
      <c r="E12" s="141" t="n"/>
      <c r="F12" s="141" t="inlineStr">
        <is>
          <t>Peor caída desde máximo</t>
        </is>
      </c>
      <c r="G12" s="141" t="n"/>
      <c r="I12" s="141" t="inlineStr">
        <is>
          <t>Observaciones diarias</t>
        </is>
      </c>
      <c r="J12" s="350" t="n">
        <v>4465</v>
      </c>
      <c r="K12" s="141" t="n"/>
      <c r="L12" s="141" t="inlineStr">
        <is>
          <t>Dic-2008 a Ago-2026</t>
        </is>
      </c>
      <c r="M12" s="141" t="n"/>
      <c r="O12" s="141" t="inlineStr">
        <is>
          <t>Sin señal</t>
        </is>
      </c>
      <c r="P12" s="352" t="inlineStr">
        <is>
          <t>BIL</t>
        </is>
      </c>
      <c r="Q12" s="141" t="n"/>
      <c r="R12" s="141" t="n"/>
      <c r="S12" s="141" t="inlineStr">
        <is>
          <t>100% BIL</t>
        </is>
      </c>
      <c r="T12" s="141" t="n"/>
      <c r="U12" s="141" t="n"/>
      <c r="V12" s="141" t="n"/>
      <c r="X12" s="356" t="inlineStr">
        <is>
          <t>Estado</t>
        </is>
      </c>
      <c r="Y12" s="499" t="n"/>
      <c r="Z12" s="141" t="inlineStr">
        <is>
          <t>Backtest implementable; proxy imperfecta de futuros directos</t>
        </is>
      </c>
      <c r="AA12" s="500" t="n"/>
      <c r="AB12" s="500" t="n"/>
      <c r="AC12" s="500" t="n"/>
      <c r="AD12" s="500" t="n"/>
      <c r="AE12" s="500" t="n"/>
      <c r="AF12" s="500" t="n"/>
      <c r="AG12" s="500" t="n"/>
      <c r="AH12" s="500" t="n"/>
      <c r="AI12" s="500" t="n"/>
      <c r="AJ12" s="500" t="n"/>
      <c r="AK12" s="500" t="n"/>
      <c r="AL12" s="500" t="n"/>
      <c r="AM12" s="500" t="n"/>
      <c r="AN12" s="499" t="n"/>
    </row>
    <row r="14">
      <c r="C14" s="519" t="inlineStr">
        <is>
          <t>BACKTEST MENSUAL Y TRAZABILIDAD DE SEÑALES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O14" s="425" t="n"/>
      <c r="P14" s="425" t="n"/>
      <c r="Q14" s="425" t="n"/>
      <c r="R14" s="425" t="n"/>
      <c r="S14" s="425" t="n"/>
      <c r="T14" s="425" t="n"/>
      <c r="U14" s="425" t="n"/>
      <c r="V14" s="425" t="n"/>
      <c r="W14" s="425" t="n"/>
      <c r="X14" s="425" t="n"/>
      <c r="Y14" s="425" t="n"/>
      <c r="Z14" s="425" t="n"/>
      <c r="AA14" s="425" t="n"/>
      <c r="AB14" s="425" t="n"/>
      <c r="AC14" s="425" t="n"/>
      <c r="AD14" s="425" t="n"/>
      <c r="AE14" s="425" t="n"/>
      <c r="AF14" s="425" t="n"/>
      <c r="AG14" s="425" t="n"/>
      <c r="AH14" s="425" t="n"/>
      <c r="AI14" s="425" t="n"/>
      <c r="AJ14" s="425" t="n"/>
      <c r="AK14" s="425" t="n"/>
      <c r="AL14" s="425" t="n"/>
      <c r="AM14" s="425" t="n"/>
      <c r="AN14" s="425" t="n"/>
    </row>
    <row r="15" ht="38" customHeight="1">
      <c r="C15" s="367" t="inlineStr">
        <is>
          <t>Fecha</t>
        </is>
      </c>
      <c r="D15" s="367" t="inlineStr">
        <is>
          <t>GLD Px</t>
        </is>
      </c>
      <c r="E15" s="367" t="inlineStr">
        <is>
          <t>GLD MM200</t>
        </is>
      </c>
      <c r="F15" s="367" t="inlineStr">
        <is>
          <t>GLD R1</t>
        </is>
      </c>
      <c r="G15" s="367" t="inlineStr">
        <is>
          <t>GLD R3</t>
        </is>
      </c>
      <c r="H15" s="367" t="inlineStr">
        <is>
          <t>GLD R6</t>
        </is>
      </c>
      <c r="I15" s="367" t="inlineStr">
        <is>
          <t>GLD R12</t>
        </is>
      </c>
      <c r="J15" s="367" t="inlineStr">
        <is>
          <t>GLD Vol</t>
        </is>
      </c>
      <c r="K15" s="367" t="inlineStr">
        <is>
          <t>GLD Sig</t>
        </is>
      </c>
      <c r="L15" s="367" t="inlineStr">
        <is>
          <t>GLD Peso</t>
        </is>
      </c>
      <c r="M15" s="367" t="inlineStr">
        <is>
          <t>USO Px</t>
        </is>
      </c>
      <c r="N15" s="367" t="inlineStr">
        <is>
          <t>USO MM200</t>
        </is>
      </c>
      <c r="O15" s="367" t="inlineStr">
        <is>
          <t>USO R1</t>
        </is>
      </c>
      <c r="P15" s="367" t="inlineStr">
        <is>
          <t>USO R3</t>
        </is>
      </c>
      <c r="Q15" s="367" t="inlineStr">
        <is>
          <t>USO R6</t>
        </is>
      </c>
      <c r="R15" s="367" t="inlineStr">
        <is>
          <t>USO R12</t>
        </is>
      </c>
      <c r="S15" s="367" t="inlineStr">
        <is>
          <t>USO Vol</t>
        </is>
      </c>
      <c r="T15" s="367" t="inlineStr">
        <is>
          <t>USO Sig</t>
        </is>
      </c>
      <c r="U15" s="367" t="inlineStr">
        <is>
          <t>USO Peso</t>
        </is>
      </c>
      <c r="V15" s="367" t="inlineStr">
        <is>
          <t>DBA Px</t>
        </is>
      </c>
      <c r="W15" s="367" t="inlineStr">
        <is>
          <t>DBA MM200</t>
        </is>
      </c>
      <c r="X15" s="367" t="inlineStr">
        <is>
          <t>DBA R1</t>
        </is>
      </c>
      <c r="Y15" s="367" t="inlineStr">
        <is>
          <t>DBA R3</t>
        </is>
      </c>
      <c r="Z15" s="367" t="inlineStr">
        <is>
          <t>DBA R6</t>
        </is>
      </c>
      <c r="AA15" s="367" t="inlineStr">
        <is>
          <t>DBA R12</t>
        </is>
      </c>
      <c r="AB15" s="367" t="inlineStr">
        <is>
          <t>DBA Vol</t>
        </is>
      </c>
      <c r="AC15" s="367" t="inlineStr">
        <is>
          <t>DBA Sig</t>
        </is>
      </c>
      <c r="AD15" s="367" t="inlineStr">
        <is>
          <t>DBA Peso</t>
        </is>
      </c>
      <c r="AE15" s="367" t="inlineStr">
        <is>
          <t>BIL Peso</t>
        </is>
      </c>
      <c r="AF15" s="367" t="inlineStr">
        <is>
          <t>BIL Px</t>
        </is>
      </c>
      <c r="AG15" s="367" t="inlineStr">
        <is>
          <t>BIL R1</t>
        </is>
      </c>
      <c r="AH15" s="367" t="inlineStr">
        <is>
          <t>Turnover</t>
        </is>
      </c>
      <c r="AI15" s="367" t="inlineStr">
        <is>
          <t>Ret. bruto</t>
        </is>
      </c>
      <c r="AJ15" s="367" t="inlineStr">
        <is>
          <t>Costo</t>
        </is>
      </c>
      <c r="AK15" s="367" t="inlineStr">
        <is>
          <t>Ret. neto</t>
        </is>
      </c>
      <c r="AL15" s="367" t="inlineStr">
        <is>
          <t>Índice</t>
        </is>
      </c>
      <c r="AM15" s="367" t="inlineStr">
        <is>
          <t>Máximo</t>
        </is>
      </c>
      <c r="AN15" s="367" t="inlineStr">
        <is>
          <t>Drawdown</t>
        </is>
      </c>
      <c r="AO15" s="392" t="inlineStr">
        <is>
          <t>Exceso vs BIL</t>
        </is>
      </c>
    </row>
    <row r="16">
      <c r="C16" s="503" t="n">
        <v>39844</v>
      </c>
      <c r="D16" s="368">
        <f>D272</f>
        <v/>
      </c>
      <c r="E16" s="368">
        <f>H272</f>
        <v/>
      </c>
      <c r="F16" s="524" t="n"/>
      <c r="G16" s="524" t="n"/>
      <c r="H16" s="524" t="n"/>
      <c r="I16" s="524" t="n"/>
      <c r="J16" s="524" t="n"/>
      <c r="K16" s="368" t="n"/>
      <c r="L16" s="525" t="n"/>
      <c r="M16" s="368">
        <f>E272</f>
        <v/>
      </c>
      <c r="N16" s="368">
        <f>I272</f>
        <v/>
      </c>
      <c r="O16" s="524" t="n"/>
      <c r="P16" s="524" t="n"/>
      <c r="Q16" s="524" t="n"/>
      <c r="R16" s="524" t="n"/>
      <c r="S16" s="524" t="n"/>
      <c r="T16" s="368" t="n"/>
      <c r="U16" s="525" t="n"/>
      <c r="V16" s="368">
        <f>F272</f>
        <v/>
      </c>
      <c r="W16" s="368">
        <f>J272</f>
        <v/>
      </c>
      <c r="X16" s="524" t="n"/>
      <c r="Y16" s="524" t="n"/>
      <c r="Z16" s="524" t="n"/>
      <c r="AA16" s="524" t="n"/>
      <c r="AB16" s="524" t="n"/>
      <c r="AC16" s="368" t="n"/>
      <c r="AD16" s="525" t="n"/>
      <c r="AE16" s="525" t="n"/>
      <c r="AF16" s="368">
        <f>G272</f>
        <v/>
      </c>
      <c r="AG16" s="524" t="n"/>
      <c r="AH16" s="524" t="n"/>
      <c r="AI16" s="524" t="n"/>
      <c r="AJ16" s="524" t="n"/>
      <c r="AK16" s="524" t="n"/>
      <c r="AL16" s="368" t="n"/>
      <c r="AM16" s="368" t="n"/>
      <c r="AN16" s="524" t="n"/>
    </row>
    <row r="17">
      <c r="C17" s="503" t="n">
        <v>39872</v>
      </c>
      <c r="D17" s="368">
        <f>D291</f>
        <v/>
      </c>
      <c r="E17" s="368">
        <f>H291</f>
        <v/>
      </c>
      <c r="F17" s="524">
        <f>D17/D16-1</f>
        <v/>
      </c>
      <c r="G17" s="524" t="n"/>
      <c r="H17" s="524" t="n"/>
      <c r="I17" s="524" t="n"/>
      <c r="J17" s="524" t="n"/>
      <c r="K17" s="368" t="n"/>
      <c r="L17" s="525" t="n"/>
      <c r="M17" s="368">
        <f>E291</f>
        <v/>
      </c>
      <c r="N17" s="368">
        <f>I291</f>
        <v/>
      </c>
      <c r="O17" s="524">
        <f>M17/M16-1</f>
        <v/>
      </c>
      <c r="P17" s="524" t="n"/>
      <c r="Q17" s="524" t="n"/>
      <c r="R17" s="524" t="n"/>
      <c r="S17" s="524" t="n"/>
      <c r="T17" s="368" t="n"/>
      <c r="U17" s="525" t="n"/>
      <c r="V17" s="368">
        <f>F291</f>
        <v/>
      </c>
      <c r="W17" s="368">
        <f>J291</f>
        <v/>
      </c>
      <c r="X17" s="524">
        <f>V17/V16-1</f>
        <v/>
      </c>
      <c r="Y17" s="524" t="n"/>
      <c r="Z17" s="524" t="n"/>
      <c r="AA17" s="524" t="n"/>
      <c r="AB17" s="524" t="n"/>
      <c r="AC17" s="368" t="n"/>
      <c r="AD17" s="525" t="n"/>
      <c r="AE17" s="525" t="n"/>
      <c r="AF17" s="368">
        <f>G291</f>
        <v/>
      </c>
      <c r="AG17" s="524">
        <f>AF17/AF16-1</f>
        <v/>
      </c>
      <c r="AH17" s="524" t="n"/>
      <c r="AI17" s="524" t="n"/>
      <c r="AJ17" s="524" t="n"/>
      <c r="AK17" s="524" t="n"/>
      <c r="AL17" s="368" t="n"/>
      <c r="AM17" s="368" t="n"/>
      <c r="AN17" s="524" t="n"/>
    </row>
    <row r="18">
      <c r="C18" s="503" t="n">
        <v>39903</v>
      </c>
      <c r="D18" s="368">
        <f>D313</f>
        <v/>
      </c>
      <c r="E18" s="368">
        <f>H313</f>
        <v/>
      </c>
      <c r="F18" s="524">
        <f>D18/D17-1</f>
        <v/>
      </c>
      <c r="G18" s="524" t="n"/>
      <c r="H18" s="524" t="n"/>
      <c r="I18" s="524" t="n"/>
      <c r="J18" s="524" t="n"/>
      <c r="K18" s="368" t="n"/>
      <c r="L18" s="525" t="n"/>
      <c r="M18" s="368">
        <f>E313</f>
        <v/>
      </c>
      <c r="N18" s="368">
        <f>I313</f>
        <v/>
      </c>
      <c r="O18" s="524">
        <f>M18/M17-1</f>
        <v/>
      </c>
      <c r="P18" s="524" t="n"/>
      <c r="Q18" s="524" t="n"/>
      <c r="R18" s="524" t="n"/>
      <c r="S18" s="524" t="n"/>
      <c r="T18" s="368" t="n"/>
      <c r="U18" s="525" t="n"/>
      <c r="V18" s="368">
        <f>F313</f>
        <v/>
      </c>
      <c r="W18" s="368">
        <f>J313</f>
        <v/>
      </c>
      <c r="X18" s="524">
        <f>V18/V17-1</f>
        <v/>
      </c>
      <c r="Y18" s="524" t="n"/>
      <c r="Z18" s="524" t="n"/>
      <c r="AA18" s="524" t="n"/>
      <c r="AB18" s="524" t="n"/>
      <c r="AC18" s="368" t="n"/>
      <c r="AD18" s="525" t="n"/>
      <c r="AE18" s="525" t="n"/>
      <c r="AF18" s="368">
        <f>G313</f>
        <v/>
      </c>
      <c r="AG18" s="524">
        <f>AF18/AF17-1</f>
        <v/>
      </c>
      <c r="AH18" s="524" t="n"/>
      <c r="AI18" s="524" t="n"/>
      <c r="AJ18" s="524" t="n"/>
      <c r="AK18" s="524" t="n"/>
      <c r="AL18" s="368" t="n"/>
      <c r="AM18" s="368" t="n"/>
      <c r="AN18" s="524" t="n"/>
    </row>
    <row r="19">
      <c r="C19" s="503" t="n">
        <v>39933</v>
      </c>
      <c r="D19" s="368">
        <f>D334</f>
        <v/>
      </c>
      <c r="E19" s="368">
        <f>H334</f>
        <v/>
      </c>
      <c r="F19" s="524">
        <f>D19/D18-1</f>
        <v/>
      </c>
      <c r="G19" s="524">
        <f>D19/D16-1</f>
        <v/>
      </c>
      <c r="H19" s="524" t="n"/>
      <c r="I19" s="524" t="n"/>
      <c r="J19" s="524" t="n"/>
      <c r="K19" s="368" t="n"/>
      <c r="L19" s="525" t="n"/>
      <c r="M19" s="368">
        <f>E334</f>
        <v/>
      </c>
      <c r="N19" s="368">
        <f>I334</f>
        <v/>
      </c>
      <c r="O19" s="524">
        <f>M19/M18-1</f>
        <v/>
      </c>
      <c r="P19" s="524">
        <f>M19/M16-1</f>
        <v/>
      </c>
      <c r="Q19" s="524" t="n"/>
      <c r="R19" s="524" t="n"/>
      <c r="S19" s="524" t="n"/>
      <c r="T19" s="368" t="n"/>
      <c r="U19" s="525" t="n"/>
      <c r="V19" s="368">
        <f>F334</f>
        <v/>
      </c>
      <c r="W19" s="368">
        <f>J334</f>
        <v/>
      </c>
      <c r="X19" s="524">
        <f>V19/V18-1</f>
        <v/>
      </c>
      <c r="Y19" s="524">
        <f>V19/V16-1</f>
        <v/>
      </c>
      <c r="Z19" s="524" t="n"/>
      <c r="AA19" s="524" t="n"/>
      <c r="AB19" s="524" t="n"/>
      <c r="AC19" s="368" t="n"/>
      <c r="AD19" s="525" t="n"/>
      <c r="AE19" s="525" t="n"/>
      <c r="AF19" s="368">
        <f>G334</f>
        <v/>
      </c>
      <c r="AG19" s="524">
        <f>AF19/AF18-1</f>
        <v/>
      </c>
      <c r="AH19" s="524" t="n"/>
      <c r="AI19" s="524" t="n"/>
      <c r="AJ19" s="524" t="n"/>
      <c r="AK19" s="524" t="n"/>
      <c r="AL19" s="368" t="n"/>
      <c r="AM19" s="368" t="n"/>
      <c r="AN19" s="524" t="n"/>
    </row>
    <row r="20">
      <c r="C20" s="503" t="n">
        <v>39964</v>
      </c>
      <c r="D20" s="368">
        <f>D354</f>
        <v/>
      </c>
      <c r="E20" s="368">
        <f>H354</f>
        <v/>
      </c>
      <c r="F20" s="524">
        <f>D20/D19-1</f>
        <v/>
      </c>
      <c r="G20" s="524">
        <f>D20/D17-1</f>
        <v/>
      </c>
      <c r="H20" s="524" t="n"/>
      <c r="I20" s="524" t="n"/>
      <c r="J20" s="524" t="n"/>
      <c r="K20" s="368" t="n"/>
      <c r="L20" s="525" t="n"/>
      <c r="M20" s="368">
        <f>E354</f>
        <v/>
      </c>
      <c r="N20" s="368">
        <f>I354</f>
        <v/>
      </c>
      <c r="O20" s="524">
        <f>M20/M19-1</f>
        <v/>
      </c>
      <c r="P20" s="524">
        <f>M20/M17-1</f>
        <v/>
      </c>
      <c r="Q20" s="524" t="n"/>
      <c r="R20" s="524" t="n"/>
      <c r="S20" s="524" t="n"/>
      <c r="T20" s="368" t="n"/>
      <c r="U20" s="525" t="n"/>
      <c r="V20" s="368">
        <f>F354</f>
        <v/>
      </c>
      <c r="W20" s="368">
        <f>J354</f>
        <v/>
      </c>
      <c r="X20" s="524">
        <f>V20/V19-1</f>
        <v/>
      </c>
      <c r="Y20" s="524">
        <f>V20/V17-1</f>
        <v/>
      </c>
      <c r="Z20" s="524" t="n"/>
      <c r="AA20" s="524" t="n"/>
      <c r="AB20" s="524" t="n"/>
      <c r="AC20" s="368" t="n"/>
      <c r="AD20" s="525" t="n"/>
      <c r="AE20" s="525" t="n"/>
      <c r="AF20" s="368">
        <f>G354</f>
        <v/>
      </c>
      <c r="AG20" s="524">
        <f>AF20/AF19-1</f>
        <v/>
      </c>
      <c r="AH20" s="524" t="n"/>
      <c r="AI20" s="524" t="n"/>
      <c r="AJ20" s="524" t="n"/>
      <c r="AK20" s="524" t="n"/>
      <c r="AL20" s="368" t="n"/>
      <c r="AM20" s="368" t="n"/>
      <c r="AN20" s="524" t="n"/>
    </row>
    <row r="21">
      <c r="C21" s="503" t="n">
        <v>39994</v>
      </c>
      <c r="D21" s="368">
        <f>D376</f>
        <v/>
      </c>
      <c r="E21" s="368">
        <f>H376</f>
        <v/>
      </c>
      <c r="F21" s="524">
        <f>D21/D20-1</f>
        <v/>
      </c>
      <c r="G21" s="524">
        <f>D21/D18-1</f>
        <v/>
      </c>
      <c r="H21" s="524" t="n"/>
      <c r="I21" s="524" t="n"/>
      <c r="J21" s="524" t="n"/>
      <c r="K21" s="368" t="n"/>
      <c r="L21" s="525" t="n"/>
      <c r="M21" s="368">
        <f>E376</f>
        <v/>
      </c>
      <c r="N21" s="368">
        <f>I376</f>
        <v/>
      </c>
      <c r="O21" s="524">
        <f>M21/M20-1</f>
        <v/>
      </c>
      <c r="P21" s="524">
        <f>M21/M18-1</f>
        <v/>
      </c>
      <c r="Q21" s="524" t="n"/>
      <c r="R21" s="524" t="n"/>
      <c r="S21" s="524" t="n"/>
      <c r="T21" s="368" t="n"/>
      <c r="U21" s="525" t="n"/>
      <c r="V21" s="368">
        <f>F376</f>
        <v/>
      </c>
      <c r="W21" s="368">
        <f>J376</f>
        <v/>
      </c>
      <c r="X21" s="524">
        <f>V21/V20-1</f>
        <v/>
      </c>
      <c r="Y21" s="524">
        <f>V21/V18-1</f>
        <v/>
      </c>
      <c r="Z21" s="524" t="n"/>
      <c r="AA21" s="524" t="n"/>
      <c r="AB21" s="524" t="n"/>
      <c r="AC21" s="368" t="n"/>
      <c r="AD21" s="525" t="n"/>
      <c r="AE21" s="525" t="n"/>
      <c r="AF21" s="368">
        <f>G376</f>
        <v/>
      </c>
      <c r="AG21" s="524">
        <f>AF21/AF20-1</f>
        <v/>
      </c>
      <c r="AH21" s="524" t="n"/>
      <c r="AI21" s="524" t="n"/>
      <c r="AJ21" s="524" t="n"/>
      <c r="AK21" s="524" t="n"/>
      <c r="AL21" s="368" t="n"/>
      <c r="AM21" s="368" t="n"/>
      <c r="AN21" s="524" t="n"/>
    </row>
    <row r="22">
      <c r="C22" s="503" t="n">
        <v>40025</v>
      </c>
      <c r="D22" s="368">
        <f>D398</f>
        <v/>
      </c>
      <c r="E22" s="368">
        <f>H398</f>
        <v/>
      </c>
      <c r="F22" s="524">
        <f>D22/D21-1</f>
        <v/>
      </c>
      <c r="G22" s="524">
        <f>D22/D19-1</f>
        <v/>
      </c>
      <c r="H22" s="524">
        <f>D22/D16-1</f>
        <v/>
      </c>
      <c r="I22" s="524" t="n"/>
      <c r="J22" s="524" t="n"/>
      <c r="K22" s="368" t="n"/>
      <c r="L22" s="525" t="n"/>
      <c r="M22" s="368">
        <f>E398</f>
        <v/>
      </c>
      <c r="N22" s="368">
        <f>I398</f>
        <v/>
      </c>
      <c r="O22" s="524">
        <f>M22/M21-1</f>
        <v/>
      </c>
      <c r="P22" s="524">
        <f>M22/M19-1</f>
        <v/>
      </c>
      <c r="Q22" s="524">
        <f>M22/M16-1</f>
        <v/>
      </c>
      <c r="R22" s="524" t="n"/>
      <c r="S22" s="524" t="n"/>
      <c r="T22" s="368" t="n"/>
      <c r="U22" s="525" t="n"/>
      <c r="V22" s="368">
        <f>F398</f>
        <v/>
      </c>
      <c r="W22" s="368">
        <f>J398</f>
        <v/>
      </c>
      <c r="X22" s="524">
        <f>V22/V21-1</f>
        <v/>
      </c>
      <c r="Y22" s="524">
        <f>V22/V19-1</f>
        <v/>
      </c>
      <c r="Z22" s="524">
        <f>V22/V16-1</f>
        <v/>
      </c>
      <c r="AA22" s="524" t="n"/>
      <c r="AB22" s="524" t="n"/>
      <c r="AC22" s="368" t="n"/>
      <c r="AD22" s="525" t="n"/>
      <c r="AE22" s="525" t="n"/>
      <c r="AF22" s="368">
        <f>G398</f>
        <v/>
      </c>
      <c r="AG22" s="524">
        <f>AF22/AF21-1</f>
        <v/>
      </c>
      <c r="AH22" s="524" t="n"/>
      <c r="AI22" s="524" t="n"/>
      <c r="AJ22" s="524" t="n"/>
      <c r="AK22" s="524" t="n"/>
      <c r="AL22" s="368" t="n"/>
      <c r="AM22" s="368" t="n"/>
      <c r="AN22" s="524" t="n"/>
    </row>
    <row r="23">
      <c r="C23" s="503" t="n">
        <v>40056</v>
      </c>
      <c r="D23" s="368">
        <f>D419</f>
        <v/>
      </c>
      <c r="E23" s="368">
        <f>H419</f>
        <v/>
      </c>
      <c r="F23" s="524">
        <f>D23/D22-1</f>
        <v/>
      </c>
      <c r="G23" s="524">
        <f>D23/D20-1</f>
        <v/>
      </c>
      <c r="H23" s="524">
        <f>D23/D17-1</f>
        <v/>
      </c>
      <c r="I23" s="524" t="n"/>
      <c r="J23" s="524" t="n"/>
      <c r="K23" s="368" t="n"/>
      <c r="L23" s="525" t="n"/>
      <c r="M23" s="368">
        <f>E419</f>
        <v/>
      </c>
      <c r="N23" s="368">
        <f>I419</f>
        <v/>
      </c>
      <c r="O23" s="524">
        <f>M23/M22-1</f>
        <v/>
      </c>
      <c r="P23" s="524">
        <f>M23/M20-1</f>
        <v/>
      </c>
      <c r="Q23" s="524">
        <f>M23/M17-1</f>
        <v/>
      </c>
      <c r="R23" s="524" t="n"/>
      <c r="S23" s="524" t="n"/>
      <c r="T23" s="368" t="n"/>
      <c r="U23" s="525" t="n"/>
      <c r="V23" s="368">
        <f>F419</f>
        <v/>
      </c>
      <c r="W23" s="368">
        <f>J419</f>
        <v/>
      </c>
      <c r="X23" s="524">
        <f>V23/V22-1</f>
        <v/>
      </c>
      <c r="Y23" s="524">
        <f>V23/V20-1</f>
        <v/>
      </c>
      <c r="Z23" s="524">
        <f>V23/V17-1</f>
        <v/>
      </c>
      <c r="AA23" s="524" t="n"/>
      <c r="AB23" s="524" t="n"/>
      <c r="AC23" s="368" t="n"/>
      <c r="AD23" s="525" t="n"/>
      <c r="AE23" s="525" t="n"/>
      <c r="AF23" s="368">
        <f>G419</f>
        <v/>
      </c>
      <c r="AG23" s="524">
        <f>AF23/AF22-1</f>
        <v/>
      </c>
      <c r="AH23" s="524" t="n"/>
      <c r="AI23" s="524" t="n"/>
      <c r="AJ23" s="524" t="n"/>
      <c r="AK23" s="524" t="n"/>
      <c r="AL23" s="368" t="n"/>
      <c r="AM23" s="368" t="n"/>
      <c r="AN23" s="524" t="n"/>
    </row>
    <row r="24">
      <c r="C24" s="503" t="n">
        <v>40086</v>
      </c>
      <c r="D24" s="368">
        <f>D440</f>
        <v/>
      </c>
      <c r="E24" s="368">
        <f>H440</f>
        <v/>
      </c>
      <c r="F24" s="524">
        <f>D24/D23-1</f>
        <v/>
      </c>
      <c r="G24" s="524">
        <f>D24/D21-1</f>
        <v/>
      </c>
      <c r="H24" s="524">
        <f>D24/D18-1</f>
        <v/>
      </c>
      <c r="I24" s="524" t="n"/>
      <c r="J24" s="524" t="n"/>
      <c r="K24" s="368" t="n"/>
      <c r="L24" s="525" t="n"/>
      <c r="M24" s="368">
        <f>E440</f>
        <v/>
      </c>
      <c r="N24" s="368">
        <f>I440</f>
        <v/>
      </c>
      <c r="O24" s="524">
        <f>M24/M23-1</f>
        <v/>
      </c>
      <c r="P24" s="524">
        <f>M24/M21-1</f>
        <v/>
      </c>
      <c r="Q24" s="524">
        <f>M24/M18-1</f>
        <v/>
      </c>
      <c r="R24" s="524" t="n"/>
      <c r="S24" s="524" t="n"/>
      <c r="T24" s="368" t="n"/>
      <c r="U24" s="525" t="n"/>
      <c r="V24" s="368">
        <f>F440</f>
        <v/>
      </c>
      <c r="W24" s="368">
        <f>J440</f>
        <v/>
      </c>
      <c r="X24" s="524">
        <f>V24/V23-1</f>
        <v/>
      </c>
      <c r="Y24" s="524">
        <f>V24/V21-1</f>
        <v/>
      </c>
      <c r="Z24" s="524">
        <f>V24/V18-1</f>
        <v/>
      </c>
      <c r="AA24" s="524" t="n"/>
      <c r="AB24" s="524" t="n"/>
      <c r="AC24" s="368" t="n"/>
      <c r="AD24" s="525" t="n"/>
      <c r="AE24" s="525" t="n"/>
      <c r="AF24" s="368">
        <f>G440</f>
        <v/>
      </c>
      <c r="AG24" s="524">
        <f>AF24/AF23-1</f>
        <v/>
      </c>
      <c r="AH24" s="524" t="n"/>
      <c r="AI24" s="524" t="n"/>
      <c r="AJ24" s="524" t="n"/>
      <c r="AK24" s="524" t="n"/>
      <c r="AL24" s="368" t="n"/>
      <c r="AM24" s="368" t="n"/>
      <c r="AN24" s="524" t="n"/>
    </row>
    <row r="25">
      <c r="C25" s="503" t="n">
        <v>40117</v>
      </c>
      <c r="D25" s="368">
        <f>D462</f>
        <v/>
      </c>
      <c r="E25" s="368">
        <f>H462</f>
        <v/>
      </c>
      <c r="F25" s="524">
        <f>D25/D24-1</f>
        <v/>
      </c>
      <c r="G25" s="524">
        <f>D25/D22-1</f>
        <v/>
      </c>
      <c r="H25" s="524">
        <f>D25/D19-1</f>
        <v/>
      </c>
      <c r="I25" s="524" t="n"/>
      <c r="J25" s="524" t="n"/>
      <c r="K25" s="368" t="n"/>
      <c r="L25" s="525" t="n"/>
      <c r="M25" s="368">
        <f>E462</f>
        <v/>
      </c>
      <c r="N25" s="368">
        <f>I462</f>
        <v/>
      </c>
      <c r="O25" s="524">
        <f>M25/M24-1</f>
        <v/>
      </c>
      <c r="P25" s="524">
        <f>M25/M22-1</f>
        <v/>
      </c>
      <c r="Q25" s="524">
        <f>M25/M19-1</f>
        <v/>
      </c>
      <c r="R25" s="524" t="n"/>
      <c r="S25" s="524" t="n"/>
      <c r="T25" s="368" t="n"/>
      <c r="U25" s="525" t="n"/>
      <c r="V25" s="368">
        <f>F462</f>
        <v/>
      </c>
      <c r="W25" s="368">
        <f>J462</f>
        <v/>
      </c>
      <c r="X25" s="524">
        <f>V25/V24-1</f>
        <v/>
      </c>
      <c r="Y25" s="524">
        <f>V25/V22-1</f>
        <v/>
      </c>
      <c r="Z25" s="524">
        <f>V25/V19-1</f>
        <v/>
      </c>
      <c r="AA25" s="524" t="n"/>
      <c r="AB25" s="524" t="n"/>
      <c r="AC25" s="368" t="n"/>
      <c r="AD25" s="525" t="n"/>
      <c r="AE25" s="525" t="n"/>
      <c r="AF25" s="368">
        <f>G462</f>
        <v/>
      </c>
      <c r="AG25" s="524">
        <f>AF25/AF24-1</f>
        <v/>
      </c>
      <c r="AH25" s="524" t="n"/>
      <c r="AI25" s="524" t="n"/>
      <c r="AJ25" s="524" t="n"/>
      <c r="AK25" s="524" t="n"/>
      <c r="AL25" s="368" t="n"/>
      <c r="AM25" s="368" t="n"/>
      <c r="AN25" s="524" t="n"/>
    </row>
    <row r="26">
      <c r="C26" s="503" t="n">
        <v>40147</v>
      </c>
      <c r="D26" s="368">
        <f>D482</f>
        <v/>
      </c>
      <c r="E26" s="368">
        <f>H482</f>
        <v/>
      </c>
      <c r="F26" s="524">
        <f>D26/D25-1</f>
        <v/>
      </c>
      <c r="G26" s="524">
        <f>D26/D23-1</f>
        <v/>
      </c>
      <c r="H26" s="524">
        <f>D26/D20-1</f>
        <v/>
      </c>
      <c r="I26" s="524" t="n"/>
      <c r="J26" s="524" t="n"/>
      <c r="K26" s="368" t="n"/>
      <c r="L26" s="525" t="n"/>
      <c r="M26" s="368">
        <f>E482</f>
        <v/>
      </c>
      <c r="N26" s="368">
        <f>I482</f>
        <v/>
      </c>
      <c r="O26" s="524">
        <f>M26/M25-1</f>
        <v/>
      </c>
      <c r="P26" s="524">
        <f>M26/M23-1</f>
        <v/>
      </c>
      <c r="Q26" s="524">
        <f>M26/M20-1</f>
        <v/>
      </c>
      <c r="R26" s="524" t="n"/>
      <c r="S26" s="524" t="n"/>
      <c r="T26" s="368" t="n"/>
      <c r="U26" s="525" t="n"/>
      <c r="V26" s="368">
        <f>F482</f>
        <v/>
      </c>
      <c r="W26" s="368">
        <f>J482</f>
        <v/>
      </c>
      <c r="X26" s="524">
        <f>V26/V25-1</f>
        <v/>
      </c>
      <c r="Y26" s="524">
        <f>V26/V23-1</f>
        <v/>
      </c>
      <c r="Z26" s="524">
        <f>V26/V20-1</f>
        <v/>
      </c>
      <c r="AA26" s="524" t="n"/>
      <c r="AB26" s="524" t="n"/>
      <c r="AC26" s="368" t="n"/>
      <c r="AD26" s="525" t="n"/>
      <c r="AE26" s="525" t="n"/>
      <c r="AF26" s="368">
        <f>G482</f>
        <v/>
      </c>
      <c r="AG26" s="524">
        <f>AF26/AF25-1</f>
        <v/>
      </c>
      <c r="AH26" s="524" t="n"/>
      <c r="AI26" s="524" t="n"/>
      <c r="AJ26" s="524" t="n"/>
      <c r="AK26" s="524" t="n"/>
      <c r="AL26" s="368" t="n"/>
      <c r="AM26" s="368" t="n"/>
      <c r="AN26" s="524" t="n"/>
    </row>
    <row r="27">
      <c r="C27" s="503" t="n">
        <v>40178</v>
      </c>
      <c r="D27" s="368">
        <f>D504</f>
        <v/>
      </c>
      <c r="E27" s="368">
        <f>H504</f>
        <v/>
      </c>
      <c r="F27" s="524">
        <f>D27/D26-1</f>
        <v/>
      </c>
      <c r="G27" s="524">
        <f>D27/D24-1</f>
        <v/>
      </c>
      <c r="H27" s="524">
        <f>D27/D21-1</f>
        <v/>
      </c>
      <c r="I27" s="524" t="n"/>
      <c r="J27" s="524" t="n"/>
      <c r="K27" s="368" t="n"/>
      <c r="L27" s="525" t="n"/>
      <c r="M27" s="368">
        <f>E504</f>
        <v/>
      </c>
      <c r="N27" s="368">
        <f>I504</f>
        <v/>
      </c>
      <c r="O27" s="524">
        <f>M27/M26-1</f>
        <v/>
      </c>
      <c r="P27" s="524">
        <f>M27/M24-1</f>
        <v/>
      </c>
      <c r="Q27" s="524">
        <f>M27/M21-1</f>
        <v/>
      </c>
      <c r="R27" s="524" t="n"/>
      <c r="S27" s="524" t="n"/>
      <c r="T27" s="368" t="n"/>
      <c r="U27" s="525" t="n"/>
      <c r="V27" s="368">
        <f>F504</f>
        <v/>
      </c>
      <c r="W27" s="368">
        <f>J504</f>
        <v/>
      </c>
      <c r="X27" s="524">
        <f>V27/V26-1</f>
        <v/>
      </c>
      <c r="Y27" s="524">
        <f>V27/V24-1</f>
        <v/>
      </c>
      <c r="Z27" s="524">
        <f>V27/V21-1</f>
        <v/>
      </c>
      <c r="AA27" s="524" t="n"/>
      <c r="AB27" s="524" t="n"/>
      <c r="AC27" s="368" t="n"/>
      <c r="AD27" s="525" t="n"/>
      <c r="AE27" s="525" t="n"/>
      <c r="AF27" s="368">
        <f>G504</f>
        <v/>
      </c>
      <c r="AG27" s="524">
        <f>AF27/AF26-1</f>
        <v/>
      </c>
      <c r="AH27" s="524" t="n"/>
      <c r="AI27" s="524" t="n"/>
      <c r="AJ27" s="524" t="n"/>
      <c r="AK27" s="524" t="n"/>
      <c r="AL27" s="368" t="n"/>
      <c r="AM27" s="368" t="n"/>
      <c r="AN27" s="524" t="n"/>
    </row>
    <row r="28">
      <c r="C28" s="503" t="n">
        <v>40209</v>
      </c>
      <c r="D28" s="368">
        <f>D523</f>
        <v/>
      </c>
      <c r="E28" s="368">
        <f>H523</f>
        <v/>
      </c>
      <c r="F28" s="524">
        <f>D28/D27-1</f>
        <v/>
      </c>
      <c r="G28" s="524">
        <f>D28/D25-1</f>
        <v/>
      </c>
      <c r="H28" s="524">
        <f>D28/D22-1</f>
        <v/>
      </c>
      <c r="I28" s="524">
        <f>D28/D16-1</f>
        <v/>
      </c>
      <c r="J28" s="524">
        <f>STDEV.S(F17:F28)*SQRT(12)</f>
        <v/>
      </c>
      <c r="K28" s="368">
        <f>IF(AND(G28&gt;$P$6,H28&gt;$P$7,I28&gt;$P$8,D28&gt;E28,J28&lt;$P$10),1,0)</f>
        <v/>
      </c>
      <c r="L28" s="525">
        <f>IF(SUM(K28,T28,AC28)=0,0,K28/SUM(K28,T28,AC28))</f>
        <v/>
      </c>
      <c r="M28" s="368">
        <f>E523</f>
        <v/>
      </c>
      <c r="N28" s="368">
        <f>I523</f>
        <v/>
      </c>
      <c r="O28" s="524">
        <f>M28/M27-1</f>
        <v/>
      </c>
      <c r="P28" s="524">
        <f>M28/M25-1</f>
        <v/>
      </c>
      <c r="Q28" s="524">
        <f>M28/M22-1</f>
        <v/>
      </c>
      <c r="R28" s="524">
        <f>M28/M16-1</f>
        <v/>
      </c>
      <c r="S28" s="524">
        <f>STDEV.S(O17:O28)*SQRT(12)</f>
        <v/>
      </c>
      <c r="T28" s="368">
        <f>IF(AND(P28&gt;$P$6,Q28&gt;$P$7,R28&gt;$P$8,M28&gt;N28,S28&lt;$P$10),1,0)</f>
        <v/>
      </c>
      <c r="U28" s="525">
        <f>IF(SUM(K28,T28,AC28)=0,0,T28/SUM(K28,T28,AC28))</f>
        <v/>
      </c>
      <c r="V28" s="368">
        <f>F523</f>
        <v/>
      </c>
      <c r="W28" s="368">
        <f>J523</f>
        <v/>
      </c>
      <c r="X28" s="524">
        <f>V28/V27-1</f>
        <v/>
      </c>
      <c r="Y28" s="524">
        <f>V28/V25-1</f>
        <v/>
      </c>
      <c r="Z28" s="524">
        <f>V28/V22-1</f>
        <v/>
      </c>
      <c r="AA28" s="524">
        <f>V28/V16-1</f>
        <v/>
      </c>
      <c r="AB28" s="524">
        <f>STDEV.S(X17:X28)*SQRT(12)</f>
        <v/>
      </c>
      <c r="AC28" s="368">
        <f>IF(AND(Y28&gt;$P$6,Z28&gt;$P$7,AA28&gt;$P$8,V28&gt;W28,AB28&lt;$P$10),1,0)</f>
        <v/>
      </c>
      <c r="AD28" s="525">
        <f>IF(SUM(K28,T28,AC28)=0,0,AC28/SUM(K28,T28,AC28))</f>
        <v/>
      </c>
      <c r="AE28" s="525">
        <f>IF(SUM(K28,T28,AC28)=0,1,0)</f>
        <v/>
      </c>
      <c r="AF28" s="368">
        <f>G523</f>
        <v/>
      </c>
      <c r="AG28" s="524">
        <f>AF28/AF27-1</f>
        <v/>
      </c>
      <c r="AH28" s="524" t="n"/>
      <c r="AI28" s="524" t="n"/>
      <c r="AJ28" s="524" t="n"/>
      <c r="AK28" s="524" t="n"/>
      <c r="AL28" s="368" t="n"/>
      <c r="AM28" s="368" t="n"/>
      <c r="AN28" s="524" t="n"/>
    </row>
    <row r="29">
      <c r="C29" s="503" t="n">
        <v>40237</v>
      </c>
      <c r="D29" s="368">
        <f>D542</f>
        <v/>
      </c>
      <c r="E29" s="368">
        <f>H542</f>
        <v/>
      </c>
      <c r="F29" s="524">
        <f>D29/D28-1</f>
        <v/>
      </c>
      <c r="G29" s="524">
        <f>D29/D26-1</f>
        <v/>
      </c>
      <c r="H29" s="524">
        <f>D29/D23-1</f>
        <v/>
      </c>
      <c r="I29" s="524">
        <f>D29/D17-1</f>
        <v/>
      </c>
      <c r="J29" s="524">
        <f>STDEV.S(F18:F29)*SQRT(12)</f>
        <v/>
      </c>
      <c r="K29" s="368">
        <f>IF(AND(G29&gt;$P$6,H29&gt;$P$7,I29&gt;$P$8,D29&gt;E29,J29&lt;$P$10),1,0)</f>
        <v/>
      </c>
      <c r="L29" s="525">
        <f>IF(SUM(K29,T29,AC29)=0,0,K29/SUM(K29,T29,AC29))</f>
        <v/>
      </c>
      <c r="M29" s="368">
        <f>E542</f>
        <v/>
      </c>
      <c r="N29" s="368">
        <f>I542</f>
        <v/>
      </c>
      <c r="O29" s="524">
        <f>M29/M28-1</f>
        <v/>
      </c>
      <c r="P29" s="524">
        <f>M29/M26-1</f>
        <v/>
      </c>
      <c r="Q29" s="524">
        <f>M29/M23-1</f>
        <v/>
      </c>
      <c r="R29" s="524">
        <f>M29/M17-1</f>
        <v/>
      </c>
      <c r="S29" s="524">
        <f>STDEV.S(O18:O29)*SQRT(12)</f>
        <v/>
      </c>
      <c r="T29" s="368">
        <f>IF(AND(P29&gt;$P$6,Q29&gt;$P$7,R29&gt;$P$8,M29&gt;N29,S29&lt;$P$10),1,0)</f>
        <v/>
      </c>
      <c r="U29" s="525">
        <f>IF(SUM(K29,T29,AC29)=0,0,T29/SUM(K29,T29,AC29))</f>
        <v/>
      </c>
      <c r="V29" s="368">
        <f>F542</f>
        <v/>
      </c>
      <c r="W29" s="368">
        <f>J542</f>
        <v/>
      </c>
      <c r="X29" s="524">
        <f>V29/V28-1</f>
        <v/>
      </c>
      <c r="Y29" s="524">
        <f>V29/V26-1</f>
        <v/>
      </c>
      <c r="Z29" s="524">
        <f>V29/V23-1</f>
        <v/>
      </c>
      <c r="AA29" s="524">
        <f>V29/V17-1</f>
        <v/>
      </c>
      <c r="AB29" s="524">
        <f>STDEV.S(X18:X29)*SQRT(12)</f>
        <v/>
      </c>
      <c r="AC29" s="368">
        <f>IF(AND(Y29&gt;$P$6,Z29&gt;$P$7,AA29&gt;$P$8,V29&gt;W29,AB29&lt;$P$10),1,0)</f>
        <v/>
      </c>
      <c r="AD29" s="525">
        <f>IF(SUM(K29,T29,AC29)=0,0,AC29/SUM(K29,T29,AC29))</f>
        <v/>
      </c>
      <c r="AE29" s="525">
        <f>IF(SUM(K29,T29,AC29)=0,1,0)</f>
        <v/>
      </c>
      <c r="AF29" s="368">
        <f>G542</f>
        <v/>
      </c>
      <c r="AG29" s="524">
        <f>AF29/AF28-1</f>
        <v/>
      </c>
      <c r="AH29" s="524" t="n"/>
      <c r="AI29" s="524" t="n"/>
      <c r="AJ29" s="524" t="n"/>
      <c r="AK29" s="524" t="n"/>
      <c r="AL29" s="368" t="n"/>
      <c r="AM29" s="368" t="n"/>
      <c r="AN29" s="524" t="n"/>
    </row>
    <row r="30">
      <c r="C30" s="503" t="n">
        <v>40268</v>
      </c>
      <c r="D30" s="368">
        <f>D565</f>
        <v/>
      </c>
      <c r="E30" s="368">
        <f>H565</f>
        <v/>
      </c>
      <c r="F30" s="524">
        <f>D30/D29-1</f>
        <v/>
      </c>
      <c r="G30" s="524">
        <f>D30/D27-1</f>
        <v/>
      </c>
      <c r="H30" s="524">
        <f>D30/D24-1</f>
        <v/>
      </c>
      <c r="I30" s="524">
        <f>D30/D18-1</f>
        <v/>
      </c>
      <c r="J30" s="524">
        <f>STDEV.S(F19:F30)*SQRT(12)</f>
        <v/>
      </c>
      <c r="K30" s="368">
        <f>IF(AND(G30&gt;$P$6,H30&gt;$P$7,I30&gt;$P$8,D30&gt;E30,J30&lt;$P$10),1,0)</f>
        <v/>
      </c>
      <c r="L30" s="525">
        <f>IF(SUM(K30,T30,AC30)=0,0,K30/SUM(K30,T30,AC30))</f>
        <v/>
      </c>
      <c r="M30" s="368">
        <f>E565</f>
        <v/>
      </c>
      <c r="N30" s="368">
        <f>I565</f>
        <v/>
      </c>
      <c r="O30" s="524">
        <f>M30/M29-1</f>
        <v/>
      </c>
      <c r="P30" s="524">
        <f>M30/M27-1</f>
        <v/>
      </c>
      <c r="Q30" s="524">
        <f>M30/M24-1</f>
        <v/>
      </c>
      <c r="R30" s="524">
        <f>M30/M18-1</f>
        <v/>
      </c>
      <c r="S30" s="524">
        <f>STDEV.S(O19:O30)*SQRT(12)</f>
        <v/>
      </c>
      <c r="T30" s="368">
        <f>IF(AND(P30&gt;$P$6,Q30&gt;$P$7,R30&gt;$P$8,M30&gt;N30,S30&lt;$P$10),1,0)</f>
        <v/>
      </c>
      <c r="U30" s="525">
        <f>IF(SUM(K30,T30,AC30)=0,0,T30/SUM(K30,T30,AC30))</f>
        <v/>
      </c>
      <c r="V30" s="368">
        <f>F565</f>
        <v/>
      </c>
      <c r="W30" s="368">
        <f>J565</f>
        <v/>
      </c>
      <c r="X30" s="524">
        <f>V30/V29-1</f>
        <v/>
      </c>
      <c r="Y30" s="524">
        <f>V30/V27-1</f>
        <v/>
      </c>
      <c r="Z30" s="524">
        <f>V30/V24-1</f>
        <v/>
      </c>
      <c r="AA30" s="524">
        <f>V30/V18-1</f>
        <v/>
      </c>
      <c r="AB30" s="524">
        <f>STDEV.S(X19:X30)*SQRT(12)</f>
        <v/>
      </c>
      <c r="AC30" s="368">
        <f>IF(AND(Y30&gt;$P$6,Z30&gt;$P$7,AA30&gt;$P$8,V30&gt;W30,AB30&lt;$P$10),1,0)</f>
        <v/>
      </c>
      <c r="AD30" s="525">
        <f>IF(SUM(K30,T30,AC30)=0,0,AC30/SUM(K30,T30,AC30))</f>
        <v/>
      </c>
      <c r="AE30" s="525">
        <f>IF(SUM(K30,T30,AC30)=0,1,0)</f>
        <v/>
      </c>
      <c r="AF30" s="368">
        <f>G565</f>
        <v/>
      </c>
      <c r="AG30" s="524">
        <f>AF30/AF29-1</f>
        <v/>
      </c>
      <c r="AH30" s="524" t="n"/>
      <c r="AI30" s="524" t="n"/>
      <c r="AJ30" s="524" t="n"/>
      <c r="AK30" s="524" t="n"/>
      <c r="AL30" s="368" t="n"/>
      <c r="AM30" s="368" t="n"/>
      <c r="AN30" s="524" t="n"/>
    </row>
    <row r="31">
      <c r="C31" s="503" t="n">
        <v>40298</v>
      </c>
      <c r="D31" s="368">
        <f>D586</f>
        <v/>
      </c>
      <c r="E31" s="368">
        <f>H586</f>
        <v/>
      </c>
      <c r="F31" s="524">
        <f>D31/D30-1</f>
        <v/>
      </c>
      <c r="G31" s="524">
        <f>D31/D28-1</f>
        <v/>
      </c>
      <c r="H31" s="524">
        <f>D31/D25-1</f>
        <v/>
      </c>
      <c r="I31" s="524">
        <f>D31/D19-1</f>
        <v/>
      </c>
      <c r="J31" s="524">
        <f>STDEV.S(F20:F31)*SQRT(12)</f>
        <v/>
      </c>
      <c r="K31" s="368">
        <f>IF(AND(G31&gt;$P$6,H31&gt;$P$7,I31&gt;$P$8,D31&gt;E31,J31&lt;$P$10),1,0)</f>
        <v/>
      </c>
      <c r="L31" s="525">
        <f>IF(SUM(K31,T31,AC31)=0,0,K31/SUM(K31,T31,AC31))</f>
        <v/>
      </c>
      <c r="M31" s="368">
        <f>E586</f>
        <v/>
      </c>
      <c r="N31" s="368">
        <f>I586</f>
        <v/>
      </c>
      <c r="O31" s="524">
        <f>M31/M30-1</f>
        <v/>
      </c>
      <c r="P31" s="524">
        <f>M31/M28-1</f>
        <v/>
      </c>
      <c r="Q31" s="524">
        <f>M31/M25-1</f>
        <v/>
      </c>
      <c r="R31" s="524">
        <f>M31/M19-1</f>
        <v/>
      </c>
      <c r="S31" s="524">
        <f>STDEV.S(O20:O31)*SQRT(12)</f>
        <v/>
      </c>
      <c r="T31" s="368">
        <f>IF(AND(P31&gt;$P$6,Q31&gt;$P$7,R31&gt;$P$8,M31&gt;N31,S31&lt;$P$10),1,0)</f>
        <v/>
      </c>
      <c r="U31" s="525">
        <f>IF(SUM(K31,T31,AC31)=0,0,T31/SUM(K31,T31,AC31))</f>
        <v/>
      </c>
      <c r="V31" s="368">
        <f>F586</f>
        <v/>
      </c>
      <c r="W31" s="368">
        <f>J586</f>
        <v/>
      </c>
      <c r="X31" s="524">
        <f>V31/V30-1</f>
        <v/>
      </c>
      <c r="Y31" s="524">
        <f>V31/V28-1</f>
        <v/>
      </c>
      <c r="Z31" s="524">
        <f>V31/V25-1</f>
        <v/>
      </c>
      <c r="AA31" s="524">
        <f>V31/V19-1</f>
        <v/>
      </c>
      <c r="AB31" s="524">
        <f>STDEV.S(X20:X31)*SQRT(12)</f>
        <v/>
      </c>
      <c r="AC31" s="368">
        <f>IF(AND(Y31&gt;$P$6,Z31&gt;$P$7,AA31&gt;$P$8,V31&gt;W31,AB31&lt;$P$10),1,0)</f>
        <v/>
      </c>
      <c r="AD31" s="525">
        <f>IF(SUM(K31,T31,AC31)=0,0,AC31/SUM(K31,T31,AC31))</f>
        <v/>
      </c>
      <c r="AE31" s="525">
        <f>IF(SUM(K31,T31,AC31)=0,1,0)</f>
        <v/>
      </c>
      <c r="AF31" s="368">
        <f>G586</f>
        <v/>
      </c>
      <c r="AG31" s="524">
        <f>AF31/AF30-1</f>
        <v/>
      </c>
      <c r="AH31" s="524" t="n"/>
      <c r="AI31" s="524" t="n"/>
      <c r="AJ31" s="524" t="n"/>
      <c r="AK31" s="524" t="n"/>
      <c r="AL31" s="368" t="n"/>
      <c r="AM31" s="368" t="n"/>
      <c r="AN31" s="524" t="n"/>
    </row>
    <row r="32">
      <c r="C32" s="503" t="n">
        <v>40329</v>
      </c>
      <c r="D32" s="368">
        <f>D606</f>
        <v/>
      </c>
      <c r="E32" s="368">
        <f>H606</f>
        <v/>
      </c>
      <c r="F32" s="524">
        <f>D32/D31-1</f>
        <v/>
      </c>
      <c r="G32" s="524">
        <f>D32/D29-1</f>
        <v/>
      </c>
      <c r="H32" s="524">
        <f>D32/D26-1</f>
        <v/>
      </c>
      <c r="I32" s="524">
        <f>D32/D20-1</f>
        <v/>
      </c>
      <c r="J32" s="524">
        <f>STDEV.S(F21:F32)*SQRT(12)</f>
        <v/>
      </c>
      <c r="K32" s="368">
        <f>IF(AND(G32&gt;$P$6,H32&gt;$P$7,I32&gt;$P$8,D32&gt;E32,J32&lt;$P$10),1,0)</f>
        <v/>
      </c>
      <c r="L32" s="525">
        <f>IF(SUM(K32,T32,AC32)=0,0,K32/SUM(K32,T32,AC32))</f>
        <v/>
      </c>
      <c r="M32" s="368">
        <f>E606</f>
        <v/>
      </c>
      <c r="N32" s="368">
        <f>I606</f>
        <v/>
      </c>
      <c r="O32" s="524">
        <f>M32/M31-1</f>
        <v/>
      </c>
      <c r="P32" s="524">
        <f>M32/M29-1</f>
        <v/>
      </c>
      <c r="Q32" s="524">
        <f>M32/M26-1</f>
        <v/>
      </c>
      <c r="R32" s="524">
        <f>M32/M20-1</f>
        <v/>
      </c>
      <c r="S32" s="524">
        <f>STDEV.S(O21:O32)*SQRT(12)</f>
        <v/>
      </c>
      <c r="T32" s="368">
        <f>IF(AND(P32&gt;$P$6,Q32&gt;$P$7,R32&gt;$P$8,M32&gt;N32,S32&lt;$P$10),1,0)</f>
        <v/>
      </c>
      <c r="U32" s="525">
        <f>IF(SUM(K32,T32,AC32)=0,0,T32/SUM(K32,T32,AC32))</f>
        <v/>
      </c>
      <c r="V32" s="368">
        <f>F606</f>
        <v/>
      </c>
      <c r="W32" s="368">
        <f>J606</f>
        <v/>
      </c>
      <c r="X32" s="524">
        <f>V32/V31-1</f>
        <v/>
      </c>
      <c r="Y32" s="524">
        <f>V32/V29-1</f>
        <v/>
      </c>
      <c r="Z32" s="524">
        <f>V32/V26-1</f>
        <v/>
      </c>
      <c r="AA32" s="524">
        <f>V32/V20-1</f>
        <v/>
      </c>
      <c r="AB32" s="524">
        <f>STDEV.S(X21:X32)*SQRT(12)</f>
        <v/>
      </c>
      <c r="AC32" s="368">
        <f>IF(AND(Y32&gt;$P$6,Z32&gt;$P$7,AA32&gt;$P$8,V32&gt;W32,AB32&lt;$P$10),1,0)</f>
        <v/>
      </c>
      <c r="AD32" s="525">
        <f>IF(SUM(K32,T32,AC32)=0,0,AC32/SUM(K32,T32,AC32))</f>
        <v/>
      </c>
      <c r="AE32" s="525">
        <f>IF(SUM(K32,T32,AC32)=0,1,0)</f>
        <v/>
      </c>
      <c r="AF32" s="368">
        <f>G606</f>
        <v/>
      </c>
      <c r="AG32" s="524">
        <f>AF32/AF31-1</f>
        <v/>
      </c>
      <c r="AH32" s="524" t="n"/>
      <c r="AI32" s="524" t="n"/>
      <c r="AJ32" s="524" t="n"/>
      <c r="AK32" s="524" t="n"/>
      <c r="AL32" s="368" t="n"/>
      <c r="AM32" s="368" t="n"/>
      <c r="AN32" s="524" t="n"/>
    </row>
    <row r="33">
      <c r="C33" s="503" t="n">
        <v>40359</v>
      </c>
      <c r="D33" s="368">
        <f>D628</f>
        <v/>
      </c>
      <c r="E33" s="368">
        <f>H628</f>
        <v/>
      </c>
      <c r="F33" s="524">
        <f>D33/D32-1</f>
        <v/>
      </c>
      <c r="G33" s="524">
        <f>D33/D30-1</f>
        <v/>
      </c>
      <c r="H33" s="524">
        <f>D33/D27-1</f>
        <v/>
      </c>
      <c r="I33" s="524">
        <f>D33/D21-1</f>
        <v/>
      </c>
      <c r="J33" s="524">
        <f>STDEV.S(F22:F33)*SQRT(12)</f>
        <v/>
      </c>
      <c r="K33" s="368">
        <f>IF(AND(G33&gt;$P$6,H33&gt;$P$7,I33&gt;$P$8,D33&gt;E33,J33&lt;$P$10),1,0)</f>
        <v/>
      </c>
      <c r="L33" s="525">
        <f>IF(SUM(K33,T33,AC33)=0,0,K33/SUM(K33,T33,AC33))</f>
        <v/>
      </c>
      <c r="M33" s="368">
        <f>E628</f>
        <v/>
      </c>
      <c r="N33" s="368">
        <f>I628</f>
        <v/>
      </c>
      <c r="O33" s="524">
        <f>M33/M32-1</f>
        <v/>
      </c>
      <c r="P33" s="524">
        <f>M33/M30-1</f>
        <v/>
      </c>
      <c r="Q33" s="524">
        <f>M33/M27-1</f>
        <v/>
      </c>
      <c r="R33" s="524">
        <f>M33/M21-1</f>
        <v/>
      </c>
      <c r="S33" s="524">
        <f>STDEV.S(O22:O33)*SQRT(12)</f>
        <v/>
      </c>
      <c r="T33" s="368">
        <f>IF(AND(P33&gt;$P$6,Q33&gt;$P$7,R33&gt;$P$8,M33&gt;N33,S33&lt;$P$10),1,0)</f>
        <v/>
      </c>
      <c r="U33" s="525">
        <f>IF(SUM(K33,T33,AC33)=0,0,T33/SUM(K33,T33,AC33))</f>
        <v/>
      </c>
      <c r="V33" s="368">
        <f>F628</f>
        <v/>
      </c>
      <c r="W33" s="368">
        <f>J628</f>
        <v/>
      </c>
      <c r="X33" s="524">
        <f>V33/V32-1</f>
        <v/>
      </c>
      <c r="Y33" s="524">
        <f>V33/V30-1</f>
        <v/>
      </c>
      <c r="Z33" s="524">
        <f>V33/V27-1</f>
        <v/>
      </c>
      <c r="AA33" s="524">
        <f>V33/V21-1</f>
        <v/>
      </c>
      <c r="AB33" s="524">
        <f>STDEV.S(X22:X33)*SQRT(12)</f>
        <v/>
      </c>
      <c r="AC33" s="368">
        <f>IF(AND(Y33&gt;$P$6,Z33&gt;$P$7,AA33&gt;$P$8,V33&gt;W33,AB33&lt;$P$10),1,0)</f>
        <v/>
      </c>
      <c r="AD33" s="525">
        <f>IF(SUM(K33,T33,AC33)=0,0,AC33/SUM(K33,T33,AC33))</f>
        <v/>
      </c>
      <c r="AE33" s="525">
        <f>IF(SUM(K33,T33,AC33)=0,1,0)</f>
        <v/>
      </c>
      <c r="AF33" s="368">
        <f>G628</f>
        <v/>
      </c>
      <c r="AG33" s="524">
        <f>AF33/AF32-1</f>
        <v/>
      </c>
      <c r="AH33" s="524" t="n"/>
      <c r="AI33" s="524" t="n"/>
      <c r="AJ33" s="524" t="n"/>
      <c r="AK33" s="524" t="n"/>
      <c r="AL33" s="368" t="n"/>
      <c r="AM33" s="368" t="n"/>
      <c r="AN33" s="524" t="n"/>
    </row>
    <row r="34">
      <c r="C34" s="503" t="n">
        <v>40390</v>
      </c>
      <c r="D34" s="368">
        <f>D649</f>
        <v/>
      </c>
      <c r="E34" s="368">
        <f>H649</f>
        <v/>
      </c>
      <c r="F34" s="524">
        <f>D34/D33-1</f>
        <v/>
      </c>
      <c r="G34" s="524">
        <f>D34/D31-1</f>
        <v/>
      </c>
      <c r="H34" s="524">
        <f>D34/D28-1</f>
        <v/>
      </c>
      <c r="I34" s="524">
        <f>D34/D22-1</f>
        <v/>
      </c>
      <c r="J34" s="524">
        <f>STDEV.S(F23:F34)*SQRT(12)</f>
        <v/>
      </c>
      <c r="K34" s="368">
        <f>IF(AND(G34&gt;$P$6,H34&gt;$P$7,I34&gt;$P$8,D34&gt;E34,J34&lt;$P$10),1,0)</f>
        <v/>
      </c>
      <c r="L34" s="525">
        <f>IF(SUM(K34,T34,AC34)=0,0,K34/SUM(K34,T34,AC34))</f>
        <v/>
      </c>
      <c r="M34" s="368">
        <f>E649</f>
        <v/>
      </c>
      <c r="N34" s="368">
        <f>I649</f>
        <v/>
      </c>
      <c r="O34" s="524">
        <f>M34/M33-1</f>
        <v/>
      </c>
      <c r="P34" s="524">
        <f>M34/M31-1</f>
        <v/>
      </c>
      <c r="Q34" s="524">
        <f>M34/M28-1</f>
        <v/>
      </c>
      <c r="R34" s="524">
        <f>M34/M22-1</f>
        <v/>
      </c>
      <c r="S34" s="524">
        <f>STDEV.S(O23:O34)*SQRT(12)</f>
        <v/>
      </c>
      <c r="T34" s="368">
        <f>IF(AND(P34&gt;$P$6,Q34&gt;$P$7,R34&gt;$P$8,M34&gt;N34,S34&lt;$P$10),1,0)</f>
        <v/>
      </c>
      <c r="U34" s="525">
        <f>IF(SUM(K34,T34,AC34)=0,0,T34/SUM(K34,T34,AC34))</f>
        <v/>
      </c>
      <c r="V34" s="368">
        <f>F649</f>
        <v/>
      </c>
      <c r="W34" s="368">
        <f>J649</f>
        <v/>
      </c>
      <c r="X34" s="524">
        <f>V34/V33-1</f>
        <v/>
      </c>
      <c r="Y34" s="524">
        <f>V34/V31-1</f>
        <v/>
      </c>
      <c r="Z34" s="524">
        <f>V34/V28-1</f>
        <v/>
      </c>
      <c r="AA34" s="524">
        <f>V34/V22-1</f>
        <v/>
      </c>
      <c r="AB34" s="524">
        <f>STDEV.S(X23:X34)*SQRT(12)</f>
        <v/>
      </c>
      <c r="AC34" s="368">
        <f>IF(AND(Y34&gt;$P$6,Z34&gt;$P$7,AA34&gt;$P$8,V34&gt;W34,AB34&lt;$P$10),1,0)</f>
        <v/>
      </c>
      <c r="AD34" s="525">
        <f>IF(SUM(K34,T34,AC34)=0,0,AC34/SUM(K34,T34,AC34))</f>
        <v/>
      </c>
      <c r="AE34" s="525">
        <f>IF(SUM(K34,T34,AC34)=0,1,0)</f>
        <v/>
      </c>
      <c r="AF34" s="368">
        <f>G649</f>
        <v/>
      </c>
      <c r="AG34" s="524">
        <f>AF34/AF33-1</f>
        <v/>
      </c>
      <c r="AH34" s="524" t="n"/>
      <c r="AI34" s="524" t="n"/>
      <c r="AJ34" s="524" t="n"/>
      <c r="AK34" s="524" t="n"/>
      <c r="AL34" s="368" t="n"/>
      <c r="AM34" s="368" t="n"/>
      <c r="AN34" s="524" t="n"/>
    </row>
    <row r="35">
      <c r="C35" s="503" t="n">
        <v>40421</v>
      </c>
      <c r="D35" s="368">
        <f>D671</f>
        <v/>
      </c>
      <c r="E35" s="368">
        <f>H671</f>
        <v/>
      </c>
      <c r="F35" s="524">
        <f>D35/D34-1</f>
        <v/>
      </c>
      <c r="G35" s="524">
        <f>D35/D32-1</f>
        <v/>
      </c>
      <c r="H35" s="524">
        <f>D35/D29-1</f>
        <v/>
      </c>
      <c r="I35" s="524">
        <f>D35/D23-1</f>
        <v/>
      </c>
      <c r="J35" s="524">
        <f>STDEV.S(F24:F35)*SQRT(12)</f>
        <v/>
      </c>
      <c r="K35" s="368">
        <f>IF(AND(G35&gt;$P$6,H35&gt;$P$7,I35&gt;$P$8,D35&gt;E35,J35&lt;$P$10),1,0)</f>
        <v/>
      </c>
      <c r="L35" s="525">
        <f>IF(SUM(K35,T35,AC35)=0,0,K35/SUM(K35,T35,AC35))</f>
        <v/>
      </c>
      <c r="M35" s="368">
        <f>E671</f>
        <v/>
      </c>
      <c r="N35" s="368">
        <f>I671</f>
        <v/>
      </c>
      <c r="O35" s="524">
        <f>M35/M34-1</f>
        <v/>
      </c>
      <c r="P35" s="524">
        <f>M35/M32-1</f>
        <v/>
      </c>
      <c r="Q35" s="524">
        <f>M35/M29-1</f>
        <v/>
      </c>
      <c r="R35" s="524">
        <f>M35/M23-1</f>
        <v/>
      </c>
      <c r="S35" s="524">
        <f>STDEV.S(O24:O35)*SQRT(12)</f>
        <v/>
      </c>
      <c r="T35" s="368">
        <f>IF(AND(P35&gt;$P$6,Q35&gt;$P$7,R35&gt;$P$8,M35&gt;N35,S35&lt;$P$10),1,0)</f>
        <v/>
      </c>
      <c r="U35" s="525">
        <f>IF(SUM(K35,T35,AC35)=0,0,T35/SUM(K35,T35,AC35))</f>
        <v/>
      </c>
      <c r="V35" s="368">
        <f>F671</f>
        <v/>
      </c>
      <c r="W35" s="368">
        <f>J671</f>
        <v/>
      </c>
      <c r="X35" s="524">
        <f>V35/V34-1</f>
        <v/>
      </c>
      <c r="Y35" s="524">
        <f>V35/V32-1</f>
        <v/>
      </c>
      <c r="Z35" s="524">
        <f>V35/V29-1</f>
        <v/>
      </c>
      <c r="AA35" s="524">
        <f>V35/V23-1</f>
        <v/>
      </c>
      <c r="AB35" s="524">
        <f>STDEV.S(X24:X35)*SQRT(12)</f>
        <v/>
      </c>
      <c r="AC35" s="368">
        <f>IF(AND(Y35&gt;$P$6,Z35&gt;$P$7,AA35&gt;$P$8,V35&gt;W35,AB35&lt;$P$10),1,0)</f>
        <v/>
      </c>
      <c r="AD35" s="525">
        <f>IF(SUM(K35,T35,AC35)=0,0,AC35/SUM(K35,T35,AC35))</f>
        <v/>
      </c>
      <c r="AE35" s="525">
        <f>IF(SUM(K35,T35,AC35)=0,1,0)</f>
        <v/>
      </c>
      <c r="AF35" s="368">
        <f>G671</f>
        <v/>
      </c>
      <c r="AG35" s="524">
        <f>AF35/AF34-1</f>
        <v/>
      </c>
      <c r="AH35" s="524" t="n"/>
      <c r="AI35" s="524" t="n"/>
      <c r="AJ35" s="524" t="n"/>
      <c r="AK35" s="524" t="n"/>
      <c r="AL35" s="368" t="n"/>
      <c r="AM35" s="368" t="n"/>
      <c r="AN35" s="524" t="n"/>
    </row>
    <row r="36">
      <c r="C36" s="503" t="n">
        <v>40451</v>
      </c>
      <c r="D36" s="368">
        <f>D692</f>
        <v/>
      </c>
      <c r="E36" s="368">
        <f>H692</f>
        <v/>
      </c>
      <c r="F36" s="524">
        <f>D36/D35-1</f>
        <v/>
      </c>
      <c r="G36" s="524">
        <f>D36/D33-1</f>
        <v/>
      </c>
      <c r="H36" s="524">
        <f>D36/D30-1</f>
        <v/>
      </c>
      <c r="I36" s="524">
        <f>D36/D24-1</f>
        <v/>
      </c>
      <c r="J36" s="524">
        <f>STDEV.S(F25:F36)*SQRT(12)</f>
        <v/>
      </c>
      <c r="K36" s="368">
        <f>IF(AND(G36&gt;$P$6,H36&gt;$P$7,I36&gt;$P$8,D36&gt;E36,J36&lt;$P$10),1,0)</f>
        <v/>
      </c>
      <c r="L36" s="525">
        <f>IF(SUM(K36,T36,AC36)=0,0,K36/SUM(K36,T36,AC36))</f>
        <v/>
      </c>
      <c r="M36" s="368">
        <f>E692</f>
        <v/>
      </c>
      <c r="N36" s="368">
        <f>I692</f>
        <v/>
      </c>
      <c r="O36" s="524">
        <f>M36/M35-1</f>
        <v/>
      </c>
      <c r="P36" s="524">
        <f>M36/M33-1</f>
        <v/>
      </c>
      <c r="Q36" s="524">
        <f>M36/M30-1</f>
        <v/>
      </c>
      <c r="R36" s="524">
        <f>M36/M24-1</f>
        <v/>
      </c>
      <c r="S36" s="524">
        <f>STDEV.S(O25:O36)*SQRT(12)</f>
        <v/>
      </c>
      <c r="T36" s="368">
        <f>IF(AND(P36&gt;$P$6,Q36&gt;$P$7,R36&gt;$P$8,M36&gt;N36,S36&lt;$P$10),1,0)</f>
        <v/>
      </c>
      <c r="U36" s="525">
        <f>IF(SUM(K36,T36,AC36)=0,0,T36/SUM(K36,T36,AC36))</f>
        <v/>
      </c>
      <c r="V36" s="368">
        <f>F692</f>
        <v/>
      </c>
      <c r="W36" s="368">
        <f>J692</f>
        <v/>
      </c>
      <c r="X36" s="524">
        <f>V36/V35-1</f>
        <v/>
      </c>
      <c r="Y36" s="524">
        <f>V36/V33-1</f>
        <v/>
      </c>
      <c r="Z36" s="524">
        <f>V36/V30-1</f>
        <v/>
      </c>
      <c r="AA36" s="524">
        <f>V36/V24-1</f>
        <v/>
      </c>
      <c r="AB36" s="524">
        <f>STDEV.S(X25:X36)*SQRT(12)</f>
        <v/>
      </c>
      <c r="AC36" s="368">
        <f>IF(AND(Y36&gt;$P$6,Z36&gt;$P$7,AA36&gt;$P$8,V36&gt;W36,AB36&lt;$P$10),1,0)</f>
        <v/>
      </c>
      <c r="AD36" s="525">
        <f>IF(SUM(K36,T36,AC36)=0,0,AC36/SUM(K36,T36,AC36))</f>
        <v/>
      </c>
      <c r="AE36" s="525">
        <f>IF(SUM(K36,T36,AC36)=0,1,0)</f>
        <v/>
      </c>
      <c r="AF36" s="368">
        <f>G692</f>
        <v/>
      </c>
      <c r="AG36" s="524">
        <f>AF36/AF35-1</f>
        <v/>
      </c>
      <c r="AH36" s="524" t="n"/>
      <c r="AI36" s="524" t="n"/>
      <c r="AJ36" s="524" t="n"/>
      <c r="AK36" s="524" t="n"/>
      <c r="AL36" s="368" t="n"/>
      <c r="AM36" s="368" t="n"/>
      <c r="AN36" s="524" t="n"/>
    </row>
    <row r="37">
      <c r="C37" s="503" t="n">
        <v>40482</v>
      </c>
      <c r="D37" s="368">
        <f>D713</f>
        <v/>
      </c>
      <c r="E37" s="368">
        <f>H713</f>
        <v/>
      </c>
      <c r="F37" s="524">
        <f>D37/D36-1</f>
        <v/>
      </c>
      <c r="G37" s="524">
        <f>D37/D34-1</f>
        <v/>
      </c>
      <c r="H37" s="524">
        <f>D37/D31-1</f>
        <v/>
      </c>
      <c r="I37" s="524">
        <f>D37/D25-1</f>
        <v/>
      </c>
      <c r="J37" s="524">
        <f>STDEV.S(F26:F37)*SQRT(12)</f>
        <v/>
      </c>
      <c r="K37" s="368">
        <f>IF(AND(G37&gt;$P$6,H37&gt;$P$7,I37&gt;$P$8,D37&gt;E37,J37&lt;$P$10),1,0)</f>
        <v/>
      </c>
      <c r="L37" s="525">
        <f>IF(SUM(K37,T37,AC37)=0,0,K37/SUM(K37,T37,AC37))</f>
        <v/>
      </c>
      <c r="M37" s="368">
        <f>E713</f>
        <v/>
      </c>
      <c r="N37" s="368">
        <f>I713</f>
        <v/>
      </c>
      <c r="O37" s="524">
        <f>M37/M36-1</f>
        <v/>
      </c>
      <c r="P37" s="524">
        <f>M37/M34-1</f>
        <v/>
      </c>
      <c r="Q37" s="524">
        <f>M37/M31-1</f>
        <v/>
      </c>
      <c r="R37" s="524">
        <f>M37/M25-1</f>
        <v/>
      </c>
      <c r="S37" s="524">
        <f>STDEV.S(O26:O37)*SQRT(12)</f>
        <v/>
      </c>
      <c r="T37" s="368">
        <f>IF(AND(P37&gt;$P$6,Q37&gt;$P$7,R37&gt;$P$8,M37&gt;N37,S37&lt;$P$10),1,0)</f>
        <v/>
      </c>
      <c r="U37" s="525">
        <f>IF(SUM(K37,T37,AC37)=0,0,T37/SUM(K37,T37,AC37))</f>
        <v/>
      </c>
      <c r="V37" s="368">
        <f>F713</f>
        <v/>
      </c>
      <c r="W37" s="368">
        <f>J713</f>
        <v/>
      </c>
      <c r="X37" s="524">
        <f>V37/V36-1</f>
        <v/>
      </c>
      <c r="Y37" s="524">
        <f>V37/V34-1</f>
        <v/>
      </c>
      <c r="Z37" s="524">
        <f>V37/V31-1</f>
        <v/>
      </c>
      <c r="AA37" s="524">
        <f>V37/V25-1</f>
        <v/>
      </c>
      <c r="AB37" s="524">
        <f>STDEV.S(X26:X37)*SQRT(12)</f>
        <v/>
      </c>
      <c r="AC37" s="368">
        <f>IF(AND(Y37&gt;$P$6,Z37&gt;$P$7,AA37&gt;$P$8,V37&gt;W37,AB37&lt;$P$10),1,0)</f>
        <v/>
      </c>
      <c r="AD37" s="525">
        <f>IF(SUM(K37,T37,AC37)=0,0,AC37/SUM(K37,T37,AC37))</f>
        <v/>
      </c>
      <c r="AE37" s="525">
        <f>IF(SUM(K37,T37,AC37)=0,1,0)</f>
        <v/>
      </c>
      <c r="AF37" s="368">
        <f>G713</f>
        <v/>
      </c>
      <c r="AG37" s="524">
        <f>AF37/AF36-1</f>
        <v/>
      </c>
      <c r="AH37" s="524" t="n"/>
      <c r="AI37" s="524" t="n"/>
      <c r="AJ37" s="524" t="n"/>
      <c r="AK37" s="524" t="n"/>
      <c r="AL37" s="368" t="n"/>
      <c r="AM37" s="368" t="n"/>
      <c r="AN37" s="524" t="n"/>
    </row>
    <row r="38">
      <c r="C38" s="503" t="n">
        <v>40512</v>
      </c>
      <c r="D38" s="368">
        <f>D734</f>
        <v/>
      </c>
      <c r="E38" s="368">
        <f>H734</f>
        <v/>
      </c>
      <c r="F38" s="524">
        <f>D38/D37-1</f>
        <v/>
      </c>
      <c r="G38" s="524">
        <f>D38/D35-1</f>
        <v/>
      </c>
      <c r="H38" s="524">
        <f>D38/D32-1</f>
        <v/>
      </c>
      <c r="I38" s="524">
        <f>D38/D26-1</f>
        <v/>
      </c>
      <c r="J38" s="524">
        <f>STDEV.S(F27:F38)*SQRT(12)</f>
        <v/>
      </c>
      <c r="K38" s="368">
        <f>IF(AND(G38&gt;$P$6,H38&gt;$P$7,I38&gt;$P$8,D38&gt;E38,J38&lt;$P$10),1,0)</f>
        <v/>
      </c>
      <c r="L38" s="525">
        <f>IF(SUM(K38,T38,AC38)=0,0,K38/SUM(K38,T38,AC38))</f>
        <v/>
      </c>
      <c r="M38" s="368">
        <f>E734</f>
        <v/>
      </c>
      <c r="N38" s="368">
        <f>I734</f>
        <v/>
      </c>
      <c r="O38" s="524">
        <f>M38/M37-1</f>
        <v/>
      </c>
      <c r="P38" s="524">
        <f>M38/M35-1</f>
        <v/>
      </c>
      <c r="Q38" s="524">
        <f>M38/M32-1</f>
        <v/>
      </c>
      <c r="R38" s="524">
        <f>M38/M26-1</f>
        <v/>
      </c>
      <c r="S38" s="524">
        <f>STDEV.S(O27:O38)*SQRT(12)</f>
        <v/>
      </c>
      <c r="T38" s="368">
        <f>IF(AND(P38&gt;$P$6,Q38&gt;$P$7,R38&gt;$P$8,M38&gt;N38,S38&lt;$P$10),1,0)</f>
        <v/>
      </c>
      <c r="U38" s="525">
        <f>IF(SUM(K38,T38,AC38)=0,0,T38/SUM(K38,T38,AC38))</f>
        <v/>
      </c>
      <c r="V38" s="368">
        <f>F734</f>
        <v/>
      </c>
      <c r="W38" s="368">
        <f>J734</f>
        <v/>
      </c>
      <c r="X38" s="524">
        <f>V38/V37-1</f>
        <v/>
      </c>
      <c r="Y38" s="524">
        <f>V38/V35-1</f>
        <v/>
      </c>
      <c r="Z38" s="524">
        <f>V38/V32-1</f>
        <v/>
      </c>
      <c r="AA38" s="524">
        <f>V38/V26-1</f>
        <v/>
      </c>
      <c r="AB38" s="524">
        <f>STDEV.S(X27:X38)*SQRT(12)</f>
        <v/>
      </c>
      <c r="AC38" s="368">
        <f>IF(AND(Y38&gt;$P$6,Z38&gt;$P$7,AA38&gt;$P$8,V38&gt;W38,AB38&lt;$P$10),1,0)</f>
        <v/>
      </c>
      <c r="AD38" s="525">
        <f>IF(SUM(K38,T38,AC38)=0,0,AC38/SUM(K38,T38,AC38))</f>
        <v/>
      </c>
      <c r="AE38" s="525">
        <f>IF(SUM(K38,T38,AC38)=0,1,0)</f>
        <v/>
      </c>
      <c r="AF38" s="368">
        <f>G734</f>
        <v/>
      </c>
      <c r="AG38" s="524">
        <f>AF38/AF37-1</f>
        <v/>
      </c>
      <c r="AH38" s="524" t="n"/>
      <c r="AI38" s="524" t="n"/>
      <c r="AJ38" s="524" t="n"/>
      <c r="AK38" s="524" t="n"/>
      <c r="AL38" s="368" t="n"/>
      <c r="AM38" s="368" t="n"/>
      <c r="AN38" s="524" t="n"/>
    </row>
    <row r="39">
      <c r="C39" s="503" t="n">
        <v>40543</v>
      </c>
      <c r="D39" s="368">
        <f>D756</f>
        <v/>
      </c>
      <c r="E39" s="368">
        <f>H756</f>
        <v/>
      </c>
      <c r="F39" s="524">
        <f>D39/D38-1</f>
        <v/>
      </c>
      <c r="G39" s="524">
        <f>D39/D36-1</f>
        <v/>
      </c>
      <c r="H39" s="524">
        <f>D39/D33-1</f>
        <v/>
      </c>
      <c r="I39" s="524">
        <f>D39/D27-1</f>
        <v/>
      </c>
      <c r="J39" s="524">
        <f>STDEV.S(F28:F39)*SQRT(12)</f>
        <v/>
      </c>
      <c r="K39" s="368">
        <f>IF(AND(G39&gt;$P$6,H39&gt;$P$7,I39&gt;$P$8,D39&gt;E39,J39&lt;$P$10),1,0)</f>
        <v/>
      </c>
      <c r="L39" s="525">
        <f>IF(SUM(K39,T39,AC39)=0,0,K39/SUM(K39,T39,AC39))</f>
        <v/>
      </c>
      <c r="M39" s="368">
        <f>E756</f>
        <v/>
      </c>
      <c r="N39" s="368">
        <f>I756</f>
        <v/>
      </c>
      <c r="O39" s="524">
        <f>M39/M38-1</f>
        <v/>
      </c>
      <c r="P39" s="524">
        <f>M39/M36-1</f>
        <v/>
      </c>
      <c r="Q39" s="524">
        <f>M39/M33-1</f>
        <v/>
      </c>
      <c r="R39" s="524">
        <f>M39/M27-1</f>
        <v/>
      </c>
      <c r="S39" s="524">
        <f>STDEV.S(O28:O39)*SQRT(12)</f>
        <v/>
      </c>
      <c r="T39" s="368">
        <f>IF(AND(P39&gt;$P$6,Q39&gt;$P$7,R39&gt;$P$8,M39&gt;N39,S39&lt;$P$10),1,0)</f>
        <v/>
      </c>
      <c r="U39" s="525">
        <f>IF(SUM(K39,T39,AC39)=0,0,T39/SUM(K39,T39,AC39))</f>
        <v/>
      </c>
      <c r="V39" s="368">
        <f>F756</f>
        <v/>
      </c>
      <c r="W39" s="368">
        <f>J756</f>
        <v/>
      </c>
      <c r="X39" s="524">
        <f>V39/V38-1</f>
        <v/>
      </c>
      <c r="Y39" s="524">
        <f>V39/V36-1</f>
        <v/>
      </c>
      <c r="Z39" s="524">
        <f>V39/V33-1</f>
        <v/>
      </c>
      <c r="AA39" s="524">
        <f>V39/V27-1</f>
        <v/>
      </c>
      <c r="AB39" s="524">
        <f>STDEV.S(X28:X39)*SQRT(12)</f>
        <v/>
      </c>
      <c r="AC39" s="368">
        <f>IF(AND(Y39&gt;$P$6,Z39&gt;$P$7,AA39&gt;$P$8,V39&gt;W39,AB39&lt;$P$10),1,0)</f>
        <v/>
      </c>
      <c r="AD39" s="525">
        <f>IF(SUM(K39,T39,AC39)=0,0,AC39/SUM(K39,T39,AC39))</f>
        <v/>
      </c>
      <c r="AE39" s="525">
        <f>IF(SUM(K39,T39,AC39)=0,1,0)</f>
        <v/>
      </c>
      <c r="AF39" s="368">
        <f>G756</f>
        <v/>
      </c>
      <c r="AG39" s="524">
        <f>AF39/AF38-1</f>
        <v/>
      </c>
      <c r="AH39" s="524" t="n"/>
      <c r="AI39" s="524" t="n"/>
      <c r="AJ39" s="524" t="n"/>
      <c r="AK39" s="524" t="n"/>
      <c r="AL39" s="368" t="n"/>
      <c r="AM39" s="368" t="n"/>
      <c r="AN39" s="524" t="n"/>
    </row>
    <row r="40">
      <c r="C40" s="503" t="n">
        <v>40574</v>
      </c>
      <c r="D40" s="368">
        <f>D776</f>
        <v/>
      </c>
      <c r="E40" s="368">
        <f>H776</f>
        <v/>
      </c>
      <c r="F40" s="524">
        <f>D40/D39-1</f>
        <v/>
      </c>
      <c r="G40" s="524">
        <f>D40/D37-1</f>
        <v/>
      </c>
      <c r="H40" s="524">
        <f>D40/D34-1</f>
        <v/>
      </c>
      <c r="I40" s="524">
        <f>D40/D28-1</f>
        <v/>
      </c>
      <c r="J40" s="524">
        <f>STDEV.S(F29:F40)*SQRT(12)</f>
        <v/>
      </c>
      <c r="K40" s="368">
        <f>IF(AND(G40&gt;$P$6,H40&gt;$P$7,I40&gt;$P$8,D40&gt;E40,J40&lt;$P$10),1,0)</f>
        <v/>
      </c>
      <c r="L40" s="525">
        <f>IF(SUM(K40,T40,AC40)=0,0,K40/SUM(K40,T40,AC40))</f>
        <v/>
      </c>
      <c r="M40" s="368">
        <f>E776</f>
        <v/>
      </c>
      <c r="N40" s="368">
        <f>I776</f>
        <v/>
      </c>
      <c r="O40" s="524">
        <f>M40/M39-1</f>
        <v/>
      </c>
      <c r="P40" s="524">
        <f>M40/M37-1</f>
        <v/>
      </c>
      <c r="Q40" s="524">
        <f>M40/M34-1</f>
        <v/>
      </c>
      <c r="R40" s="524">
        <f>M40/M28-1</f>
        <v/>
      </c>
      <c r="S40" s="524">
        <f>STDEV.S(O29:O40)*SQRT(12)</f>
        <v/>
      </c>
      <c r="T40" s="368">
        <f>IF(AND(P40&gt;$P$6,Q40&gt;$P$7,R40&gt;$P$8,M40&gt;N40,S40&lt;$P$10),1,0)</f>
        <v/>
      </c>
      <c r="U40" s="525">
        <f>IF(SUM(K40,T40,AC40)=0,0,T40/SUM(K40,T40,AC40))</f>
        <v/>
      </c>
      <c r="V40" s="368">
        <f>F776</f>
        <v/>
      </c>
      <c r="W40" s="368">
        <f>J776</f>
        <v/>
      </c>
      <c r="X40" s="524">
        <f>V40/V39-1</f>
        <v/>
      </c>
      <c r="Y40" s="524">
        <f>V40/V37-1</f>
        <v/>
      </c>
      <c r="Z40" s="524">
        <f>V40/V34-1</f>
        <v/>
      </c>
      <c r="AA40" s="524">
        <f>V40/V28-1</f>
        <v/>
      </c>
      <c r="AB40" s="524">
        <f>STDEV.S(X29:X40)*SQRT(12)</f>
        <v/>
      </c>
      <c r="AC40" s="368">
        <f>IF(AND(Y40&gt;$P$6,Z40&gt;$P$7,AA40&gt;$P$8,V40&gt;W40,AB40&lt;$P$10),1,0)</f>
        <v/>
      </c>
      <c r="AD40" s="525">
        <f>IF(SUM(K40,T40,AC40)=0,0,AC40/SUM(K40,T40,AC40))</f>
        <v/>
      </c>
      <c r="AE40" s="525">
        <f>IF(SUM(K40,T40,AC40)=0,1,0)</f>
        <v/>
      </c>
      <c r="AF40" s="368">
        <f>G776</f>
        <v/>
      </c>
      <c r="AG40" s="524">
        <f>AF40/AF39-1</f>
        <v/>
      </c>
      <c r="AH40" s="524" t="n"/>
      <c r="AI40" s="524" t="n"/>
      <c r="AJ40" s="524" t="n"/>
      <c r="AK40" s="524" t="n"/>
      <c r="AL40" s="368" t="n">
        <v>100</v>
      </c>
      <c r="AM40" s="368" t="n">
        <v>100</v>
      </c>
      <c r="AN40" s="524" t="n">
        <v>0</v>
      </c>
    </row>
    <row r="41">
      <c r="C41" s="503" t="n">
        <v>40602</v>
      </c>
      <c r="D41" s="368">
        <f>D795</f>
        <v/>
      </c>
      <c r="E41" s="368">
        <f>H795</f>
        <v/>
      </c>
      <c r="F41" s="524">
        <f>D41/D40-1</f>
        <v/>
      </c>
      <c r="G41" s="524">
        <f>D41/D38-1</f>
        <v/>
      </c>
      <c r="H41" s="524">
        <f>D41/D35-1</f>
        <v/>
      </c>
      <c r="I41" s="524">
        <f>D41/D29-1</f>
        <v/>
      </c>
      <c r="J41" s="524">
        <f>STDEV.S(F30:F41)*SQRT(12)</f>
        <v/>
      </c>
      <c r="K41" s="368">
        <f>IF(AND(G41&gt;$P$6,H41&gt;$P$7,I41&gt;$P$8,D41&gt;E41,J41&lt;$P$10),1,0)</f>
        <v/>
      </c>
      <c r="L41" s="525">
        <f>IF(SUM(K41,T41,AC41)=0,0,K41/SUM(K41,T41,AC41))</f>
        <v/>
      </c>
      <c r="M41" s="368">
        <f>E795</f>
        <v/>
      </c>
      <c r="N41" s="368">
        <f>I795</f>
        <v/>
      </c>
      <c r="O41" s="524">
        <f>M41/M40-1</f>
        <v/>
      </c>
      <c r="P41" s="524">
        <f>M41/M38-1</f>
        <v/>
      </c>
      <c r="Q41" s="524">
        <f>M41/M35-1</f>
        <v/>
      </c>
      <c r="R41" s="524">
        <f>M41/M29-1</f>
        <v/>
      </c>
      <c r="S41" s="524">
        <f>STDEV.S(O30:O41)*SQRT(12)</f>
        <v/>
      </c>
      <c r="T41" s="368">
        <f>IF(AND(P41&gt;$P$6,Q41&gt;$P$7,R41&gt;$P$8,M41&gt;N41,S41&lt;$P$10),1,0)</f>
        <v/>
      </c>
      <c r="U41" s="525">
        <f>IF(SUM(K41,T41,AC41)=0,0,T41/SUM(K41,T41,AC41))</f>
        <v/>
      </c>
      <c r="V41" s="368">
        <f>F795</f>
        <v/>
      </c>
      <c r="W41" s="368">
        <f>J795</f>
        <v/>
      </c>
      <c r="X41" s="524">
        <f>V41/V40-1</f>
        <v/>
      </c>
      <c r="Y41" s="524">
        <f>V41/V38-1</f>
        <v/>
      </c>
      <c r="Z41" s="524">
        <f>V41/V35-1</f>
        <v/>
      </c>
      <c r="AA41" s="524">
        <f>V41/V29-1</f>
        <v/>
      </c>
      <c r="AB41" s="524">
        <f>STDEV.S(X30:X41)*SQRT(12)</f>
        <v/>
      </c>
      <c r="AC41" s="368">
        <f>IF(AND(Y41&gt;$P$6,Z41&gt;$P$7,AA41&gt;$P$8,V41&gt;W41,AB41&lt;$P$10),1,0)</f>
        <v/>
      </c>
      <c r="AD41" s="525">
        <f>IF(SUM(K41,T41,AC41)=0,0,AC41/SUM(K41,T41,AC41))</f>
        <v/>
      </c>
      <c r="AE41" s="525">
        <f>IF(SUM(K41,T41,AC41)=0,1,0)</f>
        <v/>
      </c>
      <c r="AF41" s="368">
        <f>G795</f>
        <v/>
      </c>
      <c r="AG41" s="524">
        <f>AF41/AF40-1</f>
        <v/>
      </c>
      <c r="AH41" s="524">
        <f>0.5*(ABS(L40-L39)+ABS(U40-U39)+ABS(AD40-AD39)+ABS(AE40-AE39))</f>
        <v/>
      </c>
      <c r="AI41" s="524">
        <f>L40*F41+U40*O41+AD40*X41+AE40*AG41</f>
        <v/>
      </c>
      <c r="AJ41" s="524">
        <f>AH41*$P$11</f>
        <v/>
      </c>
      <c r="AK41" s="524">
        <f>AI41-AJ41</f>
        <v/>
      </c>
      <c r="AL41" s="368">
        <f>AL40*(1+AK41)</f>
        <v/>
      </c>
      <c r="AM41" s="368">
        <f>MAX($AL$40:AL41)</f>
        <v/>
      </c>
      <c r="AN41" s="524">
        <f>AL41/AM41-1</f>
        <v/>
      </c>
      <c r="AO41" s="526">
        <f>AK41-AG41</f>
        <v/>
      </c>
    </row>
    <row r="42">
      <c r="C42" s="503" t="n">
        <v>40633</v>
      </c>
      <c r="D42" s="368">
        <f>D818</f>
        <v/>
      </c>
      <c r="E42" s="368">
        <f>H818</f>
        <v/>
      </c>
      <c r="F42" s="524">
        <f>D42/D41-1</f>
        <v/>
      </c>
      <c r="G42" s="524">
        <f>D42/D39-1</f>
        <v/>
      </c>
      <c r="H42" s="524">
        <f>D42/D36-1</f>
        <v/>
      </c>
      <c r="I42" s="524">
        <f>D42/D30-1</f>
        <v/>
      </c>
      <c r="J42" s="524">
        <f>STDEV.S(F31:F42)*SQRT(12)</f>
        <v/>
      </c>
      <c r="K42" s="368">
        <f>IF(AND(G42&gt;$P$6,H42&gt;$P$7,I42&gt;$P$8,D42&gt;E42,J42&lt;$P$10),1,0)</f>
        <v/>
      </c>
      <c r="L42" s="525">
        <f>IF(SUM(K42,T42,AC42)=0,0,K42/SUM(K42,T42,AC42))</f>
        <v/>
      </c>
      <c r="M42" s="368">
        <f>E818</f>
        <v/>
      </c>
      <c r="N42" s="368">
        <f>I818</f>
        <v/>
      </c>
      <c r="O42" s="524">
        <f>M42/M41-1</f>
        <v/>
      </c>
      <c r="P42" s="524">
        <f>M42/M39-1</f>
        <v/>
      </c>
      <c r="Q42" s="524">
        <f>M42/M36-1</f>
        <v/>
      </c>
      <c r="R42" s="524">
        <f>M42/M30-1</f>
        <v/>
      </c>
      <c r="S42" s="524">
        <f>STDEV.S(O31:O42)*SQRT(12)</f>
        <v/>
      </c>
      <c r="T42" s="368">
        <f>IF(AND(P42&gt;$P$6,Q42&gt;$P$7,R42&gt;$P$8,M42&gt;N42,S42&lt;$P$10),1,0)</f>
        <v/>
      </c>
      <c r="U42" s="525">
        <f>IF(SUM(K42,T42,AC42)=0,0,T42/SUM(K42,T42,AC42))</f>
        <v/>
      </c>
      <c r="V42" s="368">
        <f>F818</f>
        <v/>
      </c>
      <c r="W42" s="368">
        <f>J818</f>
        <v/>
      </c>
      <c r="X42" s="524">
        <f>V42/V41-1</f>
        <v/>
      </c>
      <c r="Y42" s="524">
        <f>V42/V39-1</f>
        <v/>
      </c>
      <c r="Z42" s="524">
        <f>V42/V36-1</f>
        <v/>
      </c>
      <c r="AA42" s="524">
        <f>V42/V30-1</f>
        <v/>
      </c>
      <c r="AB42" s="524">
        <f>STDEV.S(X31:X42)*SQRT(12)</f>
        <v/>
      </c>
      <c r="AC42" s="368">
        <f>IF(AND(Y42&gt;$P$6,Z42&gt;$P$7,AA42&gt;$P$8,V42&gt;W42,AB42&lt;$P$10),1,0)</f>
        <v/>
      </c>
      <c r="AD42" s="525">
        <f>IF(SUM(K42,T42,AC42)=0,0,AC42/SUM(K42,T42,AC42))</f>
        <v/>
      </c>
      <c r="AE42" s="525">
        <f>IF(SUM(K42,T42,AC42)=0,1,0)</f>
        <v/>
      </c>
      <c r="AF42" s="368">
        <f>G818</f>
        <v/>
      </c>
      <c r="AG42" s="524">
        <f>AF42/AF41-1</f>
        <v/>
      </c>
      <c r="AH42" s="524">
        <f>0.5*(ABS(L41-L40)+ABS(U41-U40)+ABS(AD41-AD40)+ABS(AE41-AE40))</f>
        <v/>
      </c>
      <c r="AI42" s="524">
        <f>L41*F42+U41*O42+AD41*X42+AE41*AG42</f>
        <v/>
      </c>
      <c r="AJ42" s="524">
        <f>AH42*$P$11</f>
        <v/>
      </c>
      <c r="AK42" s="524">
        <f>AI42-AJ42</f>
        <v/>
      </c>
      <c r="AL42" s="368">
        <f>AL41*(1+AK42)</f>
        <v/>
      </c>
      <c r="AM42" s="368">
        <f>MAX($AL$40:AL42)</f>
        <v/>
      </c>
      <c r="AN42" s="524">
        <f>AL42/AM42-1</f>
        <v/>
      </c>
      <c r="AO42" s="526">
        <f>AK42-AG42</f>
        <v/>
      </c>
    </row>
    <row r="43">
      <c r="C43" s="503" t="n">
        <v>40663</v>
      </c>
      <c r="D43" s="368">
        <f>D838</f>
        <v/>
      </c>
      <c r="E43" s="368">
        <f>H838</f>
        <v/>
      </c>
      <c r="F43" s="524">
        <f>D43/D42-1</f>
        <v/>
      </c>
      <c r="G43" s="524">
        <f>D43/D40-1</f>
        <v/>
      </c>
      <c r="H43" s="524">
        <f>D43/D37-1</f>
        <v/>
      </c>
      <c r="I43" s="524">
        <f>D43/D31-1</f>
        <v/>
      </c>
      <c r="J43" s="524">
        <f>STDEV.S(F32:F43)*SQRT(12)</f>
        <v/>
      </c>
      <c r="K43" s="368">
        <f>IF(AND(G43&gt;$P$6,H43&gt;$P$7,I43&gt;$P$8,D43&gt;E43,J43&lt;$P$10),1,0)</f>
        <v/>
      </c>
      <c r="L43" s="525">
        <f>IF(SUM(K43,T43,AC43)=0,0,K43/SUM(K43,T43,AC43))</f>
        <v/>
      </c>
      <c r="M43" s="368">
        <f>E838</f>
        <v/>
      </c>
      <c r="N43" s="368">
        <f>I838</f>
        <v/>
      </c>
      <c r="O43" s="524">
        <f>M43/M42-1</f>
        <v/>
      </c>
      <c r="P43" s="524">
        <f>M43/M40-1</f>
        <v/>
      </c>
      <c r="Q43" s="524">
        <f>M43/M37-1</f>
        <v/>
      </c>
      <c r="R43" s="524">
        <f>M43/M31-1</f>
        <v/>
      </c>
      <c r="S43" s="524">
        <f>STDEV.S(O32:O43)*SQRT(12)</f>
        <v/>
      </c>
      <c r="T43" s="368">
        <f>IF(AND(P43&gt;$P$6,Q43&gt;$P$7,R43&gt;$P$8,M43&gt;N43,S43&lt;$P$10),1,0)</f>
        <v/>
      </c>
      <c r="U43" s="525">
        <f>IF(SUM(K43,T43,AC43)=0,0,T43/SUM(K43,T43,AC43))</f>
        <v/>
      </c>
      <c r="V43" s="368">
        <f>F838</f>
        <v/>
      </c>
      <c r="W43" s="368">
        <f>J838</f>
        <v/>
      </c>
      <c r="X43" s="524">
        <f>V43/V42-1</f>
        <v/>
      </c>
      <c r="Y43" s="524">
        <f>V43/V40-1</f>
        <v/>
      </c>
      <c r="Z43" s="524">
        <f>V43/V37-1</f>
        <v/>
      </c>
      <c r="AA43" s="524">
        <f>V43/V31-1</f>
        <v/>
      </c>
      <c r="AB43" s="524">
        <f>STDEV.S(X32:X43)*SQRT(12)</f>
        <v/>
      </c>
      <c r="AC43" s="368">
        <f>IF(AND(Y43&gt;$P$6,Z43&gt;$P$7,AA43&gt;$P$8,V43&gt;W43,AB43&lt;$P$10),1,0)</f>
        <v/>
      </c>
      <c r="AD43" s="525">
        <f>IF(SUM(K43,T43,AC43)=0,0,AC43/SUM(K43,T43,AC43))</f>
        <v/>
      </c>
      <c r="AE43" s="525">
        <f>IF(SUM(K43,T43,AC43)=0,1,0)</f>
        <v/>
      </c>
      <c r="AF43" s="368">
        <f>G838</f>
        <v/>
      </c>
      <c r="AG43" s="524">
        <f>AF43/AF42-1</f>
        <v/>
      </c>
      <c r="AH43" s="524">
        <f>0.5*(ABS(L42-L41)+ABS(U42-U41)+ABS(AD42-AD41)+ABS(AE42-AE41))</f>
        <v/>
      </c>
      <c r="AI43" s="524">
        <f>L42*F43+U42*O43+AD42*X43+AE42*AG43</f>
        <v/>
      </c>
      <c r="AJ43" s="524">
        <f>AH43*$P$11</f>
        <v/>
      </c>
      <c r="AK43" s="524">
        <f>AI43-AJ43</f>
        <v/>
      </c>
      <c r="AL43" s="368">
        <f>AL42*(1+AK43)</f>
        <v/>
      </c>
      <c r="AM43" s="368">
        <f>MAX($AL$40:AL43)</f>
        <v/>
      </c>
      <c r="AN43" s="524">
        <f>AL43/AM43-1</f>
        <v/>
      </c>
      <c r="AO43" s="526">
        <f>AK43-AG43</f>
        <v/>
      </c>
    </row>
    <row r="44">
      <c r="C44" s="503" t="n">
        <v>40694</v>
      </c>
      <c r="D44" s="368">
        <f>D859</f>
        <v/>
      </c>
      <c r="E44" s="368">
        <f>H859</f>
        <v/>
      </c>
      <c r="F44" s="524">
        <f>D44/D43-1</f>
        <v/>
      </c>
      <c r="G44" s="524">
        <f>D44/D41-1</f>
        <v/>
      </c>
      <c r="H44" s="524">
        <f>D44/D38-1</f>
        <v/>
      </c>
      <c r="I44" s="524">
        <f>D44/D32-1</f>
        <v/>
      </c>
      <c r="J44" s="524">
        <f>STDEV.S(F33:F44)*SQRT(12)</f>
        <v/>
      </c>
      <c r="K44" s="368">
        <f>IF(AND(G44&gt;$P$6,H44&gt;$P$7,I44&gt;$P$8,D44&gt;E44,J44&lt;$P$10),1,0)</f>
        <v/>
      </c>
      <c r="L44" s="525">
        <f>IF(SUM(K44,T44,AC44)=0,0,K44/SUM(K44,T44,AC44))</f>
        <v/>
      </c>
      <c r="M44" s="368">
        <f>E859</f>
        <v/>
      </c>
      <c r="N44" s="368">
        <f>I859</f>
        <v/>
      </c>
      <c r="O44" s="524">
        <f>M44/M43-1</f>
        <v/>
      </c>
      <c r="P44" s="524">
        <f>M44/M41-1</f>
        <v/>
      </c>
      <c r="Q44" s="524">
        <f>M44/M38-1</f>
        <v/>
      </c>
      <c r="R44" s="524">
        <f>M44/M32-1</f>
        <v/>
      </c>
      <c r="S44" s="524">
        <f>STDEV.S(O33:O44)*SQRT(12)</f>
        <v/>
      </c>
      <c r="T44" s="368">
        <f>IF(AND(P44&gt;$P$6,Q44&gt;$P$7,R44&gt;$P$8,M44&gt;N44,S44&lt;$P$10),1,0)</f>
        <v/>
      </c>
      <c r="U44" s="525">
        <f>IF(SUM(K44,T44,AC44)=0,0,T44/SUM(K44,T44,AC44))</f>
        <v/>
      </c>
      <c r="V44" s="368">
        <f>F859</f>
        <v/>
      </c>
      <c r="W44" s="368">
        <f>J859</f>
        <v/>
      </c>
      <c r="X44" s="524">
        <f>V44/V43-1</f>
        <v/>
      </c>
      <c r="Y44" s="524">
        <f>V44/V41-1</f>
        <v/>
      </c>
      <c r="Z44" s="524">
        <f>V44/V38-1</f>
        <v/>
      </c>
      <c r="AA44" s="524">
        <f>V44/V32-1</f>
        <v/>
      </c>
      <c r="AB44" s="524">
        <f>STDEV.S(X33:X44)*SQRT(12)</f>
        <v/>
      </c>
      <c r="AC44" s="368">
        <f>IF(AND(Y44&gt;$P$6,Z44&gt;$P$7,AA44&gt;$P$8,V44&gt;W44,AB44&lt;$P$10),1,0)</f>
        <v/>
      </c>
      <c r="AD44" s="525">
        <f>IF(SUM(K44,T44,AC44)=0,0,AC44/SUM(K44,T44,AC44))</f>
        <v/>
      </c>
      <c r="AE44" s="525">
        <f>IF(SUM(K44,T44,AC44)=0,1,0)</f>
        <v/>
      </c>
      <c r="AF44" s="368">
        <f>G859</f>
        <v/>
      </c>
      <c r="AG44" s="524">
        <f>AF44/AF43-1</f>
        <v/>
      </c>
      <c r="AH44" s="524">
        <f>0.5*(ABS(L43-L42)+ABS(U43-U42)+ABS(AD43-AD42)+ABS(AE43-AE42))</f>
        <v/>
      </c>
      <c r="AI44" s="524">
        <f>L43*F44+U43*O44+AD43*X44+AE43*AG44</f>
        <v/>
      </c>
      <c r="AJ44" s="524">
        <f>AH44*$P$11</f>
        <v/>
      </c>
      <c r="AK44" s="524">
        <f>AI44-AJ44</f>
        <v/>
      </c>
      <c r="AL44" s="368">
        <f>AL43*(1+AK44)</f>
        <v/>
      </c>
      <c r="AM44" s="368">
        <f>MAX($AL$40:AL44)</f>
        <v/>
      </c>
      <c r="AN44" s="524">
        <f>AL44/AM44-1</f>
        <v/>
      </c>
      <c r="AO44" s="526">
        <f>AK44-AG44</f>
        <v/>
      </c>
    </row>
    <row r="45">
      <c r="C45" s="503" t="n">
        <v>40724</v>
      </c>
      <c r="D45" s="368">
        <f>D881</f>
        <v/>
      </c>
      <c r="E45" s="368">
        <f>H881</f>
        <v/>
      </c>
      <c r="F45" s="524">
        <f>D45/D44-1</f>
        <v/>
      </c>
      <c r="G45" s="524">
        <f>D45/D42-1</f>
        <v/>
      </c>
      <c r="H45" s="524">
        <f>D45/D39-1</f>
        <v/>
      </c>
      <c r="I45" s="524">
        <f>D45/D33-1</f>
        <v/>
      </c>
      <c r="J45" s="524">
        <f>STDEV.S(F34:F45)*SQRT(12)</f>
        <v/>
      </c>
      <c r="K45" s="368">
        <f>IF(AND(G45&gt;$P$6,H45&gt;$P$7,I45&gt;$P$8,D45&gt;E45,J45&lt;$P$10),1,0)</f>
        <v/>
      </c>
      <c r="L45" s="525">
        <f>IF(SUM(K45,T45,AC45)=0,0,K45/SUM(K45,T45,AC45))</f>
        <v/>
      </c>
      <c r="M45" s="368">
        <f>E881</f>
        <v/>
      </c>
      <c r="N45" s="368">
        <f>I881</f>
        <v/>
      </c>
      <c r="O45" s="524">
        <f>M45/M44-1</f>
        <v/>
      </c>
      <c r="P45" s="524">
        <f>M45/M42-1</f>
        <v/>
      </c>
      <c r="Q45" s="524">
        <f>M45/M39-1</f>
        <v/>
      </c>
      <c r="R45" s="524">
        <f>M45/M33-1</f>
        <v/>
      </c>
      <c r="S45" s="524">
        <f>STDEV.S(O34:O45)*SQRT(12)</f>
        <v/>
      </c>
      <c r="T45" s="368">
        <f>IF(AND(P45&gt;$P$6,Q45&gt;$P$7,R45&gt;$P$8,M45&gt;N45,S45&lt;$P$10),1,0)</f>
        <v/>
      </c>
      <c r="U45" s="525">
        <f>IF(SUM(K45,T45,AC45)=0,0,T45/SUM(K45,T45,AC45))</f>
        <v/>
      </c>
      <c r="V45" s="368">
        <f>F881</f>
        <v/>
      </c>
      <c r="W45" s="368">
        <f>J881</f>
        <v/>
      </c>
      <c r="X45" s="524">
        <f>V45/V44-1</f>
        <v/>
      </c>
      <c r="Y45" s="524">
        <f>V45/V42-1</f>
        <v/>
      </c>
      <c r="Z45" s="524">
        <f>V45/V39-1</f>
        <v/>
      </c>
      <c r="AA45" s="524">
        <f>V45/V33-1</f>
        <v/>
      </c>
      <c r="AB45" s="524">
        <f>STDEV.S(X34:X45)*SQRT(12)</f>
        <v/>
      </c>
      <c r="AC45" s="368">
        <f>IF(AND(Y45&gt;$P$6,Z45&gt;$P$7,AA45&gt;$P$8,V45&gt;W45,AB45&lt;$P$10),1,0)</f>
        <v/>
      </c>
      <c r="AD45" s="525">
        <f>IF(SUM(K45,T45,AC45)=0,0,AC45/SUM(K45,T45,AC45))</f>
        <v/>
      </c>
      <c r="AE45" s="525">
        <f>IF(SUM(K45,T45,AC45)=0,1,0)</f>
        <v/>
      </c>
      <c r="AF45" s="368">
        <f>G881</f>
        <v/>
      </c>
      <c r="AG45" s="524">
        <f>AF45/AF44-1</f>
        <v/>
      </c>
      <c r="AH45" s="524">
        <f>0.5*(ABS(L44-L43)+ABS(U44-U43)+ABS(AD44-AD43)+ABS(AE44-AE43))</f>
        <v/>
      </c>
      <c r="AI45" s="524">
        <f>L44*F45+U44*O45+AD44*X45+AE44*AG45</f>
        <v/>
      </c>
      <c r="AJ45" s="524">
        <f>AH45*$P$11</f>
        <v/>
      </c>
      <c r="AK45" s="524">
        <f>AI45-AJ45</f>
        <v/>
      </c>
      <c r="AL45" s="368">
        <f>AL44*(1+AK45)</f>
        <v/>
      </c>
      <c r="AM45" s="368">
        <f>MAX($AL$40:AL45)</f>
        <v/>
      </c>
      <c r="AN45" s="524">
        <f>AL45/AM45-1</f>
        <v/>
      </c>
      <c r="AO45" s="526">
        <f>AK45-AG45</f>
        <v/>
      </c>
    </row>
    <row r="46">
      <c r="C46" s="503" t="n">
        <v>40755</v>
      </c>
      <c r="D46" s="368">
        <f>D901</f>
        <v/>
      </c>
      <c r="E46" s="368">
        <f>H901</f>
        <v/>
      </c>
      <c r="F46" s="524">
        <f>D46/D45-1</f>
        <v/>
      </c>
      <c r="G46" s="524">
        <f>D46/D43-1</f>
        <v/>
      </c>
      <c r="H46" s="524">
        <f>D46/D40-1</f>
        <v/>
      </c>
      <c r="I46" s="524">
        <f>D46/D34-1</f>
        <v/>
      </c>
      <c r="J46" s="524">
        <f>STDEV.S(F35:F46)*SQRT(12)</f>
        <v/>
      </c>
      <c r="K46" s="368">
        <f>IF(AND(G46&gt;$P$6,H46&gt;$P$7,I46&gt;$P$8,D46&gt;E46,J46&lt;$P$10),1,0)</f>
        <v/>
      </c>
      <c r="L46" s="525">
        <f>IF(SUM(K46,T46,AC46)=0,0,K46/SUM(K46,T46,AC46))</f>
        <v/>
      </c>
      <c r="M46" s="368">
        <f>E901</f>
        <v/>
      </c>
      <c r="N46" s="368">
        <f>I901</f>
        <v/>
      </c>
      <c r="O46" s="524">
        <f>M46/M45-1</f>
        <v/>
      </c>
      <c r="P46" s="524">
        <f>M46/M43-1</f>
        <v/>
      </c>
      <c r="Q46" s="524">
        <f>M46/M40-1</f>
        <v/>
      </c>
      <c r="R46" s="524">
        <f>M46/M34-1</f>
        <v/>
      </c>
      <c r="S46" s="524">
        <f>STDEV.S(O35:O46)*SQRT(12)</f>
        <v/>
      </c>
      <c r="T46" s="368">
        <f>IF(AND(P46&gt;$P$6,Q46&gt;$P$7,R46&gt;$P$8,M46&gt;N46,S46&lt;$P$10),1,0)</f>
        <v/>
      </c>
      <c r="U46" s="525">
        <f>IF(SUM(K46,T46,AC46)=0,0,T46/SUM(K46,T46,AC46))</f>
        <v/>
      </c>
      <c r="V46" s="368">
        <f>F901</f>
        <v/>
      </c>
      <c r="W46" s="368">
        <f>J901</f>
        <v/>
      </c>
      <c r="X46" s="524">
        <f>V46/V45-1</f>
        <v/>
      </c>
      <c r="Y46" s="524">
        <f>V46/V43-1</f>
        <v/>
      </c>
      <c r="Z46" s="524">
        <f>V46/V40-1</f>
        <v/>
      </c>
      <c r="AA46" s="524">
        <f>V46/V34-1</f>
        <v/>
      </c>
      <c r="AB46" s="524">
        <f>STDEV.S(X35:X46)*SQRT(12)</f>
        <v/>
      </c>
      <c r="AC46" s="368">
        <f>IF(AND(Y46&gt;$P$6,Z46&gt;$P$7,AA46&gt;$P$8,V46&gt;W46,AB46&lt;$P$10),1,0)</f>
        <v/>
      </c>
      <c r="AD46" s="525">
        <f>IF(SUM(K46,T46,AC46)=0,0,AC46/SUM(K46,T46,AC46))</f>
        <v/>
      </c>
      <c r="AE46" s="525">
        <f>IF(SUM(K46,T46,AC46)=0,1,0)</f>
        <v/>
      </c>
      <c r="AF46" s="368">
        <f>G901</f>
        <v/>
      </c>
      <c r="AG46" s="524">
        <f>AF46/AF45-1</f>
        <v/>
      </c>
      <c r="AH46" s="524">
        <f>0.5*(ABS(L45-L44)+ABS(U45-U44)+ABS(AD45-AD44)+ABS(AE45-AE44))</f>
        <v/>
      </c>
      <c r="AI46" s="524">
        <f>L45*F46+U45*O46+AD45*X46+AE45*AG46</f>
        <v/>
      </c>
      <c r="AJ46" s="524">
        <f>AH46*$P$11</f>
        <v/>
      </c>
      <c r="AK46" s="524">
        <f>AI46-AJ46</f>
        <v/>
      </c>
      <c r="AL46" s="368">
        <f>AL45*(1+AK46)</f>
        <v/>
      </c>
      <c r="AM46" s="368">
        <f>MAX($AL$40:AL46)</f>
        <v/>
      </c>
      <c r="AN46" s="524">
        <f>AL46/AM46-1</f>
        <v/>
      </c>
      <c r="AO46" s="526">
        <f>AK46-AG46</f>
        <v/>
      </c>
    </row>
    <row r="47">
      <c r="C47" s="503" t="n">
        <v>40786</v>
      </c>
      <c r="D47" s="368">
        <f>D924</f>
        <v/>
      </c>
      <c r="E47" s="368">
        <f>H924</f>
        <v/>
      </c>
      <c r="F47" s="524">
        <f>D47/D46-1</f>
        <v/>
      </c>
      <c r="G47" s="524">
        <f>D47/D44-1</f>
        <v/>
      </c>
      <c r="H47" s="524">
        <f>D47/D41-1</f>
        <v/>
      </c>
      <c r="I47" s="524">
        <f>D47/D35-1</f>
        <v/>
      </c>
      <c r="J47" s="524">
        <f>STDEV.S(F36:F47)*SQRT(12)</f>
        <v/>
      </c>
      <c r="K47" s="368">
        <f>IF(AND(G47&gt;$P$6,H47&gt;$P$7,I47&gt;$P$8,D47&gt;E47,J47&lt;$P$10),1,0)</f>
        <v/>
      </c>
      <c r="L47" s="525">
        <f>IF(SUM(K47,T47,AC47)=0,0,K47/SUM(K47,T47,AC47))</f>
        <v/>
      </c>
      <c r="M47" s="368">
        <f>E924</f>
        <v/>
      </c>
      <c r="N47" s="368">
        <f>I924</f>
        <v/>
      </c>
      <c r="O47" s="524">
        <f>M47/M46-1</f>
        <v/>
      </c>
      <c r="P47" s="524">
        <f>M47/M44-1</f>
        <v/>
      </c>
      <c r="Q47" s="524">
        <f>M47/M41-1</f>
        <v/>
      </c>
      <c r="R47" s="524">
        <f>M47/M35-1</f>
        <v/>
      </c>
      <c r="S47" s="524">
        <f>STDEV.S(O36:O47)*SQRT(12)</f>
        <v/>
      </c>
      <c r="T47" s="368">
        <f>IF(AND(P47&gt;$P$6,Q47&gt;$P$7,R47&gt;$P$8,M47&gt;N47,S47&lt;$P$10),1,0)</f>
        <v/>
      </c>
      <c r="U47" s="525">
        <f>IF(SUM(K47,T47,AC47)=0,0,T47/SUM(K47,T47,AC47))</f>
        <v/>
      </c>
      <c r="V47" s="368">
        <f>F924</f>
        <v/>
      </c>
      <c r="W47" s="368">
        <f>J924</f>
        <v/>
      </c>
      <c r="X47" s="524">
        <f>V47/V46-1</f>
        <v/>
      </c>
      <c r="Y47" s="524">
        <f>V47/V44-1</f>
        <v/>
      </c>
      <c r="Z47" s="524">
        <f>V47/V41-1</f>
        <v/>
      </c>
      <c r="AA47" s="524">
        <f>V47/V35-1</f>
        <v/>
      </c>
      <c r="AB47" s="524">
        <f>STDEV.S(X36:X47)*SQRT(12)</f>
        <v/>
      </c>
      <c r="AC47" s="368">
        <f>IF(AND(Y47&gt;$P$6,Z47&gt;$P$7,AA47&gt;$P$8,V47&gt;W47,AB47&lt;$P$10),1,0)</f>
        <v/>
      </c>
      <c r="AD47" s="525">
        <f>IF(SUM(K47,T47,AC47)=0,0,AC47/SUM(K47,T47,AC47))</f>
        <v/>
      </c>
      <c r="AE47" s="525">
        <f>IF(SUM(K47,T47,AC47)=0,1,0)</f>
        <v/>
      </c>
      <c r="AF47" s="368">
        <f>G924</f>
        <v/>
      </c>
      <c r="AG47" s="524">
        <f>AF47/AF46-1</f>
        <v/>
      </c>
      <c r="AH47" s="524">
        <f>0.5*(ABS(L46-L45)+ABS(U46-U45)+ABS(AD46-AD45)+ABS(AE46-AE45))</f>
        <v/>
      </c>
      <c r="AI47" s="524">
        <f>L46*F47+U46*O47+AD46*X47+AE46*AG47</f>
        <v/>
      </c>
      <c r="AJ47" s="524">
        <f>AH47*$P$11</f>
        <v/>
      </c>
      <c r="AK47" s="524">
        <f>AI47-AJ47</f>
        <v/>
      </c>
      <c r="AL47" s="368">
        <f>AL46*(1+AK47)</f>
        <v/>
      </c>
      <c r="AM47" s="368">
        <f>MAX($AL$40:AL47)</f>
        <v/>
      </c>
      <c r="AN47" s="524">
        <f>AL47/AM47-1</f>
        <v/>
      </c>
      <c r="AO47" s="526">
        <f>AK47-AG47</f>
        <v/>
      </c>
    </row>
    <row r="48">
      <c r="C48" s="503" t="n">
        <v>40816</v>
      </c>
      <c r="D48" s="368">
        <f>D945</f>
        <v/>
      </c>
      <c r="E48" s="368">
        <f>H945</f>
        <v/>
      </c>
      <c r="F48" s="524">
        <f>D48/D47-1</f>
        <v/>
      </c>
      <c r="G48" s="524">
        <f>D48/D45-1</f>
        <v/>
      </c>
      <c r="H48" s="524">
        <f>D48/D42-1</f>
        <v/>
      </c>
      <c r="I48" s="524">
        <f>D48/D36-1</f>
        <v/>
      </c>
      <c r="J48" s="524">
        <f>STDEV.S(F37:F48)*SQRT(12)</f>
        <v/>
      </c>
      <c r="K48" s="368">
        <f>IF(AND(G48&gt;$P$6,H48&gt;$P$7,I48&gt;$P$8,D48&gt;E48,J48&lt;$P$10),1,0)</f>
        <v/>
      </c>
      <c r="L48" s="525">
        <f>IF(SUM(K48,T48,AC48)=0,0,K48/SUM(K48,T48,AC48))</f>
        <v/>
      </c>
      <c r="M48" s="368">
        <f>E945</f>
        <v/>
      </c>
      <c r="N48" s="368">
        <f>I945</f>
        <v/>
      </c>
      <c r="O48" s="524">
        <f>M48/M47-1</f>
        <v/>
      </c>
      <c r="P48" s="524">
        <f>M48/M45-1</f>
        <v/>
      </c>
      <c r="Q48" s="524">
        <f>M48/M42-1</f>
        <v/>
      </c>
      <c r="R48" s="524">
        <f>M48/M36-1</f>
        <v/>
      </c>
      <c r="S48" s="524">
        <f>STDEV.S(O37:O48)*SQRT(12)</f>
        <v/>
      </c>
      <c r="T48" s="368">
        <f>IF(AND(P48&gt;$P$6,Q48&gt;$P$7,R48&gt;$P$8,M48&gt;N48,S48&lt;$P$10),1,0)</f>
        <v/>
      </c>
      <c r="U48" s="525">
        <f>IF(SUM(K48,T48,AC48)=0,0,T48/SUM(K48,T48,AC48))</f>
        <v/>
      </c>
      <c r="V48" s="368">
        <f>F945</f>
        <v/>
      </c>
      <c r="W48" s="368">
        <f>J945</f>
        <v/>
      </c>
      <c r="X48" s="524">
        <f>V48/V47-1</f>
        <v/>
      </c>
      <c r="Y48" s="524">
        <f>V48/V45-1</f>
        <v/>
      </c>
      <c r="Z48" s="524">
        <f>V48/V42-1</f>
        <v/>
      </c>
      <c r="AA48" s="524">
        <f>V48/V36-1</f>
        <v/>
      </c>
      <c r="AB48" s="524">
        <f>STDEV.S(X37:X48)*SQRT(12)</f>
        <v/>
      </c>
      <c r="AC48" s="368">
        <f>IF(AND(Y48&gt;$P$6,Z48&gt;$P$7,AA48&gt;$P$8,V48&gt;W48,AB48&lt;$P$10),1,0)</f>
        <v/>
      </c>
      <c r="AD48" s="525">
        <f>IF(SUM(K48,T48,AC48)=0,0,AC48/SUM(K48,T48,AC48))</f>
        <v/>
      </c>
      <c r="AE48" s="525">
        <f>IF(SUM(K48,T48,AC48)=0,1,0)</f>
        <v/>
      </c>
      <c r="AF48" s="368">
        <f>G945</f>
        <v/>
      </c>
      <c r="AG48" s="524">
        <f>AF48/AF47-1</f>
        <v/>
      </c>
      <c r="AH48" s="524">
        <f>0.5*(ABS(L47-L46)+ABS(U47-U46)+ABS(AD47-AD46)+ABS(AE47-AE46))</f>
        <v/>
      </c>
      <c r="AI48" s="524">
        <f>L47*F48+U47*O48+AD47*X48+AE47*AG48</f>
        <v/>
      </c>
      <c r="AJ48" s="524">
        <f>AH48*$P$11</f>
        <v/>
      </c>
      <c r="AK48" s="524">
        <f>AI48-AJ48</f>
        <v/>
      </c>
      <c r="AL48" s="368">
        <f>AL47*(1+AK48)</f>
        <v/>
      </c>
      <c r="AM48" s="368">
        <f>MAX($AL$40:AL48)</f>
        <v/>
      </c>
      <c r="AN48" s="524">
        <f>AL48/AM48-1</f>
        <v/>
      </c>
      <c r="AO48" s="526">
        <f>AK48-AG48</f>
        <v/>
      </c>
    </row>
    <row r="49">
      <c r="C49" s="503" t="n">
        <v>40847</v>
      </c>
      <c r="D49" s="368">
        <f>D966</f>
        <v/>
      </c>
      <c r="E49" s="368">
        <f>H966</f>
        <v/>
      </c>
      <c r="F49" s="524">
        <f>D49/D48-1</f>
        <v/>
      </c>
      <c r="G49" s="524">
        <f>D49/D46-1</f>
        <v/>
      </c>
      <c r="H49" s="524">
        <f>D49/D43-1</f>
        <v/>
      </c>
      <c r="I49" s="524">
        <f>D49/D37-1</f>
        <v/>
      </c>
      <c r="J49" s="524">
        <f>STDEV.S(F38:F49)*SQRT(12)</f>
        <v/>
      </c>
      <c r="K49" s="368">
        <f>IF(AND(G49&gt;$P$6,H49&gt;$P$7,I49&gt;$P$8,D49&gt;E49,J49&lt;$P$10),1,0)</f>
        <v/>
      </c>
      <c r="L49" s="525">
        <f>IF(SUM(K49,T49,AC49)=0,0,K49/SUM(K49,T49,AC49))</f>
        <v/>
      </c>
      <c r="M49" s="368">
        <f>E966</f>
        <v/>
      </c>
      <c r="N49" s="368">
        <f>I966</f>
        <v/>
      </c>
      <c r="O49" s="524">
        <f>M49/M48-1</f>
        <v/>
      </c>
      <c r="P49" s="524">
        <f>M49/M46-1</f>
        <v/>
      </c>
      <c r="Q49" s="524">
        <f>M49/M43-1</f>
        <v/>
      </c>
      <c r="R49" s="524">
        <f>M49/M37-1</f>
        <v/>
      </c>
      <c r="S49" s="524">
        <f>STDEV.S(O38:O49)*SQRT(12)</f>
        <v/>
      </c>
      <c r="T49" s="368">
        <f>IF(AND(P49&gt;$P$6,Q49&gt;$P$7,R49&gt;$P$8,M49&gt;N49,S49&lt;$P$10),1,0)</f>
        <v/>
      </c>
      <c r="U49" s="525">
        <f>IF(SUM(K49,T49,AC49)=0,0,T49/SUM(K49,T49,AC49))</f>
        <v/>
      </c>
      <c r="V49" s="368">
        <f>F966</f>
        <v/>
      </c>
      <c r="W49" s="368">
        <f>J966</f>
        <v/>
      </c>
      <c r="X49" s="524">
        <f>V49/V48-1</f>
        <v/>
      </c>
      <c r="Y49" s="524">
        <f>V49/V46-1</f>
        <v/>
      </c>
      <c r="Z49" s="524">
        <f>V49/V43-1</f>
        <v/>
      </c>
      <c r="AA49" s="524">
        <f>V49/V37-1</f>
        <v/>
      </c>
      <c r="AB49" s="524">
        <f>STDEV.S(X38:X49)*SQRT(12)</f>
        <v/>
      </c>
      <c r="AC49" s="368">
        <f>IF(AND(Y49&gt;$P$6,Z49&gt;$P$7,AA49&gt;$P$8,V49&gt;W49,AB49&lt;$P$10),1,0)</f>
        <v/>
      </c>
      <c r="AD49" s="525">
        <f>IF(SUM(K49,T49,AC49)=0,0,AC49/SUM(K49,T49,AC49))</f>
        <v/>
      </c>
      <c r="AE49" s="525">
        <f>IF(SUM(K49,T49,AC49)=0,1,0)</f>
        <v/>
      </c>
      <c r="AF49" s="368">
        <f>G966</f>
        <v/>
      </c>
      <c r="AG49" s="524">
        <f>AF49/AF48-1</f>
        <v/>
      </c>
      <c r="AH49" s="524">
        <f>0.5*(ABS(L48-L47)+ABS(U48-U47)+ABS(AD48-AD47)+ABS(AE48-AE47))</f>
        <v/>
      </c>
      <c r="AI49" s="524">
        <f>L48*F49+U48*O49+AD48*X49+AE48*AG49</f>
        <v/>
      </c>
      <c r="AJ49" s="524">
        <f>AH49*$P$11</f>
        <v/>
      </c>
      <c r="AK49" s="524">
        <f>AI49-AJ49</f>
        <v/>
      </c>
      <c r="AL49" s="368">
        <f>AL48*(1+AK49)</f>
        <v/>
      </c>
      <c r="AM49" s="368">
        <f>MAX($AL$40:AL49)</f>
        <v/>
      </c>
      <c r="AN49" s="524">
        <f>AL49/AM49-1</f>
        <v/>
      </c>
      <c r="AO49" s="526">
        <f>AK49-AG49</f>
        <v/>
      </c>
    </row>
    <row r="50">
      <c r="C50" s="503" t="n">
        <v>40877</v>
      </c>
      <c r="D50" s="368">
        <f>D987</f>
        <v/>
      </c>
      <c r="E50" s="368">
        <f>H987</f>
        <v/>
      </c>
      <c r="F50" s="524">
        <f>D50/D49-1</f>
        <v/>
      </c>
      <c r="G50" s="524">
        <f>D50/D47-1</f>
        <v/>
      </c>
      <c r="H50" s="524">
        <f>D50/D44-1</f>
        <v/>
      </c>
      <c r="I50" s="524">
        <f>D50/D38-1</f>
        <v/>
      </c>
      <c r="J50" s="524">
        <f>STDEV.S(F39:F50)*SQRT(12)</f>
        <v/>
      </c>
      <c r="K50" s="368">
        <f>IF(AND(G50&gt;$P$6,H50&gt;$P$7,I50&gt;$P$8,D50&gt;E50,J50&lt;$P$10),1,0)</f>
        <v/>
      </c>
      <c r="L50" s="525">
        <f>IF(SUM(K50,T50,AC50)=0,0,K50/SUM(K50,T50,AC50))</f>
        <v/>
      </c>
      <c r="M50" s="368">
        <f>E987</f>
        <v/>
      </c>
      <c r="N50" s="368">
        <f>I987</f>
        <v/>
      </c>
      <c r="O50" s="524">
        <f>M50/M49-1</f>
        <v/>
      </c>
      <c r="P50" s="524">
        <f>M50/M47-1</f>
        <v/>
      </c>
      <c r="Q50" s="524">
        <f>M50/M44-1</f>
        <v/>
      </c>
      <c r="R50" s="524">
        <f>M50/M38-1</f>
        <v/>
      </c>
      <c r="S50" s="524">
        <f>STDEV.S(O39:O50)*SQRT(12)</f>
        <v/>
      </c>
      <c r="T50" s="368">
        <f>IF(AND(P50&gt;$P$6,Q50&gt;$P$7,R50&gt;$P$8,M50&gt;N50,S50&lt;$P$10),1,0)</f>
        <v/>
      </c>
      <c r="U50" s="525">
        <f>IF(SUM(K50,T50,AC50)=0,0,T50/SUM(K50,T50,AC50))</f>
        <v/>
      </c>
      <c r="V50" s="368">
        <f>F987</f>
        <v/>
      </c>
      <c r="W50" s="368">
        <f>J987</f>
        <v/>
      </c>
      <c r="X50" s="524">
        <f>V50/V49-1</f>
        <v/>
      </c>
      <c r="Y50" s="524">
        <f>V50/V47-1</f>
        <v/>
      </c>
      <c r="Z50" s="524">
        <f>V50/V44-1</f>
        <v/>
      </c>
      <c r="AA50" s="524">
        <f>V50/V38-1</f>
        <v/>
      </c>
      <c r="AB50" s="524">
        <f>STDEV.S(X39:X50)*SQRT(12)</f>
        <v/>
      </c>
      <c r="AC50" s="368">
        <f>IF(AND(Y50&gt;$P$6,Z50&gt;$P$7,AA50&gt;$P$8,V50&gt;W50,AB50&lt;$P$10),1,0)</f>
        <v/>
      </c>
      <c r="AD50" s="525">
        <f>IF(SUM(K50,T50,AC50)=0,0,AC50/SUM(K50,T50,AC50))</f>
        <v/>
      </c>
      <c r="AE50" s="525">
        <f>IF(SUM(K50,T50,AC50)=0,1,0)</f>
        <v/>
      </c>
      <c r="AF50" s="368">
        <f>G987</f>
        <v/>
      </c>
      <c r="AG50" s="524">
        <f>AF50/AF49-1</f>
        <v/>
      </c>
      <c r="AH50" s="524">
        <f>0.5*(ABS(L49-L48)+ABS(U49-U48)+ABS(AD49-AD48)+ABS(AE49-AE48))</f>
        <v/>
      </c>
      <c r="AI50" s="524">
        <f>L49*F50+U49*O50+AD49*X50+AE49*AG50</f>
        <v/>
      </c>
      <c r="AJ50" s="524">
        <f>AH50*$P$11</f>
        <v/>
      </c>
      <c r="AK50" s="524">
        <f>AI50-AJ50</f>
        <v/>
      </c>
      <c r="AL50" s="368">
        <f>AL49*(1+AK50)</f>
        <v/>
      </c>
      <c r="AM50" s="368">
        <f>MAX($AL$40:AL50)</f>
        <v/>
      </c>
      <c r="AN50" s="524">
        <f>AL50/AM50-1</f>
        <v/>
      </c>
      <c r="AO50" s="526">
        <f>AK50-AG50</f>
        <v/>
      </c>
    </row>
    <row r="51">
      <c r="C51" s="503" t="n">
        <v>40908</v>
      </c>
      <c r="D51" s="368">
        <f>D1008</f>
        <v/>
      </c>
      <c r="E51" s="368">
        <f>H1008</f>
        <v/>
      </c>
      <c r="F51" s="524">
        <f>D51/D50-1</f>
        <v/>
      </c>
      <c r="G51" s="524">
        <f>D51/D48-1</f>
        <v/>
      </c>
      <c r="H51" s="524">
        <f>D51/D45-1</f>
        <v/>
      </c>
      <c r="I51" s="524">
        <f>D51/D39-1</f>
        <v/>
      </c>
      <c r="J51" s="524">
        <f>STDEV.S(F40:F51)*SQRT(12)</f>
        <v/>
      </c>
      <c r="K51" s="368">
        <f>IF(AND(G51&gt;$P$6,H51&gt;$P$7,I51&gt;$P$8,D51&gt;E51,J51&lt;$P$10),1,0)</f>
        <v/>
      </c>
      <c r="L51" s="525">
        <f>IF(SUM(K51,T51,AC51)=0,0,K51/SUM(K51,T51,AC51))</f>
        <v/>
      </c>
      <c r="M51" s="368">
        <f>E1008</f>
        <v/>
      </c>
      <c r="N51" s="368">
        <f>I1008</f>
        <v/>
      </c>
      <c r="O51" s="524">
        <f>M51/M50-1</f>
        <v/>
      </c>
      <c r="P51" s="524">
        <f>M51/M48-1</f>
        <v/>
      </c>
      <c r="Q51" s="524">
        <f>M51/M45-1</f>
        <v/>
      </c>
      <c r="R51" s="524">
        <f>M51/M39-1</f>
        <v/>
      </c>
      <c r="S51" s="524">
        <f>STDEV.S(O40:O51)*SQRT(12)</f>
        <v/>
      </c>
      <c r="T51" s="368">
        <f>IF(AND(P51&gt;$P$6,Q51&gt;$P$7,R51&gt;$P$8,M51&gt;N51,S51&lt;$P$10),1,0)</f>
        <v/>
      </c>
      <c r="U51" s="525">
        <f>IF(SUM(K51,T51,AC51)=0,0,T51/SUM(K51,T51,AC51))</f>
        <v/>
      </c>
      <c r="V51" s="368">
        <f>F1008</f>
        <v/>
      </c>
      <c r="W51" s="368">
        <f>J1008</f>
        <v/>
      </c>
      <c r="X51" s="524">
        <f>V51/V50-1</f>
        <v/>
      </c>
      <c r="Y51" s="524">
        <f>V51/V48-1</f>
        <v/>
      </c>
      <c r="Z51" s="524">
        <f>V51/V45-1</f>
        <v/>
      </c>
      <c r="AA51" s="524">
        <f>V51/V39-1</f>
        <v/>
      </c>
      <c r="AB51" s="524">
        <f>STDEV.S(X40:X51)*SQRT(12)</f>
        <v/>
      </c>
      <c r="AC51" s="368">
        <f>IF(AND(Y51&gt;$P$6,Z51&gt;$P$7,AA51&gt;$P$8,V51&gt;W51,AB51&lt;$P$10),1,0)</f>
        <v/>
      </c>
      <c r="AD51" s="525">
        <f>IF(SUM(K51,T51,AC51)=0,0,AC51/SUM(K51,T51,AC51))</f>
        <v/>
      </c>
      <c r="AE51" s="525">
        <f>IF(SUM(K51,T51,AC51)=0,1,0)</f>
        <v/>
      </c>
      <c r="AF51" s="368">
        <f>G1008</f>
        <v/>
      </c>
      <c r="AG51" s="524">
        <f>AF51/AF50-1</f>
        <v/>
      </c>
      <c r="AH51" s="524">
        <f>0.5*(ABS(L50-L49)+ABS(U50-U49)+ABS(AD50-AD49)+ABS(AE50-AE49))</f>
        <v/>
      </c>
      <c r="AI51" s="524">
        <f>L50*F51+U50*O51+AD50*X51+AE50*AG51</f>
        <v/>
      </c>
      <c r="AJ51" s="524">
        <f>AH51*$P$11</f>
        <v/>
      </c>
      <c r="AK51" s="524">
        <f>AI51-AJ51</f>
        <v/>
      </c>
      <c r="AL51" s="368">
        <f>AL50*(1+AK51)</f>
        <v/>
      </c>
      <c r="AM51" s="368">
        <f>MAX($AL$40:AL51)</f>
        <v/>
      </c>
      <c r="AN51" s="524">
        <f>AL51/AM51-1</f>
        <v/>
      </c>
      <c r="AO51" s="526">
        <f>AK51-AG51</f>
        <v/>
      </c>
    </row>
    <row r="52">
      <c r="C52" s="503" t="n">
        <v>40939</v>
      </c>
      <c r="D52" s="368">
        <f>D1028</f>
        <v/>
      </c>
      <c r="E52" s="368">
        <f>H1028</f>
        <v/>
      </c>
      <c r="F52" s="524">
        <f>D52/D51-1</f>
        <v/>
      </c>
      <c r="G52" s="524">
        <f>D52/D49-1</f>
        <v/>
      </c>
      <c r="H52" s="524">
        <f>D52/D46-1</f>
        <v/>
      </c>
      <c r="I52" s="524">
        <f>D52/D40-1</f>
        <v/>
      </c>
      <c r="J52" s="524">
        <f>STDEV.S(F41:F52)*SQRT(12)</f>
        <v/>
      </c>
      <c r="K52" s="368">
        <f>IF(AND(G52&gt;$P$6,H52&gt;$P$7,I52&gt;$P$8,D52&gt;E52,J52&lt;$P$10),1,0)</f>
        <v/>
      </c>
      <c r="L52" s="525">
        <f>IF(SUM(K52,T52,AC52)=0,0,K52/SUM(K52,T52,AC52))</f>
        <v/>
      </c>
      <c r="M52" s="368">
        <f>E1028</f>
        <v/>
      </c>
      <c r="N52" s="368">
        <f>I1028</f>
        <v/>
      </c>
      <c r="O52" s="524">
        <f>M52/M51-1</f>
        <v/>
      </c>
      <c r="P52" s="524">
        <f>M52/M49-1</f>
        <v/>
      </c>
      <c r="Q52" s="524">
        <f>M52/M46-1</f>
        <v/>
      </c>
      <c r="R52" s="524">
        <f>M52/M40-1</f>
        <v/>
      </c>
      <c r="S52" s="524">
        <f>STDEV.S(O41:O52)*SQRT(12)</f>
        <v/>
      </c>
      <c r="T52" s="368">
        <f>IF(AND(P52&gt;$P$6,Q52&gt;$P$7,R52&gt;$P$8,M52&gt;N52,S52&lt;$P$10),1,0)</f>
        <v/>
      </c>
      <c r="U52" s="525">
        <f>IF(SUM(K52,T52,AC52)=0,0,T52/SUM(K52,T52,AC52))</f>
        <v/>
      </c>
      <c r="V52" s="368">
        <f>F1028</f>
        <v/>
      </c>
      <c r="W52" s="368">
        <f>J1028</f>
        <v/>
      </c>
      <c r="X52" s="524">
        <f>V52/V51-1</f>
        <v/>
      </c>
      <c r="Y52" s="524">
        <f>V52/V49-1</f>
        <v/>
      </c>
      <c r="Z52" s="524">
        <f>V52/V46-1</f>
        <v/>
      </c>
      <c r="AA52" s="524">
        <f>V52/V40-1</f>
        <v/>
      </c>
      <c r="AB52" s="524">
        <f>STDEV.S(X41:X52)*SQRT(12)</f>
        <v/>
      </c>
      <c r="AC52" s="368">
        <f>IF(AND(Y52&gt;$P$6,Z52&gt;$P$7,AA52&gt;$P$8,V52&gt;W52,AB52&lt;$P$10),1,0)</f>
        <v/>
      </c>
      <c r="AD52" s="525">
        <f>IF(SUM(K52,T52,AC52)=0,0,AC52/SUM(K52,T52,AC52))</f>
        <v/>
      </c>
      <c r="AE52" s="525">
        <f>IF(SUM(K52,T52,AC52)=0,1,0)</f>
        <v/>
      </c>
      <c r="AF52" s="368">
        <f>G1028</f>
        <v/>
      </c>
      <c r="AG52" s="524">
        <f>AF52/AF51-1</f>
        <v/>
      </c>
      <c r="AH52" s="524">
        <f>0.5*(ABS(L51-L50)+ABS(U51-U50)+ABS(AD51-AD50)+ABS(AE51-AE50))</f>
        <v/>
      </c>
      <c r="AI52" s="524">
        <f>L51*F52+U51*O52+AD51*X52+AE51*AG52</f>
        <v/>
      </c>
      <c r="AJ52" s="524">
        <f>AH52*$P$11</f>
        <v/>
      </c>
      <c r="AK52" s="524">
        <f>AI52-AJ52</f>
        <v/>
      </c>
      <c r="AL52" s="368">
        <f>AL51*(1+AK52)</f>
        <v/>
      </c>
      <c r="AM52" s="368">
        <f>MAX($AL$40:AL52)</f>
        <v/>
      </c>
      <c r="AN52" s="524">
        <f>AL52/AM52-1</f>
        <v/>
      </c>
      <c r="AO52" s="526">
        <f>AK52-AG52</f>
        <v/>
      </c>
    </row>
    <row r="53">
      <c r="C53" s="503" t="n">
        <v>40968</v>
      </c>
      <c r="D53" s="368">
        <f>D1048</f>
        <v/>
      </c>
      <c r="E53" s="368">
        <f>H1048</f>
        <v/>
      </c>
      <c r="F53" s="524">
        <f>D53/D52-1</f>
        <v/>
      </c>
      <c r="G53" s="524">
        <f>D53/D50-1</f>
        <v/>
      </c>
      <c r="H53" s="524">
        <f>D53/D47-1</f>
        <v/>
      </c>
      <c r="I53" s="524">
        <f>D53/D41-1</f>
        <v/>
      </c>
      <c r="J53" s="524">
        <f>STDEV.S(F42:F53)*SQRT(12)</f>
        <v/>
      </c>
      <c r="K53" s="368">
        <f>IF(AND(G53&gt;$P$6,H53&gt;$P$7,I53&gt;$P$8,D53&gt;E53,J53&lt;$P$10),1,0)</f>
        <v/>
      </c>
      <c r="L53" s="525">
        <f>IF(SUM(K53,T53,AC53)=0,0,K53/SUM(K53,T53,AC53))</f>
        <v/>
      </c>
      <c r="M53" s="368">
        <f>E1048</f>
        <v/>
      </c>
      <c r="N53" s="368">
        <f>I1048</f>
        <v/>
      </c>
      <c r="O53" s="524">
        <f>M53/M52-1</f>
        <v/>
      </c>
      <c r="P53" s="524">
        <f>M53/M50-1</f>
        <v/>
      </c>
      <c r="Q53" s="524">
        <f>M53/M47-1</f>
        <v/>
      </c>
      <c r="R53" s="524">
        <f>M53/M41-1</f>
        <v/>
      </c>
      <c r="S53" s="524">
        <f>STDEV.S(O42:O53)*SQRT(12)</f>
        <v/>
      </c>
      <c r="T53" s="368">
        <f>IF(AND(P53&gt;$P$6,Q53&gt;$P$7,R53&gt;$P$8,M53&gt;N53,S53&lt;$P$10),1,0)</f>
        <v/>
      </c>
      <c r="U53" s="525">
        <f>IF(SUM(K53,T53,AC53)=0,0,T53/SUM(K53,T53,AC53))</f>
        <v/>
      </c>
      <c r="V53" s="368">
        <f>F1048</f>
        <v/>
      </c>
      <c r="W53" s="368">
        <f>J1048</f>
        <v/>
      </c>
      <c r="X53" s="524">
        <f>V53/V52-1</f>
        <v/>
      </c>
      <c r="Y53" s="524">
        <f>V53/V50-1</f>
        <v/>
      </c>
      <c r="Z53" s="524">
        <f>V53/V47-1</f>
        <v/>
      </c>
      <c r="AA53" s="524">
        <f>V53/V41-1</f>
        <v/>
      </c>
      <c r="AB53" s="524">
        <f>STDEV.S(X42:X53)*SQRT(12)</f>
        <v/>
      </c>
      <c r="AC53" s="368">
        <f>IF(AND(Y53&gt;$P$6,Z53&gt;$P$7,AA53&gt;$P$8,V53&gt;W53,AB53&lt;$P$10),1,0)</f>
        <v/>
      </c>
      <c r="AD53" s="525">
        <f>IF(SUM(K53,T53,AC53)=0,0,AC53/SUM(K53,T53,AC53))</f>
        <v/>
      </c>
      <c r="AE53" s="525">
        <f>IF(SUM(K53,T53,AC53)=0,1,0)</f>
        <v/>
      </c>
      <c r="AF53" s="368">
        <f>G1048</f>
        <v/>
      </c>
      <c r="AG53" s="524">
        <f>AF53/AF52-1</f>
        <v/>
      </c>
      <c r="AH53" s="524">
        <f>0.5*(ABS(L52-L51)+ABS(U52-U51)+ABS(AD52-AD51)+ABS(AE52-AE51))</f>
        <v/>
      </c>
      <c r="AI53" s="524">
        <f>L52*F53+U52*O53+AD52*X53+AE52*AG53</f>
        <v/>
      </c>
      <c r="AJ53" s="524">
        <f>AH53*$P$11</f>
        <v/>
      </c>
      <c r="AK53" s="524">
        <f>AI53-AJ53</f>
        <v/>
      </c>
      <c r="AL53" s="368">
        <f>AL52*(1+AK53)</f>
        <v/>
      </c>
      <c r="AM53" s="368">
        <f>MAX($AL$40:AL53)</f>
        <v/>
      </c>
      <c r="AN53" s="524">
        <f>AL53/AM53-1</f>
        <v/>
      </c>
      <c r="AO53" s="526">
        <f>AK53-AG53</f>
        <v/>
      </c>
    </row>
    <row r="54">
      <c r="C54" s="503" t="n">
        <v>40999</v>
      </c>
      <c r="D54" s="368">
        <f>D1070</f>
        <v/>
      </c>
      <c r="E54" s="368">
        <f>H1070</f>
        <v/>
      </c>
      <c r="F54" s="524">
        <f>D54/D53-1</f>
        <v/>
      </c>
      <c r="G54" s="524">
        <f>D54/D51-1</f>
        <v/>
      </c>
      <c r="H54" s="524">
        <f>D54/D48-1</f>
        <v/>
      </c>
      <c r="I54" s="524">
        <f>D54/D42-1</f>
        <v/>
      </c>
      <c r="J54" s="524">
        <f>STDEV.S(F43:F54)*SQRT(12)</f>
        <v/>
      </c>
      <c r="K54" s="368">
        <f>IF(AND(G54&gt;$P$6,H54&gt;$P$7,I54&gt;$P$8,D54&gt;E54,J54&lt;$P$10),1,0)</f>
        <v/>
      </c>
      <c r="L54" s="525">
        <f>IF(SUM(K54,T54,AC54)=0,0,K54/SUM(K54,T54,AC54))</f>
        <v/>
      </c>
      <c r="M54" s="368">
        <f>E1070</f>
        <v/>
      </c>
      <c r="N54" s="368">
        <f>I1070</f>
        <v/>
      </c>
      <c r="O54" s="524">
        <f>M54/M53-1</f>
        <v/>
      </c>
      <c r="P54" s="524">
        <f>M54/M51-1</f>
        <v/>
      </c>
      <c r="Q54" s="524">
        <f>M54/M48-1</f>
        <v/>
      </c>
      <c r="R54" s="524">
        <f>M54/M42-1</f>
        <v/>
      </c>
      <c r="S54" s="524">
        <f>STDEV.S(O43:O54)*SQRT(12)</f>
        <v/>
      </c>
      <c r="T54" s="368">
        <f>IF(AND(P54&gt;$P$6,Q54&gt;$P$7,R54&gt;$P$8,M54&gt;N54,S54&lt;$P$10),1,0)</f>
        <v/>
      </c>
      <c r="U54" s="525">
        <f>IF(SUM(K54,T54,AC54)=0,0,T54/SUM(K54,T54,AC54))</f>
        <v/>
      </c>
      <c r="V54" s="368">
        <f>F1070</f>
        <v/>
      </c>
      <c r="W54" s="368">
        <f>J1070</f>
        <v/>
      </c>
      <c r="X54" s="524">
        <f>V54/V53-1</f>
        <v/>
      </c>
      <c r="Y54" s="524">
        <f>V54/V51-1</f>
        <v/>
      </c>
      <c r="Z54" s="524">
        <f>V54/V48-1</f>
        <v/>
      </c>
      <c r="AA54" s="524">
        <f>V54/V42-1</f>
        <v/>
      </c>
      <c r="AB54" s="524">
        <f>STDEV.S(X43:X54)*SQRT(12)</f>
        <v/>
      </c>
      <c r="AC54" s="368">
        <f>IF(AND(Y54&gt;$P$6,Z54&gt;$P$7,AA54&gt;$P$8,V54&gt;W54,AB54&lt;$P$10),1,0)</f>
        <v/>
      </c>
      <c r="AD54" s="525">
        <f>IF(SUM(K54,T54,AC54)=0,0,AC54/SUM(K54,T54,AC54))</f>
        <v/>
      </c>
      <c r="AE54" s="525">
        <f>IF(SUM(K54,T54,AC54)=0,1,0)</f>
        <v/>
      </c>
      <c r="AF54" s="368">
        <f>G1070</f>
        <v/>
      </c>
      <c r="AG54" s="524">
        <f>AF54/AF53-1</f>
        <v/>
      </c>
      <c r="AH54" s="524">
        <f>0.5*(ABS(L53-L52)+ABS(U53-U52)+ABS(AD53-AD52)+ABS(AE53-AE52))</f>
        <v/>
      </c>
      <c r="AI54" s="524">
        <f>L53*F54+U53*O54+AD53*X54+AE53*AG54</f>
        <v/>
      </c>
      <c r="AJ54" s="524">
        <f>AH54*$P$11</f>
        <v/>
      </c>
      <c r="AK54" s="524">
        <f>AI54-AJ54</f>
        <v/>
      </c>
      <c r="AL54" s="368">
        <f>AL53*(1+AK54)</f>
        <v/>
      </c>
      <c r="AM54" s="368">
        <f>MAX($AL$40:AL54)</f>
        <v/>
      </c>
      <c r="AN54" s="524">
        <f>AL54/AM54-1</f>
        <v/>
      </c>
      <c r="AO54" s="526">
        <f>AK54-AG54</f>
        <v/>
      </c>
    </row>
    <row r="55">
      <c r="C55" s="503" t="n">
        <v>41029</v>
      </c>
      <c r="D55" s="368">
        <f>D1090</f>
        <v/>
      </c>
      <c r="E55" s="368">
        <f>H1090</f>
        <v/>
      </c>
      <c r="F55" s="524">
        <f>D55/D54-1</f>
        <v/>
      </c>
      <c r="G55" s="524">
        <f>D55/D52-1</f>
        <v/>
      </c>
      <c r="H55" s="524">
        <f>D55/D49-1</f>
        <v/>
      </c>
      <c r="I55" s="524">
        <f>D55/D43-1</f>
        <v/>
      </c>
      <c r="J55" s="524">
        <f>STDEV.S(F44:F55)*SQRT(12)</f>
        <v/>
      </c>
      <c r="K55" s="368">
        <f>IF(AND(G55&gt;$P$6,H55&gt;$P$7,I55&gt;$P$8,D55&gt;E55,J55&lt;$P$10),1,0)</f>
        <v/>
      </c>
      <c r="L55" s="525">
        <f>IF(SUM(K55,T55,AC55)=0,0,K55/SUM(K55,T55,AC55))</f>
        <v/>
      </c>
      <c r="M55" s="368">
        <f>E1090</f>
        <v/>
      </c>
      <c r="N55" s="368">
        <f>I1090</f>
        <v/>
      </c>
      <c r="O55" s="524">
        <f>M55/M54-1</f>
        <v/>
      </c>
      <c r="P55" s="524">
        <f>M55/M52-1</f>
        <v/>
      </c>
      <c r="Q55" s="524">
        <f>M55/M49-1</f>
        <v/>
      </c>
      <c r="R55" s="524">
        <f>M55/M43-1</f>
        <v/>
      </c>
      <c r="S55" s="524">
        <f>STDEV.S(O44:O55)*SQRT(12)</f>
        <v/>
      </c>
      <c r="T55" s="368">
        <f>IF(AND(P55&gt;$P$6,Q55&gt;$P$7,R55&gt;$P$8,M55&gt;N55,S55&lt;$P$10),1,0)</f>
        <v/>
      </c>
      <c r="U55" s="525">
        <f>IF(SUM(K55,T55,AC55)=0,0,T55/SUM(K55,T55,AC55))</f>
        <v/>
      </c>
      <c r="V55" s="368">
        <f>F1090</f>
        <v/>
      </c>
      <c r="W55" s="368">
        <f>J1090</f>
        <v/>
      </c>
      <c r="X55" s="524">
        <f>V55/V54-1</f>
        <v/>
      </c>
      <c r="Y55" s="524">
        <f>V55/V52-1</f>
        <v/>
      </c>
      <c r="Z55" s="524">
        <f>V55/V49-1</f>
        <v/>
      </c>
      <c r="AA55" s="524">
        <f>V55/V43-1</f>
        <v/>
      </c>
      <c r="AB55" s="524">
        <f>STDEV.S(X44:X55)*SQRT(12)</f>
        <v/>
      </c>
      <c r="AC55" s="368">
        <f>IF(AND(Y55&gt;$P$6,Z55&gt;$P$7,AA55&gt;$P$8,V55&gt;W55,AB55&lt;$P$10),1,0)</f>
        <v/>
      </c>
      <c r="AD55" s="525">
        <f>IF(SUM(K55,T55,AC55)=0,0,AC55/SUM(K55,T55,AC55))</f>
        <v/>
      </c>
      <c r="AE55" s="525">
        <f>IF(SUM(K55,T55,AC55)=0,1,0)</f>
        <v/>
      </c>
      <c r="AF55" s="368">
        <f>G1090</f>
        <v/>
      </c>
      <c r="AG55" s="524">
        <f>AF55/AF54-1</f>
        <v/>
      </c>
      <c r="AH55" s="524">
        <f>0.5*(ABS(L54-L53)+ABS(U54-U53)+ABS(AD54-AD53)+ABS(AE54-AE53))</f>
        <v/>
      </c>
      <c r="AI55" s="524">
        <f>L54*F55+U54*O55+AD54*X55+AE54*AG55</f>
        <v/>
      </c>
      <c r="AJ55" s="524">
        <f>AH55*$P$11</f>
        <v/>
      </c>
      <c r="AK55" s="524">
        <f>AI55-AJ55</f>
        <v/>
      </c>
      <c r="AL55" s="368">
        <f>AL54*(1+AK55)</f>
        <v/>
      </c>
      <c r="AM55" s="368">
        <f>MAX($AL$40:AL55)</f>
        <v/>
      </c>
      <c r="AN55" s="524">
        <f>AL55/AM55-1</f>
        <v/>
      </c>
      <c r="AO55" s="526">
        <f>AK55-AG55</f>
        <v/>
      </c>
    </row>
    <row r="56">
      <c r="C56" s="503" t="n">
        <v>41060</v>
      </c>
      <c r="D56" s="368">
        <f>D1112</f>
        <v/>
      </c>
      <c r="E56" s="368">
        <f>H1112</f>
        <v/>
      </c>
      <c r="F56" s="524">
        <f>D56/D55-1</f>
        <v/>
      </c>
      <c r="G56" s="524">
        <f>D56/D53-1</f>
        <v/>
      </c>
      <c r="H56" s="524">
        <f>D56/D50-1</f>
        <v/>
      </c>
      <c r="I56" s="524">
        <f>D56/D44-1</f>
        <v/>
      </c>
      <c r="J56" s="524">
        <f>STDEV.S(F45:F56)*SQRT(12)</f>
        <v/>
      </c>
      <c r="K56" s="368">
        <f>IF(AND(G56&gt;$P$6,H56&gt;$P$7,I56&gt;$P$8,D56&gt;E56,J56&lt;$P$10),1,0)</f>
        <v/>
      </c>
      <c r="L56" s="525">
        <f>IF(SUM(K56,T56,AC56)=0,0,K56/SUM(K56,T56,AC56))</f>
        <v/>
      </c>
      <c r="M56" s="368">
        <f>E1112</f>
        <v/>
      </c>
      <c r="N56" s="368">
        <f>I1112</f>
        <v/>
      </c>
      <c r="O56" s="524">
        <f>M56/M55-1</f>
        <v/>
      </c>
      <c r="P56" s="524">
        <f>M56/M53-1</f>
        <v/>
      </c>
      <c r="Q56" s="524">
        <f>M56/M50-1</f>
        <v/>
      </c>
      <c r="R56" s="524">
        <f>M56/M44-1</f>
        <v/>
      </c>
      <c r="S56" s="524">
        <f>STDEV.S(O45:O56)*SQRT(12)</f>
        <v/>
      </c>
      <c r="T56" s="368">
        <f>IF(AND(P56&gt;$P$6,Q56&gt;$P$7,R56&gt;$P$8,M56&gt;N56,S56&lt;$P$10),1,0)</f>
        <v/>
      </c>
      <c r="U56" s="525">
        <f>IF(SUM(K56,T56,AC56)=0,0,T56/SUM(K56,T56,AC56))</f>
        <v/>
      </c>
      <c r="V56" s="368">
        <f>F1112</f>
        <v/>
      </c>
      <c r="W56" s="368">
        <f>J1112</f>
        <v/>
      </c>
      <c r="X56" s="524">
        <f>V56/V55-1</f>
        <v/>
      </c>
      <c r="Y56" s="524">
        <f>V56/V53-1</f>
        <v/>
      </c>
      <c r="Z56" s="524">
        <f>V56/V50-1</f>
        <v/>
      </c>
      <c r="AA56" s="524">
        <f>V56/V44-1</f>
        <v/>
      </c>
      <c r="AB56" s="524">
        <f>STDEV.S(X45:X56)*SQRT(12)</f>
        <v/>
      </c>
      <c r="AC56" s="368">
        <f>IF(AND(Y56&gt;$P$6,Z56&gt;$P$7,AA56&gt;$P$8,V56&gt;W56,AB56&lt;$P$10),1,0)</f>
        <v/>
      </c>
      <c r="AD56" s="525">
        <f>IF(SUM(K56,T56,AC56)=0,0,AC56/SUM(K56,T56,AC56))</f>
        <v/>
      </c>
      <c r="AE56" s="525">
        <f>IF(SUM(K56,T56,AC56)=0,1,0)</f>
        <v/>
      </c>
      <c r="AF56" s="368">
        <f>G1112</f>
        <v/>
      </c>
      <c r="AG56" s="524">
        <f>AF56/AF55-1</f>
        <v/>
      </c>
      <c r="AH56" s="524">
        <f>0.5*(ABS(L55-L54)+ABS(U55-U54)+ABS(AD55-AD54)+ABS(AE55-AE54))</f>
        <v/>
      </c>
      <c r="AI56" s="524">
        <f>L55*F56+U55*O56+AD55*X56+AE55*AG56</f>
        <v/>
      </c>
      <c r="AJ56" s="524">
        <f>AH56*$P$11</f>
        <v/>
      </c>
      <c r="AK56" s="524">
        <f>AI56-AJ56</f>
        <v/>
      </c>
      <c r="AL56" s="368">
        <f>AL55*(1+AK56)</f>
        <v/>
      </c>
      <c r="AM56" s="368">
        <f>MAX($AL$40:AL56)</f>
        <v/>
      </c>
      <c r="AN56" s="524">
        <f>AL56/AM56-1</f>
        <v/>
      </c>
      <c r="AO56" s="526">
        <f>AK56-AG56</f>
        <v/>
      </c>
    </row>
    <row r="57">
      <c r="C57" s="503" t="n">
        <v>41090</v>
      </c>
      <c r="D57" s="368">
        <f>D1133</f>
        <v/>
      </c>
      <c r="E57" s="368">
        <f>H1133</f>
        <v/>
      </c>
      <c r="F57" s="524">
        <f>D57/D56-1</f>
        <v/>
      </c>
      <c r="G57" s="524">
        <f>D57/D54-1</f>
        <v/>
      </c>
      <c r="H57" s="524">
        <f>D57/D51-1</f>
        <v/>
      </c>
      <c r="I57" s="524">
        <f>D57/D45-1</f>
        <v/>
      </c>
      <c r="J57" s="524">
        <f>STDEV.S(F46:F57)*SQRT(12)</f>
        <v/>
      </c>
      <c r="K57" s="368">
        <f>IF(AND(G57&gt;$P$6,H57&gt;$P$7,I57&gt;$P$8,D57&gt;E57,J57&lt;$P$10),1,0)</f>
        <v/>
      </c>
      <c r="L57" s="525">
        <f>IF(SUM(K57,T57,AC57)=0,0,K57/SUM(K57,T57,AC57))</f>
        <v/>
      </c>
      <c r="M57" s="368">
        <f>E1133</f>
        <v/>
      </c>
      <c r="N57" s="368">
        <f>I1133</f>
        <v/>
      </c>
      <c r="O57" s="524">
        <f>M57/M56-1</f>
        <v/>
      </c>
      <c r="P57" s="524">
        <f>M57/M54-1</f>
        <v/>
      </c>
      <c r="Q57" s="524">
        <f>M57/M51-1</f>
        <v/>
      </c>
      <c r="R57" s="524">
        <f>M57/M45-1</f>
        <v/>
      </c>
      <c r="S57" s="524">
        <f>STDEV.S(O46:O57)*SQRT(12)</f>
        <v/>
      </c>
      <c r="T57" s="368">
        <f>IF(AND(P57&gt;$P$6,Q57&gt;$P$7,R57&gt;$P$8,M57&gt;N57,S57&lt;$P$10),1,0)</f>
        <v/>
      </c>
      <c r="U57" s="525">
        <f>IF(SUM(K57,T57,AC57)=0,0,T57/SUM(K57,T57,AC57))</f>
        <v/>
      </c>
      <c r="V57" s="368">
        <f>F1133</f>
        <v/>
      </c>
      <c r="W57" s="368">
        <f>J1133</f>
        <v/>
      </c>
      <c r="X57" s="524">
        <f>V57/V56-1</f>
        <v/>
      </c>
      <c r="Y57" s="524">
        <f>V57/V54-1</f>
        <v/>
      </c>
      <c r="Z57" s="524">
        <f>V57/V51-1</f>
        <v/>
      </c>
      <c r="AA57" s="524">
        <f>V57/V45-1</f>
        <v/>
      </c>
      <c r="AB57" s="524">
        <f>STDEV.S(X46:X57)*SQRT(12)</f>
        <v/>
      </c>
      <c r="AC57" s="368">
        <f>IF(AND(Y57&gt;$P$6,Z57&gt;$P$7,AA57&gt;$P$8,V57&gt;W57,AB57&lt;$P$10),1,0)</f>
        <v/>
      </c>
      <c r="AD57" s="525">
        <f>IF(SUM(K57,T57,AC57)=0,0,AC57/SUM(K57,T57,AC57))</f>
        <v/>
      </c>
      <c r="AE57" s="525">
        <f>IF(SUM(K57,T57,AC57)=0,1,0)</f>
        <v/>
      </c>
      <c r="AF57" s="368">
        <f>G1133</f>
        <v/>
      </c>
      <c r="AG57" s="524">
        <f>AF57/AF56-1</f>
        <v/>
      </c>
      <c r="AH57" s="524">
        <f>0.5*(ABS(L56-L55)+ABS(U56-U55)+ABS(AD56-AD55)+ABS(AE56-AE55))</f>
        <v/>
      </c>
      <c r="AI57" s="524">
        <f>L56*F57+U56*O57+AD56*X57+AE56*AG57</f>
        <v/>
      </c>
      <c r="AJ57" s="524">
        <f>AH57*$P$11</f>
        <v/>
      </c>
      <c r="AK57" s="524">
        <f>AI57-AJ57</f>
        <v/>
      </c>
      <c r="AL57" s="368">
        <f>AL56*(1+AK57)</f>
        <v/>
      </c>
      <c r="AM57" s="368">
        <f>MAX($AL$40:AL57)</f>
        <v/>
      </c>
      <c r="AN57" s="524">
        <f>AL57/AM57-1</f>
        <v/>
      </c>
      <c r="AO57" s="526">
        <f>AK57-AG57</f>
        <v/>
      </c>
    </row>
    <row r="58">
      <c r="C58" s="503" t="n">
        <v>41121</v>
      </c>
      <c r="D58" s="368">
        <f>D1154</f>
        <v/>
      </c>
      <c r="E58" s="368">
        <f>H1154</f>
        <v/>
      </c>
      <c r="F58" s="524">
        <f>D58/D57-1</f>
        <v/>
      </c>
      <c r="G58" s="524">
        <f>D58/D55-1</f>
        <v/>
      </c>
      <c r="H58" s="524">
        <f>D58/D52-1</f>
        <v/>
      </c>
      <c r="I58" s="524">
        <f>D58/D46-1</f>
        <v/>
      </c>
      <c r="J58" s="524">
        <f>STDEV.S(F47:F58)*SQRT(12)</f>
        <v/>
      </c>
      <c r="K58" s="368">
        <f>IF(AND(G58&gt;$P$6,H58&gt;$P$7,I58&gt;$P$8,D58&gt;E58,J58&lt;$P$10),1,0)</f>
        <v/>
      </c>
      <c r="L58" s="525">
        <f>IF(SUM(K58,T58,AC58)=0,0,K58/SUM(K58,T58,AC58))</f>
        <v/>
      </c>
      <c r="M58" s="368">
        <f>E1154</f>
        <v/>
      </c>
      <c r="N58" s="368">
        <f>I1154</f>
        <v/>
      </c>
      <c r="O58" s="524">
        <f>M58/M57-1</f>
        <v/>
      </c>
      <c r="P58" s="524">
        <f>M58/M55-1</f>
        <v/>
      </c>
      <c r="Q58" s="524">
        <f>M58/M52-1</f>
        <v/>
      </c>
      <c r="R58" s="524">
        <f>M58/M46-1</f>
        <v/>
      </c>
      <c r="S58" s="524">
        <f>STDEV.S(O47:O58)*SQRT(12)</f>
        <v/>
      </c>
      <c r="T58" s="368">
        <f>IF(AND(P58&gt;$P$6,Q58&gt;$P$7,R58&gt;$P$8,M58&gt;N58,S58&lt;$P$10),1,0)</f>
        <v/>
      </c>
      <c r="U58" s="525">
        <f>IF(SUM(K58,T58,AC58)=0,0,T58/SUM(K58,T58,AC58))</f>
        <v/>
      </c>
      <c r="V58" s="368">
        <f>F1154</f>
        <v/>
      </c>
      <c r="W58" s="368">
        <f>J1154</f>
        <v/>
      </c>
      <c r="X58" s="524">
        <f>V58/V57-1</f>
        <v/>
      </c>
      <c r="Y58" s="524">
        <f>V58/V55-1</f>
        <v/>
      </c>
      <c r="Z58" s="524">
        <f>V58/V52-1</f>
        <v/>
      </c>
      <c r="AA58" s="524">
        <f>V58/V46-1</f>
        <v/>
      </c>
      <c r="AB58" s="524">
        <f>STDEV.S(X47:X58)*SQRT(12)</f>
        <v/>
      </c>
      <c r="AC58" s="368">
        <f>IF(AND(Y58&gt;$P$6,Z58&gt;$P$7,AA58&gt;$P$8,V58&gt;W58,AB58&lt;$P$10),1,0)</f>
        <v/>
      </c>
      <c r="AD58" s="525">
        <f>IF(SUM(K58,T58,AC58)=0,0,AC58/SUM(K58,T58,AC58))</f>
        <v/>
      </c>
      <c r="AE58" s="525">
        <f>IF(SUM(K58,T58,AC58)=0,1,0)</f>
        <v/>
      </c>
      <c r="AF58" s="368">
        <f>G1154</f>
        <v/>
      </c>
      <c r="AG58" s="524">
        <f>AF58/AF57-1</f>
        <v/>
      </c>
      <c r="AH58" s="524">
        <f>0.5*(ABS(L57-L56)+ABS(U57-U56)+ABS(AD57-AD56)+ABS(AE57-AE56))</f>
        <v/>
      </c>
      <c r="AI58" s="524">
        <f>L57*F58+U57*O58+AD57*X58+AE57*AG58</f>
        <v/>
      </c>
      <c r="AJ58" s="524">
        <f>AH58*$P$11</f>
        <v/>
      </c>
      <c r="AK58" s="524">
        <f>AI58-AJ58</f>
        <v/>
      </c>
      <c r="AL58" s="368">
        <f>AL57*(1+AK58)</f>
        <v/>
      </c>
      <c r="AM58" s="368">
        <f>MAX($AL$40:AL58)</f>
        <v/>
      </c>
      <c r="AN58" s="524">
        <f>AL58/AM58-1</f>
        <v/>
      </c>
      <c r="AO58" s="526">
        <f>AK58-AG58</f>
        <v/>
      </c>
    </row>
    <row r="59">
      <c r="C59" s="503" t="n">
        <v>41152</v>
      </c>
      <c r="D59" s="368">
        <f>D1177</f>
        <v/>
      </c>
      <c r="E59" s="368">
        <f>H1177</f>
        <v/>
      </c>
      <c r="F59" s="524">
        <f>D59/D58-1</f>
        <v/>
      </c>
      <c r="G59" s="524">
        <f>D59/D56-1</f>
        <v/>
      </c>
      <c r="H59" s="524">
        <f>D59/D53-1</f>
        <v/>
      </c>
      <c r="I59" s="524">
        <f>D59/D47-1</f>
        <v/>
      </c>
      <c r="J59" s="524">
        <f>STDEV.S(F48:F59)*SQRT(12)</f>
        <v/>
      </c>
      <c r="K59" s="368">
        <f>IF(AND(G59&gt;$P$6,H59&gt;$P$7,I59&gt;$P$8,D59&gt;E59,J59&lt;$P$10),1,0)</f>
        <v/>
      </c>
      <c r="L59" s="525">
        <f>IF(SUM(K59,T59,AC59)=0,0,K59/SUM(K59,T59,AC59))</f>
        <v/>
      </c>
      <c r="M59" s="368">
        <f>E1177</f>
        <v/>
      </c>
      <c r="N59" s="368">
        <f>I1177</f>
        <v/>
      </c>
      <c r="O59" s="524">
        <f>M59/M58-1</f>
        <v/>
      </c>
      <c r="P59" s="524">
        <f>M59/M56-1</f>
        <v/>
      </c>
      <c r="Q59" s="524">
        <f>M59/M53-1</f>
        <v/>
      </c>
      <c r="R59" s="524">
        <f>M59/M47-1</f>
        <v/>
      </c>
      <c r="S59" s="524">
        <f>STDEV.S(O48:O59)*SQRT(12)</f>
        <v/>
      </c>
      <c r="T59" s="368">
        <f>IF(AND(P59&gt;$P$6,Q59&gt;$P$7,R59&gt;$P$8,M59&gt;N59,S59&lt;$P$10),1,0)</f>
        <v/>
      </c>
      <c r="U59" s="525">
        <f>IF(SUM(K59,T59,AC59)=0,0,T59/SUM(K59,T59,AC59))</f>
        <v/>
      </c>
      <c r="V59" s="368">
        <f>F1177</f>
        <v/>
      </c>
      <c r="W59" s="368">
        <f>J1177</f>
        <v/>
      </c>
      <c r="X59" s="524">
        <f>V59/V58-1</f>
        <v/>
      </c>
      <c r="Y59" s="524">
        <f>V59/V56-1</f>
        <v/>
      </c>
      <c r="Z59" s="524">
        <f>V59/V53-1</f>
        <v/>
      </c>
      <c r="AA59" s="524">
        <f>V59/V47-1</f>
        <v/>
      </c>
      <c r="AB59" s="524">
        <f>STDEV.S(X48:X59)*SQRT(12)</f>
        <v/>
      </c>
      <c r="AC59" s="368">
        <f>IF(AND(Y59&gt;$P$6,Z59&gt;$P$7,AA59&gt;$P$8,V59&gt;W59,AB59&lt;$P$10),1,0)</f>
        <v/>
      </c>
      <c r="AD59" s="525">
        <f>IF(SUM(K59,T59,AC59)=0,0,AC59/SUM(K59,T59,AC59))</f>
        <v/>
      </c>
      <c r="AE59" s="525">
        <f>IF(SUM(K59,T59,AC59)=0,1,0)</f>
        <v/>
      </c>
      <c r="AF59" s="368">
        <f>G1177</f>
        <v/>
      </c>
      <c r="AG59" s="524">
        <f>AF59/AF58-1</f>
        <v/>
      </c>
      <c r="AH59" s="524">
        <f>0.5*(ABS(L58-L57)+ABS(U58-U57)+ABS(AD58-AD57)+ABS(AE58-AE57))</f>
        <v/>
      </c>
      <c r="AI59" s="524">
        <f>L58*F59+U58*O59+AD58*X59+AE58*AG59</f>
        <v/>
      </c>
      <c r="AJ59" s="524">
        <f>AH59*$P$11</f>
        <v/>
      </c>
      <c r="AK59" s="524">
        <f>AI59-AJ59</f>
        <v/>
      </c>
      <c r="AL59" s="368">
        <f>AL58*(1+AK59)</f>
        <v/>
      </c>
      <c r="AM59" s="368">
        <f>MAX($AL$40:AL59)</f>
        <v/>
      </c>
      <c r="AN59" s="524">
        <f>AL59/AM59-1</f>
        <v/>
      </c>
      <c r="AO59" s="526">
        <f>AK59-AG59</f>
        <v/>
      </c>
    </row>
    <row r="60">
      <c r="C60" s="503" t="n">
        <v>41182</v>
      </c>
      <c r="D60" s="368">
        <f>D1196</f>
        <v/>
      </c>
      <c r="E60" s="368">
        <f>H1196</f>
        <v/>
      </c>
      <c r="F60" s="524">
        <f>D60/D59-1</f>
        <v/>
      </c>
      <c r="G60" s="524">
        <f>D60/D57-1</f>
        <v/>
      </c>
      <c r="H60" s="524">
        <f>D60/D54-1</f>
        <v/>
      </c>
      <c r="I60" s="524">
        <f>D60/D48-1</f>
        <v/>
      </c>
      <c r="J60" s="524">
        <f>STDEV.S(F49:F60)*SQRT(12)</f>
        <v/>
      </c>
      <c r="K60" s="368">
        <f>IF(AND(G60&gt;$P$6,H60&gt;$P$7,I60&gt;$P$8,D60&gt;E60,J60&lt;$P$10),1,0)</f>
        <v/>
      </c>
      <c r="L60" s="525">
        <f>IF(SUM(K60,T60,AC60)=0,0,K60/SUM(K60,T60,AC60))</f>
        <v/>
      </c>
      <c r="M60" s="368">
        <f>E1196</f>
        <v/>
      </c>
      <c r="N60" s="368">
        <f>I1196</f>
        <v/>
      </c>
      <c r="O60" s="524">
        <f>M60/M59-1</f>
        <v/>
      </c>
      <c r="P60" s="524">
        <f>M60/M57-1</f>
        <v/>
      </c>
      <c r="Q60" s="524">
        <f>M60/M54-1</f>
        <v/>
      </c>
      <c r="R60" s="524">
        <f>M60/M48-1</f>
        <v/>
      </c>
      <c r="S60" s="524">
        <f>STDEV.S(O49:O60)*SQRT(12)</f>
        <v/>
      </c>
      <c r="T60" s="368">
        <f>IF(AND(P60&gt;$P$6,Q60&gt;$P$7,R60&gt;$P$8,M60&gt;N60,S60&lt;$P$10),1,0)</f>
        <v/>
      </c>
      <c r="U60" s="525">
        <f>IF(SUM(K60,T60,AC60)=0,0,T60/SUM(K60,T60,AC60))</f>
        <v/>
      </c>
      <c r="V60" s="368">
        <f>F1196</f>
        <v/>
      </c>
      <c r="W60" s="368">
        <f>J1196</f>
        <v/>
      </c>
      <c r="X60" s="524">
        <f>V60/V59-1</f>
        <v/>
      </c>
      <c r="Y60" s="524">
        <f>V60/V57-1</f>
        <v/>
      </c>
      <c r="Z60" s="524">
        <f>V60/V54-1</f>
        <v/>
      </c>
      <c r="AA60" s="524">
        <f>V60/V48-1</f>
        <v/>
      </c>
      <c r="AB60" s="524">
        <f>STDEV.S(X49:X60)*SQRT(12)</f>
        <v/>
      </c>
      <c r="AC60" s="368">
        <f>IF(AND(Y60&gt;$P$6,Z60&gt;$P$7,AA60&gt;$P$8,V60&gt;W60,AB60&lt;$P$10),1,0)</f>
        <v/>
      </c>
      <c r="AD60" s="525">
        <f>IF(SUM(K60,T60,AC60)=0,0,AC60/SUM(K60,T60,AC60))</f>
        <v/>
      </c>
      <c r="AE60" s="525">
        <f>IF(SUM(K60,T60,AC60)=0,1,0)</f>
        <v/>
      </c>
      <c r="AF60" s="368">
        <f>G1196</f>
        <v/>
      </c>
      <c r="AG60" s="524">
        <f>AF60/AF59-1</f>
        <v/>
      </c>
      <c r="AH60" s="524">
        <f>0.5*(ABS(L59-L58)+ABS(U59-U58)+ABS(AD59-AD58)+ABS(AE59-AE58))</f>
        <v/>
      </c>
      <c r="AI60" s="524">
        <f>L59*F60+U59*O60+AD59*X60+AE59*AG60</f>
        <v/>
      </c>
      <c r="AJ60" s="524">
        <f>AH60*$P$11</f>
        <v/>
      </c>
      <c r="AK60" s="524">
        <f>AI60-AJ60</f>
        <v/>
      </c>
      <c r="AL60" s="368">
        <f>AL59*(1+AK60)</f>
        <v/>
      </c>
      <c r="AM60" s="368">
        <f>MAX($AL$40:AL60)</f>
        <v/>
      </c>
      <c r="AN60" s="524">
        <f>AL60/AM60-1</f>
        <v/>
      </c>
      <c r="AO60" s="526">
        <f>AK60-AG60</f>
        <v/>
      </c>
    </row>
    <row r="61">
      <c r="C61" s="503" t="n">
        <v>41213</v>
      </c>
      <c r="D61" s="368">
        <f>D1217</f>
        <v/>
      </c>
      <c r="E61" s="368">
        <f>H1217</f>
        <v/>
      </c>
      <c r="F61" s="524">
        <f>D61/D60-1</f>
        <v/>
      </c>
      <c r="G61" s="524">
        <f>D61/D58-1</f>
        <v/>
      </c>
      <c r="H61" s="524">
        <f>D61/D55-1</f>
        <v/>
      </c>
      <c r="I61" s="524">
        <f>D61/D49-1</f>
        <v/>
      </c>
      <c r="J61" s="524">
        <f>STDEV.S(F50:F61)*SQRT(12)</f>
        <v/>
      </c>
      <c r="K61" s="368">
        <f>IF(AND(G61&gt;$P$6,H61&gt;$P$7,I61&gt;$P$8,D61&gt;E61,J61&lt;$P$10),1,0)</f>
        <v/>
      </c>
      <c r="L61" s="525">
        <f>IF(SUM(K61,T61,AC61)=0,0,K61/SUM(K61,T61,AC61))</f>
        <v/>
      </c>
      <c r="M61" s="368">
        <f>E1217</f>
        <v/>
      </c>
      <c r="N61" s="368">
        <f>I1217</f>
        <v/>
      </c>
      <c r="O61" s="524">
        <f>M61/M60-1</f>
        <v/>
      </c>
      <c r="P61" s="524">
        <f>M61/M58-1</f>
        <v/>
      </c>
      <c r="Q61" s="524">
        <f>M61/M55-1</f>
        <v/>
      </c>
      <c r="R61" s="524">
        <f>M61/M49-1</f>
        <v/>
      </c>
      <c r="S61" s="524">
        <f>STDEV.S(O50:O61)*SQRT(12)</f>
        <v/>
      </c>
      <c r="T61" s="368">
        <f>IF(AND(P61&gt;$P$6,Q61&gt;$P$7,R61&gt;$P$8,M61&gt;N61,S61&lt;$P$10),1,0)</f>
        <v/>
      </c>
      <c r="U61" s="525">
        <f>IF(SUM(K61,T61,AC61)=0,0,T61/SUM(K61,T61,AC61))</f>
        <v/>
      </c>
      <c r="V61" s="368">
        <f>F1217</f>
        <v/>
      </c>
      <c r="W61" s="368">
        <f>J1217</f>
        <v/>
      </c>
      <c r="X61" s="524">
        <f>V61/V60-1</f>
        <v/>
      </c>
      <c r="Y61" s="524">
        <f>V61/V58-1</f>
        <v/>
      </c>
      <c r="Z61" s="524">
        <f>V61/V55-1</f>
        <v/>
      </c>
      <c r="AA61" s="524">
        <f>V61/V49-1</f>
        <v/>
      </c>
      <c r="AB61" s="524">
        <f>STDEV.S(X50:X61)*SQRT(12)</f>
        <v/>
      </c>
      <c r="AC61" s="368">
        <f>IF(AND(Y61&gt;$P$6,Z61&gt;$P$7,AA61&gt;$P$8,V61&gt;W61,AB61&lt;$P$10),1,0)</f>
        <v/>
      </c>
      <c r="AD61" s="525">
        <f>IF(SUM(K61,T61,AC61)=0,0,AC61/SUM(K61,T61,AC61))</f>
        <v/>
      </c>
      <c r="AE61" s="525">
        <f>IF(SUM(K61,T61,AC61)=0,1,0)</f>
        <v/>
      </c>
      <c r="AF61" s="368">
        <f>G1217</f>
        <v/>
      </c>
      <c r="AG61" s="524">
        <f>AF61/AF60-1</f>
        <v/>
      </c>
      <c r="AH61" s="524">
        <f>0.5*(ABS(L60-L59)+ABS(U60-U59)+ABS(AD60-AD59)+ABS(AE60-AE59))</f>
        <v/>
      </c>
      <c r="AI61" s="524">
        <f>L60*F61+U60*O61+AD60*X61+AE60*AG61</f>
        <v/>
      </c>
      <c r="AJ61" s="524">
        <f>AH61*$P$11</f>
        <v/>
      </c>
      <c r="AK61" s="524">
        <f>AI61-AJ61</f>
        <v/>
      </c>
      <c r="AL61" s="368">
        <f>AL60*(1+AK61)</f>
        <v/>
      </c>
      <c r="AM61" s="368">
        <f>MAX($AL$40:AL61)</f>
        <v/>
      </c>
      <c r="AN61" s="524">
        <f>AL61/AM61-1</f>
        <v/>
      </c>
      <c r="AO61" s="526">
        <f>AK61-AG61</f>
        <v/>
      </c>
    </row>
    <row r="62">
      <c r="C62" s="503" t="n">
        <v>41243</v>
      </c>
      <c r="D62" s="368">
        <f>D1238</f>
        <v/>
      </c>
      <c r="E62" s="368">
        <f>H1238</f>
        <v/>
      </c>
      <c r="F62" s="524">
        <f>D62/D61-1</f>
        <v/>
      </c>
      <c r="G62" s="524">
        <f>D62/D59-1</f>
        <v/>
      </c>
      <c r="H62" s="524">
        <f>D62/D56-1</f>
        <v/>
      </c>
      <c r="I62" s="524">
        <f>D62/D50-1</f>
        <v/>
      </c>
      <c r="J62" s="524">
        <f>STDEV.S(F51:F62)*SQRT(12)</f>
        <v/>
      </c>
      <c r="K62" s="368">
        <f>IF(AND(G62&gt;$P$6,H62&gt;$P$7,I62&gt;$P$8,D62&gt;E62,J62&lt;$P$10),1,0)</f>
        <v/>
      </c>
      <c r="L62" s="525">
        <f>IF(SUM(K62,T62,AC62)=0,0,K62/SUM(K62,T62,AC62))</f>
        <v/>
      </c>
      <c r="M62" s="368">
        <f>E1238</f>
        <v/>
      </c>
      <c r="N62" s="368">
        <f>I1238</f>
        <v/>
      </c>
      <c r="O62" s="524">
        <f>M62/M61-1</f>
        <v/>
      </c>
      <c r="P62" s="524">
        <f>M62/M59-1</f>
        <v/>
      </c>
      <c r="Q62" s="524">
        <f>M62/M56-1</f>
        <v/>
      </c>
      <c r="R62" s="524">
        <f>M62/M50-1</f>
        <v/>
      </c>
      <c r="S62" s="524">
        <f>STDEV.S(O51:O62)*SQRT(12)</f>
        <v/>
      </c>
      <c r="T62" s="368">
        <f>IF(AND(P62&gt;$P$6,Q62&gt;$P$7,R62&gt;$P$8,M62&gt;N62,S62&lt;$P$10),1,0)</f>
        <v/>
      </c>
      <c r="U62" s="525">
        <f>IF(SUM(K62,T62,AC62)=0,0,T62/SUM(K62,T62,AC62))</f>
        <v/>
      </c>
      <c r="V62" s="368">
        <f>F1238</f>
        <v/>
      </c>
      <c r="W62" s="368">
        <f>J1238</f>
        <v/>
      </c>
      <c r="X62" s="524">
        <f>V62/V61-1</f>
        <v/>
      </c>
      <c r="Y62" s="524">
        <f>V62/V59-1</f>
        <v/>
      </c>
      <c r="Z62" s="524">
        <f>V62/V56-1</f>
        <v/>
      </c>
      <c r="AA62" s="524">
        <f>V62/V50-1</f>
        <v/>
      </c>
      <c r="AB62" s="524">
        <f>STDEV.S(X51:X62)*SQRT(12)</f>
        <v/>
      </c>
      <c r="AC62" s="368">
        <f>IF(AND(Y62&gt;$P$6,Z62&gt;$P$7,AA62&gt;$P$8,V62&gt;W62,AB62&lt;$P$10),1,0)</f>
        <v/>
      </c>
      <c r="AD62" s="525">
        <f>IF(SUM(K62,T62,AC62)=0,0,AC62/SUM(K62,T62,AC62))</f>
        <v/>
      </c>
      <c r="AE62" s="525">
        <f>IF(SUM(K62,T62,AC62)=0,1,0)</f>
        <v/>
      </c>
      <c r="AF62" s="368">
        <f>G1238</f>
        <v/>
      </c>
      <c r="AG62" s="524">
        <f>AF62/AF61-1</f>
        <v/>
      </c>
      <c r="AH62" s="524">
        <f>0.5*(ABS(L61-L60)+ABS(U61-U60)+ABS(AD61-AD60)+ABS(AE61-AE60))</f>
        <v/>
      </c>
      <c r="AI62" s="524">
        <f>L61*F62+U61*O62+AD61*X62+AE61*AG62</f>
        <v/>
      </c>
      <c r="AJ62" s="524">
        <f>AH62*$P$11</f>
        <v/>
      </c>
      <c r="AK62" s="524">
        <f>AI62-AJ62</f>
        <v/>
      </c>
      <c r="AL62" s="368">
        <f>AL61*(1+AK62)</f>
        <v/>
      </c>
      <c r="AM62" s="368">
        <f>MAX($AL$40:AL62)</f>
        <v/>
      </c>
      <c r="AN62" s="524">
        <f>AL62/AM62-1</f>
        <v/>
      </c>
      <c r="AO62" s="526">
        <f>AK62-AG62</f>
        <v/>
      </c>
    </row>
    <row r="63">
      <c r="C63" s="503" t="n">
        <v>41274</v>
      </c>
      <c r="D63" s="368">
        <f>D1258</f>
        <v/>
      </c>
      <c r="E63" s="368">
        <f>H1258</f>
        <v/>
      </c>
      <c r="F63" s="524">
        <f>D63/D62-1</f>
        <v/>
      </c>
      <c r="G63" s="524">
        <f>D63/D60-1</f>
        <v/>
      </c>
      <c r="H63" s="524">
        <f>D63/D57-1</f>
        <v/>
      </c>
      <c r="I63" s="524">
        <f>D63/D51-1</f>
        <v/>
      </c>
      <c r="J63" s="524">
        <f>STDEV.S(F52:F63)*SQRT(12)</f>
        <v/>
      </c>
      <c r="K63" s="368">
        <f>IF(AND(G63&gt;$P$6,H63&gt;$P$7,I63&gt;$P$8,D63&gt;E63,J63&lt;$P$10),1,0)</f>
        <v/>
      </c>
      <c r="L63" s="525">
        <f>IF(SUM(K63,T63,AC63)=0,0,K63/SUM(K63,T63,AC63))</f>
        <v/>
      </c>
      <c r="M63" s="368">
        <f>E1258</f>
        <v/>
      </c>
      <c r="N63" s="368">
        <f>I1258</f>
        <v/>
      </c>
      <c r="O63" s="524">
        <f>M63/M62-1</f>
        <v/>
      </c>
      <c r="P63" s="524">
        <f>M63/M60-1</f>
        <v/>
      </c>
      <c r="Q63" s="524">
        <f>M63/M57-1</f>
        <v/>
      </c>
      <c r="R63" s="524">
        <f>M63/M51-1</f>
        <v/>
      </c>
      <c r="S63" s="524">
        <f>STDEV.S(O52:O63)*SQRT(12)</f>
        <v/>
      </c>
      <c r="T63" s="368">
        <f>IF(AND(P63&gt;$P$6,Q63&gt;$P$7,R63&gt;$P$8,M63&gt;N63,S63&lt;$P$10),1,0)</f>
        <v/>
      </c>
      <c r="U63" s="525">
        <f>IF(SUM(K63,T63,AC63)=0,0,T63/SUM(K63,T63,AC63))</f>
        <v/>
      </c>
      <c r="V63" s="368">
        <f>F1258</f>
        <v/>
      </c>
      <c r="W63" s="368">
        <f>J1258</f>
        <v/>
      </c>
      <c r="X63" s="524">
        <f>V63/V62-1</f>
        <v/>
      </c>
      <c r="Y63" s="524">
        <f>V63/V60-1</f>
        <v/>
      </c>
      <c r="Z63" s="524">
        <f>V63/V57-1</f>
        <v/>
      </c>
      <c r="AA63" s="524">
        <f>V63/V51-1</f>
        <v/>
      </c>
      <c r="AB63" s="524">
        <f>STDEV.S(X52:X63)*SQRT(12)</f>
        <v/>
      </c>
      <c r="AC63" s="368">
        <f>IF(AND(Y63&gt;$P$6,Z63&gt;$P$7,AA63&gt;$P$8,V63&gt;W63,AB63&lt;$P$10),1,0)</f>
        <v/>
      </c>
      <c r="AD63" s="525">
        <f>IF(SUM(K63,T63,AC63)=0,0,AC63/SUM(K63,T63,AC63))</f>
        <v/>
      </c>
      <c r="AE63" s="525">
        <f>IF(SUM(K63,T63,AC63)=0,1,0)</f>
        <v/>
      </c>
      <c r="AF63" s="368">
        <f>G1258</f>
        <v/>
      </c>
      <c r="AG63" s="524">
        <f>AF63/AF62-1</f>
        <v/>
      </c>
      <c r="AH63" s="524">
        <f>0.5*(ABS(L62-L61)+ABS(U62-U61)+ABS(AD62-AD61)+ABS(AE62-AE61))</f>
        <v/>
      </c>
      <c r="AI63" s="524">
        <f>L62*F63+U62*O63+AD62*X63+AE62*AG63</f>
        <v/>
      </c>
      <c r="AJ63" s="524">
        <f>AH63*$P$11</f>
        <v/>
      </c>
      <c r="AK63" s="524">
        <f>AI63-AJ63</f>
        <v/>
      </c>
      <c r="AL63" s="368">
        <f>AL62*(1+AK63)</f>
        <v/>
      </c>
      <c r="AM63" s="368">
        <f>MAX($AL$40:AL63)</f>
        <v/>
      </c>
      <c r="AN63" s="524">
        <f>AL63/AM63-1</f>
        <v/>
      </c>
      <c r="AO63" s="526">
        <f>AK63-AG63</f>
        <v/>
      </c>
    </row>
    <row r="64">
      <c r="C64" s="503" t="n">
        <v>41305</v>
      </c>
      <c r="D64" s="368">
        <f>D1279</f>
        <v/>
      </c>
      <c r="E64" s="368">
        <f>H1279</f>
        <v/>
      </c>
      <c r="F64" s="524">
        <f>D64/D63-1</f>
        <v/>
      </c>
      <c r="G64" s="524">
        <f>D64/D61-1</f>
        <v/>
      </c>
      <c r="H64" s="524">
        <f>D64/D58-1</f>
        <v/>
      </c>
      <c r="I64" s="524">
        <f>D64/D52-1</f>
        <v/>
      </c>
      <c r="J64" s="524">
        <f>STDEV.S(F53:F64)*SQRT(12)</f>
        <v/>
      </c>
      <c r="K64" s="368">
        <f>IF(AND(G64&gt;$P$6,H64&gt;$P$7,I64&gt;$P$8,D64&gt;E64,J64&lt;$P$10),1,0)</f>
        <v/>
      </c>
      <c r="L64" s="525">
        <f>IF(SUM(K64,T64,AC64)=0,0,K64/SUM(K64,T64,AC64))</f>
        <v/>
      </c>
      <c r="M64" s="368">
        <f>E1279</f>
        <v/>
      </c>
      <c r="N64" s="368">
        <f>I1279</f>
        <v/>
      </c>
      <c r="O64" s="524">
        <f>M64/M63-1</f>
        <v/>
      </c>
      <c r="P64" s="524">
        <f>M64/M61-1</f>
        <v/>
      </c>
      <c r="Q64" s="524">
        <f>M64/M58-1</f>
        <v/>
      </c>
      <c r="R64" s="524">
        <f>M64/M52-1</f>
        <v/>
      </c>
      <c r="S64" s="524">
        <f>STDEV.S(O53:O64)*SQRT(12)</f>
        <v/>
      </c>
      <c r="T64" s="368">
        <f>IF(AND(P64&gt;$P$6,Q64&gt;$P$7,R64&gt;$P$8,M64&gt;N64,S64&lt;$P$10),1,0)</f>
        <v/>
      </c>
      <c r="U64" s="525">
        <f>IF(SUM(K64,T64,AC64)=0,0,T64/SUM(K64,T64,AC64))</f>
        <v/>
      </c>
      <c r="V64" s="368">
        <f>F1279</f>
        <v/>
      </c>
      <c r="W64" s="368">
        <f>J1279</f>
        <v/>
      </c>
      <c r="X64" s="524">
        <f>V64/V63-1</f>
        <v/>
      </c>
      <c r="Y64" s="524">
        <f>V64/V61-1</f>
        <v/>
      </c>
      <c r="Z64" s="524">
        <f>V64/V58-1</f>
        <v/>
      </c>
      <c r="AA64" s="524">
        <f>V64/V52-1</f>
        <v/>
      </c>
      <c r="AB64" s="524">
        <f>STDEV.S(X53:X64)*SQRT(12)</f>
        <v/>
      </c>
      <c r="AC64" s="368">
        <f>IF(AND(Y64&gt;$P$6,Z64&gt;$P$7,AA64&gt;$P$8,V64&gt;W64,AB64&lt;$P$10),1,0)</f>
        <v/>
      </c>
      <c r="AD64" s="525">
        <f>IF(SUM(K64,T64,AC64)=0,0,AC64/SUM(K64,T64,AC64))</f>
        <v/>
      </c>
      <c r="AE64" s="525">
        <f>IF(SUM(K64,T64,AC64)=0,1,0)</f>
        <v/>
      </c>
      <c r="AF64" s="368">
        <f>G1279</f>
        <v/>
      </c>
      <c r="AG64" s="524">
        <f>AF64/AF63-1</f>
        <v/>
      </c>
      <c r="AH64" s="524">
        <f>0.5*(ABS(L63-L62)+ABS(U63-U62)+ABS(AD63-AD62)+ABS(AE63-AE62))</f>
        <v/>
      </c>
      <c r="AI64" s="524">
        <f>L63*F64+U63*O64+AD63*X64+AE63*AG64</f>
        <v/>
      </c>
      <c r="AJ64" s="524">
        <f>AH64*$P$11</f>
        <v/>
      </c>
      <c r="AK64" s="524">
        <f>AI64-AJ64</f>
        <v/>
      </c>
      <c r="AL64" s="368">
        <f>AL63*(1+AK64)</f>
        <v/>
      </c>
      <c r="AM64" s="368">
        <f>MAX($AL$40:AL64)</f>
        <v/>
      </c>
      <c r="AN64" s="524">
        <f>AL64/AM64-1</f>
        <v/>
      </c>
      <c r="AO64" s="526">
        <f>AK64-AG64</f>
        <v/>
      </c>
    </row>
    <row r="65">
      <c r="C65" s="503" t="n">
        <v>41333</v>
      </c>
      <c r="D65" s="368">
        <f>D1298</f>
        <v/>
      </c>
      <c r="E65" s="368">
        <f>H1298</f>
        <v/>
      </c>
      <c r="F65" s="524">
        <f>D65/D64-1</f>
        <v/>
      </c>
      <c r="G65" s="524">
        <f>D65/D62-1</f>
        <v/>
      </c>
      <c r="H65" s="524">
        <f>D65/D59-1</f>
        <v/>
      </c>
      <c r="I65" s="524">
        <f>D65/D53-1</f>
        <v/>
      </c>
      <c r="J65" s="524">
        <f>STDEV.S(F54:F65)*SQRT(12)</f>
        <v/>
      </c>
      <c r="K65" s="368">
        <f>IF(AND(G65&gt;$P$6,H65&gt;$P$7,I65&gt;$P$8,D65&gt;E65,J65&lt;$P$10),1,0)</f>
        <v/>
      </c>
      <c r="L65" s="525">
        <f>IF(SUM(K65,T65,AC65)=0,0,K65/SUM(K65,T65,AC65))</f>
        <v/>
      </c>
      <c r="M65" s="368">
        <f>E1298</f>
        <v/>
      </c>
      <c r="N65" s="368">
        <f>I1298</f>
        <v/>
      </c>
      <c r="O65" s="524">
        <f>M65/M64-1</f>
        <v/>
      </c>
      <c r="P65" s="524">
        <f>M65/M62-1</f>
        <v/>
      </c>
      <c r="Q65" s="524">
        <f>M65/M59-1</f>
        <v/>
      </c>
      <c r="R65" s="524">
        <f>M65/M53-1</f>
        <v/>
      </c>
      <c r="S65" s="524">
        <f>STDEV.S(O54:O65)*SQRT(12)</f>
        <v/>
      </c>
      <c r="T65" s="368">
        <f>IF(AND(P65&gt;$P$6,Q65&gt;$P$7,R65&gt;$P$8,M65&gt;N65,S65&lt;$P$10),1,0)</f>
        <v/>
      </c>
      <c r="U65" s="525">
        <f>IF(SUM(K65,T65,AC65)=0,0,T65/SUM(K65,T65,AC65))</f>
        <v/>
      </c>
      <c r="V65" s="368">
        <f>F1298</f>
        <v/>
      </c>
      <c r="W65" s="368">
        <f>J1298</f>
        <v/>
      </c>
      <c r="X65" s="524">
        <f>V65/V64-1</f>
        <v/>
      </c>
      <c r="Y65" s="524">
        <f>V65/V62-1</f>
        <v/>
      </c>
      <c r="Z65" s="524">
        <f>V65/V59-1</f>
        <v/>
      </c>
      <c r="AA65" s="524">
        <f>V65/V53-1</f>
        <v/>
      </c>
      <c r="AB65" s="524">
        <f>STDEV.S(X54:X65)*SQRT(12)</f>
        <v/>
      </c>
      <c r="AC65" s="368">
        <f>IF(AND(Y65&gt;$P$6,Z65&gt;$P$7,AA65&gt;$P$8,V65&gt;W65,AB65&lt;$P$10),1,0)</f>
        <v/>
      </c>
      <c r="AD65" s="525">
        <f>IF(SUM(K65,T65,AC65)=0,0,AC65/SUM(K65,T65,AC65))</f>
        <v/>
      </c>
      <c r="AE65" s="525">
        <f>IF(SUM(K65,T65,AC65)=0,1,0)</f>
        <v/>
      </c>
      <c r="AF65" s="368">
        <f>G1298</f>
        <v/>
      </c>
      <c r="AG65" s="524">
        <f>AF65/AF64-1</f>
        <v/>
      </c>
      <c r="AH65" s="524">
        <f>0.5*(ABS(L64-L63)+ABS(U64-U63)+ABS(AD64-AD63)+ABS(AE64-AE63))</f>
        <v/>
      </c>
      <c r="AI65" s="524">
        <f>L64*F65+U64*O65+AD64*X65+AE64*AG65</f>
        <v/>
      </c>
      <c r="AJ65" s="524">
        <f>AH65*$P$11</f>
        <v/>
      </c>
      <c r="AK65" s="524">
        <f>AI65-AJ65</f>
        <v/>
      </c>
      <c r="AL65" s="368">
        <f>AL64*(1+AK65)</f>
        <v/>
      </c>
      <c r="AM65" s="368">
        <f>MAX($AL$40:AL65)</f>
        <v/>
      </c>
      <c r="AN65" s="524">
        <f>AL65/AM65-1</f>
        <v/>
      </c>
      <c r="AO65" s="526">
        <f>AK65-AG65</f>
        <v/>
      </c>
    </row>
    <row r="66">
      <c r="C66" s="503" t="n">
        <v>41364</v>
      </c>
      <c r="D66" s="368">
        <f>D1318</f>
        <v/>
      </c>
      <c r="E66" s="368">
        <f>H1318</f>
        <v/>
      </c>
      <c r="F66" s="524">
        <f>D66/D65-1</f>
        <v/>
      </c>
      <c r="G66" s="524">
        <f>D66/D63-1</f>
        <v/>
      </c>
      <c r="H66" s="524">
        <f>D66/D60-1</f>
        <v/>
      </c>
      <c r="I66" s="524">
        <f>D66/D54-1</f>
        <v/>
      </c>
      <c r="J66" s="524">
        <f>STDEV.S(F55:F66)*SQRT(12)</f>
        <v/>
      </c>
      <c r="K66" s="368">
        <f>IF(AND(G66&gt;$P$6,H66&gt;$P$7,I66&gt;$P$8,D66&gt;E66,J66&lt;$P$10),1,0)</f>
        <v/>
      </c>
      <c r="L66" s="525">
        <f>IF(SUM(K66,T66,AC66)=0,0,K66/SUM(K66,T66,AC66))</f>
        <v/>
      </c>
      <c r="M66" s="368">
        <f>E1318</f>
        <v/>
      </c>
      <c r="N66" s="368">
        <f>I1318</f>
        <v/>
      </c>
      <c r="O66" s="524">
        <f>M66/M65-1</f>
        <v/>
      </c>
      <c r="P66" s="524">
        <f>M66/M63-1</f>
        <v/>
      </c>
      <c r="Q66" s="524">
        <f>M66/M60-1</f>
        <v/>
      </c>
      <c r="R66" s="524">
        <f>M66/M54-1</f>
        <v/>
      </c>
      <c r="S66" s="524">
        <f>STDEV.S(O55:O66)*SQRT(12)</f>
        <v/>
      </c>
      <c r="T66" s="368">
        <f>IF(AND(P66&gt;$P$6,Q66&gt;$P$7,R66&gt;$P$8,M66&gt;N66,S66&lt;$P$10),1,0)</f>
        <v/>
      </c>
      <c r="U66" s="525">
        <f>IF(SUM(K66,T66,AC66)=0,0,T66/SUM(K66,T66,AC66))</f>
        <v/>
      </c>
      <c r="V66" s="368">
        <f>F1318</f>
        <v/>
      </c>
      <c r="W66" s="368">
        <f>J1318</f>
        <v/>
      </c>
      <c r="X66" s="524">
        <f>V66/V65-1</f>
        <v/>
      </c>
      <c r="Y66" s="524">
        <f>V66/V63-1</f>
        <v/>
      </c>
      <c r="Z66" s="524">
        <f>V66/V60-1</f>
        <v/>
      </c>
      <c r="AA66" s="524">
        <f>V66/V54-1</f>
        <v/>
      </c>
      <c r="AB66" s="524">
        <f>STDEV.S(X55:X66)*SQRT(12)</f>
        <v/>
      </c>
      <c r="AC66" s="368">
        <f>IF(AND(Y66&gt;$P$6,Z66&gt;$P$7,AA66&gt;$P$8,V66&gt;W66,AB66&lt;$P$10),1,0)</f>
        <v/>
      </c>
      <c r="AD66" s="525">
        <f>IF(SUM(K66,T66,AC66)=0,0,AC66/SUM(K66,T66,AC66))</f>
        <v/>
      </c>
      <c r="AE66" s="525">
        <f>IF(SUM(K66,T66,AC66)=0,1,0)</f>
        <v/>
      </c>
      <c r="AF66" s="368">
        <f>G1318</f>
        <v/>
      </c>
      <c r="AG66" s="524">
        <f>AF66/AF65-1</f>
        <v/>
      </c>
      <c r="AH66" s="524">
        <f>0.5*(ABS(L65-L64)+ABS(U65-U64)+ABS(AD65-AD64)+ABS(AE65-AE64))</f>
        <v/>
      </c>
      <c r="AI66" s="524">
        <f>L65*F66+U65*O66+AD65*X66+AE65*AG66</f>
        <v/>
      </c>
      <c r="AJ66" s="524">
        <f>AH66*$P$11</f>
        <v/>
      </c>
      <c r="AK66" s="524">
        <f>AI66-AJ66</f>
        <v/>
      </c>
      <c r="AL66" s="368">
        <f>AL65*(1+AK66)</f>
        <v/>
      </c>
      <c r="AM66" s="368">
        <f>MAX($AL$40:AL66)</f>
        <v/>
      </c>
      <c r="AN66" s="524">
        <f>AL66/AM66-1</f>
        <v/>
      </c>
      <c r="AO66" s="526">
        <f>AK66-AG66</f>
        <v/>
      </c>
    </row>
    <row r="67">
      <c r="C67" s="503" t="n">
        <v>41394</v>
      </c>
      <c r="D67" s="368">
        <f>D1340</f>
        <v/>
      </c>
      <c r="E67" s="368">
        <f>H1340</f>
        <v/>
      </c>
      <c r="F67" s="524">
        <f>D67/D66-1</f>
        <v/>
      </c>
      <c r="G67" s="524">
        <f>D67/D64-1</f>
        <v/>
      </c>
      <c r="H67" s="524">
        <f>D67/D61-1</f>
        <v/>
      </c>
      <c r="I67" s="524">
        <f>D67/D55-1</f>
        <v/>
      </c>
      <c r="J67" s="524">
        <f>STDEV.S(F56:F67)*SQRT(12)</f>
        <v/>
      </c>
      <c r="K67" s="368">
        <f>IF(AND(G67&gt;$P$6,H67&gt;$P$7,I67&gt;$P$8,D67&gt;E67,J67&lt;$P$10),1,0)</f>
        <v/>
      </c>
      <c r="L67" s="525">
        <f>IF(SUM(K67,T67,AC67)=0,0,K67/SUM(K67,T67,AC67))</f>
        <v/>
      </c>
      <c r="M67" s="368">
        <f>E1340</f>
        <v/>
      </c>
      <c r="N67" s="368">
        <f>I1340</f>
        <v/>
      </c>
      <c r="O67" s="524">
        <f>M67/M66-1</f>
        <v/>
      </c>
      <c r="P67" s="524">
        <f>M67/M64-1</f>
        <v/>
      </c>
      <c r="Q67" s="524">
        <f>M67/M61-1</f>
        <v/>
      </c>
      <c r="R67" s="524">
        <f>M67/M55-1</f>
        <v/>
      </c>
      <c r="S67" s="524">
        <f>STDEV.S(O56:O67)*SQRT(12)</f>
        <v/>
      </c>
      <c r="T67" s="368">
        <f>IF(AND(P67&gt;$P$6,Q67&gt;$P$7,R67&gt;$P$8,M67&gt;N67,S67&lt;$P$10),1,0)</f>
        <v/>
      </c>
      <c r="U67" s="525">
        <f>IF(SUM(K67,T67,AC67)=0,0,T67/SUM(K67,T67,AC67))</f>
        <v/>
      </c>
      <c r="V67" s="368">
        <f>F1340</f>
        <v/>
      </c>
      <c r="W67" s="368">
        <f>J1340</f>
        <v/>
      </c>
      <c r="X67" s="524">
        <f>V67/V66-1</f>
        <v/>
      </c>
      <c r="Y67" s="524">
        <f>V67/V64-1</f>
        <v/>
      </c>
      <c r="Z67" s="524">
        <f>V67/V61-1</f>
        <v/>
      </c>
      <c r="AA67" s="524">
        <f>V67/V55-1</f>
        <v/>
      </c>
      <c r="AB67" s="524">
        <f>STDEV.S(X56:X67)*SQRT(12)</f>
        <v/>
      </c>
      <c r="AC67" s="368">
        <f>IF(AND(Y67&gt;$P$6,Z67&gt;$P$7,AA67&gt;$P$8,V67&gt;W67,AB67&lt;$P$10),1,0)</f>
        <v/>
      </c>
      <c r="AD67" s="525">
        <f>IF(SUM(K67,T67,AC67)=0,0,AC67/SUM(K67,T67,AC67))</f>
        <v/>
      </c>
      <c r="AE67" s="525">
        <f>IF(SUM(K67,T67,AC67)=0,1,0)</f>
        <v/>
      </c>
      <c r="AF67" s="368">
        <f>G1340</f>
        <v/>
      </c>
      <c r="AG67" s="524">
        <f>AF67/AF66-1</f>
        <v/>
      </c>
      <c r="AH67" s="524">
        <f>0.5*(ABS(L66-L65)+ABS(U66-U65)+ABS(AD66-AD65)+ABS(AE66-AE65))</f>
        <v/>
      </c>
      <c r="AI67" s="524">
        <f>L66*F67+U66*O67+AD66*X67+AE66*AG67</f>
        <v/>
      </c>
      <c r="AJ67" s="524">
        <f>AH67*$P$11</f>
        <v/>
      </c>
      <c r="AK67" s="524">
        <f>AI67-AJ67</f>
        <v/>
      </c>
      <c r="AL67" s="368">
        <f>AL66*(1+AK67)</f>
        <v/>
      </c>
      <c r="AM67" s="368">
        <f>MAX($AL$40:AL67)</f>
        <v/>
      </c>
      <c r="AN67" s="524">
        <f>AL67/AM67-1</f>
        <v/>
      </c>
      <c r="AO67" s="526">
        <f>AK67-AG67</f>
        <v/>
      </c>
    </row>
    <row r="68">
      <c r="C68" s="503" t="n">
        <v>41425</v>
      </c>
      <c r="D68" s="368">
        <f>D1362</f>
        <v/>
      </c>
      <c r="E68" s="368">
        <f>H1362</f>
        <v/>
      </c>
      <c r="F68" s="524">
        <f>D68/D67-1</f>
        <v/>
      </c>
      <c r="G68" s="524">
        <f>D68/D65-1</f>
        <v/>
      </c>
      <c r="H68" s="524">
        <f>D68/D62-1</f>
        <v/>
      </c>
      <c r="I68" s="524">
        <f>D68/D56-1</f>
        <v/>
      </c>
      <c r="J68" s="524">
        <f>STDEV.S(F57:F68)*SQRT(12)</f>
        <v/>
      </c>
      <c r="K68" s="368">
        <f>IF(AND(G68&gt;$P$6,H68&gt;$P$7,I68&gt;$P$8,D68&gt;E68,J68&lt;$P$10),1,0)</f>
        <v/>
      </c>
      <c r="L68" s="525">
        <f>IF(SUM(K68,T68,AC68)=0,0,K68/SUM(K68,T68,AC68))</f>
        <v/>
      </c>
      <c r="M68" s="368">
        <f>E1362</f>
        <v/>
      </c>
      <c r="N68" s="368">
        <f>I1362</f>
        <v/>
      </c>
      <c r="O68" s="524">
        <f>M68/M67-1</f>
        <v/>
      </c>
      <c r="P68" s="524">
        <f>M68/M65-1</f>
        <v/>
      </c>
      <c r="Q68" s="524">
        <f>M68/M62-1</f>
        <v/>
      </c>
      <c r="R68" s="524">
        <f>M68/M56-1</f>
        <v/>
      </c>
      <c r="S68" s="524">
        <f>STDEV.S(O57:O68)*SQRT(12)</f>
        <v/>
      </c>
      <c r="T68" s="368">
        <f>IF(AND(P68&gt;$P$6,Q68&gt;$P$7,R68&gt;$P$8,M68&gt;N68,S68&lt;$P$10),1,0)</f>
        <v/>
      </c>
      <c r="U68" s="525">
        <f>IF(SUM(K68,T68,AC68)=0,0,T68/SUM(K68,T68,AC68))</f>
        <v/>
      </c>
      <c r="V68" s="368">
        <f>F1362</f>
        <v/>
      </c>
      <c r="W68" s="368">
        <f>J1362</f>
        <v/>
      </c>
      <c r="X68" s="524">
        <f>V68/V67-1</f>
        <v/>
      </c>
      <c r="Y68" s="524">
        <f>V68/V65-1</f>
        <v/>
      </c>
      <c r="Z68" s="524">
        <f>V68/V62-1</f>
        <v/>
      </c>
      <c r="AA68" s="524">
        <f>V68/V56-1</f>
        <v/>
      </c>
      <c r="AB68" s="524">
        <f>STDEV.S(X57:X68)*SQRT(12)</f>
        <v/>
      </c>
      <c r="AC68" s="368">
        <f>IF(AND(Y68&gt;$P$6,Z68&gt;$P$7,AA68&gt;$P$8,V68&gt;W68,AB68&lt;$P$10),1,0)</f>
        <v/>
      </c>
      <c r="AD68" s="525">
        <f>IF(SUM(K68,T68,AC68)=0,0,AC68/SUM(K68,T68,AC68))</f>
        <v/>
      </c>
      <c r="AE68" s="525">
        <f>IF(SUM(K68,T68,AC68)=0,1,0)</f>
        <v/>
      </c>
      <c r="AF68" s="368">
        <f>G1362</f>
        <v/>
      </c>
      <c r="AG68" s="524">
        <f>AF68/AF67-1</f>
        <v/>
      </c>
      <c r="AH68" s="524">
        <f>0.5*(ABS(L67-L66)+ABS(U67-U66)+ABS(AD67-AD66)+ABS(AE67-AE66))</f>
        <v/>
      </c>
      <c r="AI68" s="524">
        <f>L67*F68+U67*O68+AD67*X68+AE67*AG68</f>
        <v/>
      </c>
      <c r="AJ68" s="524">
        <f>AH68*$P$11</f>
        <v/>
      </c>
      <c r="AK68" s="524">
        <f>AI68-AJ68</f>
        <v/>
      </c>
      <c r="AL68" s="368">
        <f>AL67*(1+AK68)</f>
        <v/>
      </c>
      <c r="AM68" s="368">
        <f>MAX($AL$40:AL68)</f>
        <v/>
      </c>
      <c r="AN68" s="524">
        <f>AL68/AM68-1</f>
        <v/>
      </c>
      <c r="AO68" s="526">
        <f>AK68-AG68</f>
        <v/>
      </c>
    </row>
    <row r="69">
      <c r="C69" s="503" t="n">
        <v>41455</v>
      </c>
      <c r="D69" s="368">
        <f>D1382</f>
        <v/>
      </c>
      <c r="E69" s="368">
        <f>H1382</f>
        <v/>
      </c>
      <c r="F69" s="524">
        <f>D69/D68-1</f>
        <v/>
      </c>
      <c r="G69" s="524">
        <f>D69/D66-1</f>
        <v/>
      </c>
      <c r="H69" s="524">
        <f>D69/D63-1</f>
        <v/>
      </c>
      <c r="I69" s="524">
        <f>D69/D57-1</f>
        <v/>
      </c>
      <c r="J69" s="524">
        <f>STDEV.S(F58:F69)*SQRT(12)</f>
        <v/>
      </c>
      <c r="K69" s="368">
        <f>IF(AND(G69&gt;$P$6,H69&gt;$P$7,I69&gt;$P$8,D69&gt;E69,J69&lt;$P$10),1,0)</f>
        <v/>
      </c>
      <c r="L69" s="525">
        <f>IF(SUM(K69,T69,AC69)=0,0,K69/SUM(K69,T69,AC69))</f>
        <v/>
      </c>
      <c r="M69" s="368">
        <f>E1382</f>
        <v/>
      </c>
      <c r="N69" s="368">
        <f>I1382</f>
        <v/>
      </c>
      <c r="O69" s="524">
        <f>M69/M68-1</f>
        <v/>
      </c>
      <c r="P69" s="524">
        <f>M69/M66-1</f>
        <v/>
      </c>
      <c r="Q69" s="524">
        <f>M69/M63-1</f>
        <v/>
      </c>
      <c r="R69" s="524">
        <f>M69/M57-1</f>
        <v/>
      </c>
      <c r="S69" s="524">
        <f>STDEV.S(O58:O69)*SQRT(12)</f>
        <v/>
      </c>
      <c r="T69" s="368">
        <f>IF(AND(P69&gt;$P$6,Q69&gt;$P$7,R69&gt;$P$8,M69&gt;N69,S69&lt;$P$10),1,0)</f>
        <v/>
      </c>
      <c r="U69" s="525">
        <f>IF(SUM(K69,T69,AC69)=0,0,T69/SUM(K69,T69,AC69))</f>
        <v/>
      </c>
      <c r="V69" s="368">
        <f>F1382</f>
        <v/>
      </c>
      <c r="W69" s="368">
        <f>J1382</f>
        <v/>
      </c>
      <c r="X69" s="524">
        <f>V69/V68-1</f>
        <v/>
      </c>
      <c r="Y69" s="524">
        <f>V69/V66-1</f>
        <v/>
      </c>
      <c r="Z69" s="524">
        <f>V69/V63-1</f>
        <v/>
      </c>
      <c r="AA69" s="524">
        <f>V69/V57-1</f>
        <v/>
      </c>
      <c r="AB69" s="524">
        <f>STDEV.S(X58:X69)*SQRT(12)</f>
        <v/>
      </c>
      <c r="AC69" s="368">
        <f>IF(AND(Y69&gt;$P$6,Z69&gt;$P$7,AA69&gt;$P$8,V69&gt;W69,AB69&lt;$P$10),1,0)</f>
        <v/>
      </c>
      <c r="AD69" s="525">
        <f>IF(SUM(K69,T69,AC69)=0,0,AC69/SUM(K69,T69,AC69))</f>
        <v/>
      </c>
      <c r="AE69" s="525">
        <f>IF(SUM(K69,T69,AC69)=0,1,0)</f>
        <v/>
      </c>
      <c r="AF69" s="368">
        <f>G1382</f>
        <v/>
      </c>
      <c r="AG69" s="524">
        <f>AF69/AF68-1</f>
        <v/>
      </c>
      <c r="AH69" s="524">
        <f>0.5*(ABS(L68-L67)+ABS(U68-U67)+ABS(AD68-AD67)+ABS(AE68-AE67))</f>
        <v/>
      </c>
      <c r="AI69" s="524">
        <f>L68*F69+U68*O69+AD68*X69+AE68*AG69</f>
        <v/>
      </c>
      <c r="AJ69" s="524">
        <f>AH69*$P$11</f>
        <v/>
      </c>
      <c r="AK69" s="524">
        <f>AI69-AJ69</f>
        <v/>
      </c>
      <c r="AL69" s="368">
        <f>AL68*(1+AK69)</f>
        <v/>
      </c>
      <c r="AM69" s="368">
        <f>MAX($AL$40:AL69)</f>
        <v/>
      </c>
      <c r="AN69" s="524">
        <f>AL69/AM69-1</f>
        <v/>
      </c>
      <c r="AO69" s="526">
        <f>AK69-AG69</f>
        <v/>
      </c>
    </row>
    <row r="70">
      <c r="C70" s="503" t="n">
        <v>41486</v>
      </c>
      <c r="D70" s="368">
        <f>D1404</f>
        <v/>
      </c>
      <c r="E70" s="368">
        <f>H1404</f>
        <v/>
      </c>
      <c r="F70" s="524">
        <f>D70/D69-1</f>
        <v/>
      </c>
      <c r="G70" s="524">
        <f>D70/D67-1</f>
        <v/>
      </c>
      <c r="H70" s="524">
        <f>D70/D64-1</f>
        <v/>
      </c>
      <c r="I70" s="524">
        <f>D70/D58-1</f>
        <v/>
      </c>
      <c r="J70" s="524">
        <f>STDEV.S(F59:F70)*SQRT(12)</f>
        <v/>
      </c>
      <c r="K70" s="368">
        <f>IF(AND(G70&gt;$P$6,H70&gt;$P$7,I70&gt;$P$8,D70&gt;E70,J70&lt;$P$10),1,0)</f>
        <v/>
      </c>
      <c r="L70" s="525">
        <f>IF(SUM(K70,T70,AC70)=0,0,K70/SUM(K70,T70,AC70))</f>
        <v/>
      </c>
      <c r="M70" s="368">
        <f>E1404</f>
        <v/>
      </c>
      <c r="N70" s="368">
        <f>I1404</f>
        <v/>
      </c>
      <c r="O70" s="524">
        <f>M70/M69-1</f>
        <v/>
      </c>
      <c r="P70" s="524">
        <f>M70/M67-1</f>
        <v/>
      </c>
      <c r="Q70" s="524">
        <f>M70/M64-1</f>
        <v/>
      </c>
      <c r="R70" s="524">
        <f>M70/M58-1</f>
        <v/>
      </c>
      <c r="S70" s="524">
        <f>STDEV.S(O59:O70)*SQRT(12)</f>
        <v/>
      </c>
      <c r="T70" s="368">
        <f>IF(AND(P70&gt;$P$6,Q70&gt;$P$7,R70&gt;$P$8,M70&gt;N70,S70&lt;$P$10),1,0)</f>
        <v/>
      </c>
      <c r="U70" s="525">
        <f>IF(SUM(K70,T70,AC70)=0,0,T70/SUM(K70,T70,AC70))</f>
        <v/>
      </c>
      <c r="V70" s="368">
        <f>F1404</f>
        <v/>
      </c>
      <c r="W70" s="368">
        <f>J1404</f>
        <v/>
      </c>
      <c r="X70" s="524">
        <f>V70/V69-1</f>
        <v/>
      </c>
      <c r="Y70" s="524">
        <f>V70/V67-1</f>
        <v/>
      </c>
      <c r="Z70" s="524">
        <f>V70/V64-1</f>
        <v/>
      </c>
      <c r="AA70" s="524">
        <f>V70/V58-1</f>
        <v/>
      </c>
      <c r="AB70" s="524">
        <f>STDEV.S(X59:X70)*SQRT(12)</f>
        <v/>
      </c>
      <c r="AC70" s="368">
        <f>IF(AND(Y70&gt;$P$6,Z70&gt;$P$7,AA70&gt;$P$8,V70&gt;W70,AB70&lt;$P$10),1,0)</f>
        <v/>
      </c>
      <c r="AD70" s="525">
        <f>IF(SUM(K70,T70,AC70)=0,0,AC70/SUM(K70,T70,AC70))</f>
        <v/>
      </c>
      <c r="AE70" s="525">
        <f>IF(SUM(K70,T70,AC70)=0,1,0)</f>
        <v/>
      </c>
      <c r="AF70" s="368">
        <f>G1404</f>
        <v/>
      </c>
      <c r="AG70" s="524">
        <f>AF70/AF69-1</f>
        <v/>
      </c>
      <c r="AH70" s="524">
        <f>0.5*(ABS(L69-L68)+ABS(U69-U68)+ABS(AD69-AD68)+ABS(AE69-AE68))</f>
        <v/>
      </c>
      <c r="AI70" s="524">
        <f>L69*F70+U69*O70+AD69*X70+AE69*AG70</f>
        <v/>
      </c>
      <c r="AJ70" s="524">
        <f>AH70*$P$11</f>
        <v/>
      </c>
      <c r="AK70" s="524">
        <f>AI70-AJ70</f>
        <v/>
      </c>
      <c r="AL70" s="368">
        <f>AL69*(1+AK70)</f>
        <v/>
      </c>
      <c r="AM70" s="368">
        <f>MAX($AL$40:AL70)</f>
        <v/>
      </c>
      <c r="AN70" s="524">
        <f>AL70/AM70-1</f>
        <v/>
      </c>
      <c r="AO70" s="526">
        <f>AK70-AG70</f>
        <v/>
      </c>
    </row>
    <row r="71">
      <c r="C71" s="503" t="n">
        <v>41517</v>
      </c>
      <c r="D71" s="368">
        <f>D1426</f>
        <v/>
      </c>
      <c r="E71" s="368">
        <f>H1426</f>
        <v/>
      </c>
      <c r="F71" s="524">
        <f>D71/D70-1</f>
        <v/>
      </c>
      <c r="G71" s="524">
        <f>D71/D68-1</f>
        <v/>
      </c>
      <c r="H71" s="524">
        <f>D71/D65-1</f>
        <v/>
      </c>
      <c r="I71" s="524">
        <f>D71/D59-1</f>
        <v/>
      </c>
      <c r="J71" s="524">
        <f>STDEV.S(F60:F71)*SQRT(12)</f>
        <v/>
      </c>
      <c r="K71" s="368">
        <f>IF(AND(G71&gt;$P$6,H71&gt;$P$7,I71&gt;$P$8,D71&gt;E71,J71&lt;$P$10),1,0)</f>
        <v/>
      </c>
      <c r="L71" s="525">
        <f>IF(SUM(K71,T71,AC71)=0,0,K71/SUM(K71,T71,AC71))</f>
        <v/>
      </c>
      <c r="M71" s="368">
        <f>E1426</f>
        <v/>
      </c>
      <c r="N71" s="368">
        <f>I1426</f>
        <v/>
      </c>
      <c r="O71" s="524">
        <f>M71/M70-1</f>
        <v/>
      </c>
      <c r="P71" s="524">
        <f>M71/M68-1</f>
        <v/>
      </c>
      <c r="Q71" s="524">
        <f>M71/M65-1</f>
        <v/>
      </c>
      <c r="R71" s="524">
        <f>M71/M59-1</f>
        <v/>
      </c>
      <c r="S71" s="524">
        <f>STDEV.S(O60:O71)*SQRT(12)</f>
        <v/>
      </c>
      <c r="T71" s="368">
        <f>IF(AND(P71&gt;$P$6,Q71&gt;$P$7,R71&gt;$P$8,M71&gt;N71,S71&lt;$P$10),1,0)</f>
        <v/>
      </c>
      <c r="U71" s="525">
        <f>IF(SUM(K71,T71,AC71)=0,0,T71/SUM(K71,T71,AC71))</f>
        <v/>
      </c>
      <c r="V71" s="368">
        <f>F1426</f>
        <v/>
      </c>
      <c r="W71" s="368">
        <f>J1426</f>
        <v/>
      </c>
      <c r="X71" s="524">
        <f>V71/V70-1</f>
        <v/>
      </c>
      <c r="Y71" s="524">
        <f>V71/V68-1</f>
        <v/>
      </c>
      <c r="Z71" s="524">
        <f>V71/V65-1</f>
        <v/>
      </c>
      <c r="AA71" s="524">
        <f>V71/V59-1</f>
        <v/>
      </c>
      <c r="AB71" s="524">
        <f>STDEV.S(X60:X71)*SQRT(12)</f>
        <v/>
      </c>
      <c r="AC71" s="368">
        <f>IF(AND(Y71&gt;$P$6,Z71&gt;$P$7,AA71&gt;$P$8,V71&gt;W71,AB71&lt;$P$10),1,0)</f>
        <v/>
      </c>
      <c r="AD71" s="525">
        <f>IF(SUM(K71,T71,AC71)=0,0,AC71/SUM(K71,T71,AC71))</f>
        <v/>
      </c>
      <c r="AE71" s="525">
        <f>IF(SUM(K71,T71,AC71)=0,1,0)</f>
        <v/>
      </c>
      <c r="AF71" s="368">
        <f>G1426</f>
        <v/>
      </c>
      <c r="AG71" s="524">
        <f>AF71/AF70-1</f>
        <v/>
      </c>
      <c r="AH71" s="524">
        <f>0.5*(ABS(L70-L69)+ABS(U70-U69)+ABS(AD70-AD69)+ABS(AE70-AE69))</f>
        <v/>
      </c>
      <c r="AI71" s="524">
        <f>L70*F71+U70*O71+AD70*X71+AE70*AG71</f>
        <v/>
      </c>
      <c r="AJ71" s="524">
        <f>AH71*$P$11</f>
        <v/>
      </c>
      <c r="AK71" s="524">
        <f>AI71-AJ71</f>
        <v/>
      </c>
      <c r="AL71" s="368">
        <f>AL70*(1+AK71)</f>
        <v/>
      </c>
      <c r="AM71" s="368">
        <f>MAX($AL$40:AL71)</f>
        <v/>
      </c>
      <c r="AN71" s="524">
        <f>AL71/AM71-1</f>
        <v/>
      </c>
      <c r="AO71" s="526">
        <f>AK71-AG71</f>
        <v/>
      </c>
    </row>
    <row r="72">
      <c r="C72" s="503" t="n">
        <v>41547</v>
      </c>
      <c r="D72" s="368">
        <f>D1446</f>
        <v/>
      </c>
      <c r="E72" s="368">
        <f>H1446</f>
        <v/>
      </c>
      <c r="F72" s="524">
        <f>D72/D71-1</f>
        <v/>
      </c>
      <c r="G72" s="524">
        <f>D72/D69-1</f>
        <v/>
      </c>
      <c r="H72" s="524">
        <f>D72/D66-1</f>
        <v/>
      </c>
      <c r="I72" s="524">
        <f>D72/D60-1</f>
        <v/>
      </c>
      <c r="J72" s="524">
        <f>STDEV.S(F61:F72)*SQRT(12)</f>
        <v/>
      </c>
      <c r="K72" s="368">
        <f>IF(AND(G72&gt;$P$6,H72&gt;$P$7,I72&gt;$P$8,D72&gt;E72,J72&lt;$P$10),1,0)</f>
        <v/>
      </c>
      <c r="L72" s="525">
        <f>IF(SUM(K72,T72,AC72)=0,0,K72/SUM(K72,T72,AC72))</f>
        <v/>
      </c>
      <c r="M72" s="368">
        <f>E1446</f>
        <v/>
      </c>
      <c r="N72" s="368">
        <f>I1446</f>
        <v/>
      </c>
      <c r="O72" s="524">
        <f>M72/M71-1</f>
        <v/>
      </c>
      <c r="P72" s="524">
        <f>M72/M69-1</f>
        <v/>
      </c>
      <c r="Q72" s="524">
        <f>M72/M66-1</f>
        <v/>
      </c>
      <c r="R72" s="524">
        <f>M72/M60-1</f>
        <v/>
      </c>
      <c r="S72" s="524">
        <f>STDEV.S(O61:O72)*SQRT(12)</f>
        <v/>
      </c>
      <c r="T72" s="368">
        <f>IF(AND(P72&gt;$P$6,Q72&gt;$P$7,R72&gt;$P$8,M72&gt;N72,S72&lt;$P$10),1,0)</f>
        <v/>
      </c>
      <c r="U72" s="525">
        <f>IF(SUM(K72,T72,AC72)=0,0,T72/SUM(K72,T72,AC72))</f>
        <v/>
      </c>
      <c r="V72" s="368">
        <f>F1446</f>
        <v/>
      </c>
      <c r="W72" s="368">
        <f>J1446</f>
        <v/>
      </c>
      <c r="X72" s="524">
        <f>V72/V71-1</f>
        <v/>
      </c>
      <c r="Y72" s="524">
        <f>V72/V69-1</f>
        <v/>
      </c>
      <c r="Z72" s="524">
        <f>V72/V66-1</f>
        <v/>
      </c>
      <c r="AA72" s="524">
        <f>V72/V60-1</f>
        <v/>
      </c>
      <c r="AB72" s="524">
        <f>STDEV.S(X61:X72)*SQRT(12)</f>
        <v/>
      </c>
      <c r="AC72" s="368">
        <f>IF(AND(Y72&gt;$P$6,Z72&gt;$P$7,AA72&gt;$P$8,V72&gt;W72,AB72&lt;$P$10),1,0)</f>
        <v/>
      </c>
      <c r="AD72" s="525">
        <f>IF(SUM(K72,T72,AC72)=0,0,AC72/SUM(K72,T72,AC72))</f>
        <v/>
      </c>
      <c r="AE72" s="525">
        <f>IF(SUM(K72,T72,AC72)=0,1,0)</f>
        <v/>
      </c>
      <c r="AF72" s="368">
        <f>G1446</f>
        <v/>
      </c>
      <c r="AG72" s="524">
        <f>AF72/AF71-1</f>
        <v/>
      </c>
      <c r="AH72" s="524">
        <f>0.5*(ABS(L71-L70)+ABS(U71-U70)+ABS(AD71-AD70)+ABS(AE71-AE70))</f>
        <v/>
      </c>
      <c r="AI72" s="524">
        <f>L71*F72+U71*O72+AD71*X72+AE71*AG72</f>
        <v/>
      </c>
      <c r="AJ72" s="524">
        <f>AH72*$P$11</f>
        <v/>
      </c>
      <c r="AK72" s="524">
        <f>AI72-AJ72</f>
        <v/>
      </c>
      <c r="AL72" s="368">
        <f>AL71*(1+AK72)</f>
        <v/>
      </c>
      <c r="AM72" s="368">
        <f>MAX($AL$40:AL72)</f>
        <v/>
      </c>
      <c r="AN72" s="524">
        <f>AL72/AM72-1</f>
        <v/>
      </c>
      <c r="AO72" s="526">
        <f>AK72-AG72</f>
        <v/>
      </c>
    </row>
    <row r="73">
      <c r="C73" s="503" t="n">
        <v>41578</v>
      </c>
      <c r="D73" s="368">
        <f>D1469</f>
        <v/>
      </c>
      <c r="E73" s="368">
        <f>H1469</f>
        <v/>
      </c>
      <c r="F73" s="524">
        <f>D73/D72-1</f>
        <v/>
      </c>
      <c r="G73" s="524">
        <f>D73/D70-1</f>
        <v/>
      </c>
      <c r="H73" s="524">
        <f>D73/D67-1</f>
        <v/>
      </c>
      <c r="I73" s="524">
        <f>D73/D61-1</f>
        <v/>
      </c>
      <c r="J73" s="524">
        <f>STDEV.S(F62:F73)*SQRT(12)</f>
        <v/>
      </c>
      <c r="K73" s="368">
        <f>IF(AND(G73&gt;$P$6,H73&gt;$P$7,I73&gt;$P$8,D73&gt;E73,J73&lt;$P$10),1,0)</f>
        <v/>
      </c>
      <c r="L73" s="525">
        <f>IF(SUM(K73,T73,AC73)=0,0,K73/SUM(K73,T73,AC73))</f>
        <v/>
      </c>
      <c r="M73" s="368">
        <f>E1469</f>
        <v/>
      </c>
      <c r="N73" s="368">
        <f>I1469</f>
        <v/>
      </c>
      <c r="O73" s="524">
        <f>M73/M72-1</f>
        <v/>
      </c>
      <c r="P73" s="524">
        <f>M73/M70-1</f>
        <v/>
      </c>
      <c r="Q73" s="524">
        <f>M73/M67-1</f>
        <v/>
      </c>
      <c r="R73" s="524">
        <f>M73/M61-1</f>
        <v/>
      </c>
      <c r="S73" s="524">
        <f>STDEV.S(O62:O73)*SQRT(12)</f>
        <v/>
      </c>
      <c r="T73" s="368">
        <f>IF(AND(P73&gt;$P$6,Q73&gt;$P$7,R73&gt;$P$8,M73&gt;N73,S73&lt;$P$10),1,0)</f>
        <v/>
      </c>
      <c r="U73" s="525">
        <f>IF(SUM(K73,T73,AC73)=0,0,T73/SUM(K73,T73,AC73))</f>
        <v/>
      </c>
      <c r="V73" s="368">
        <f>F1469</f>
        <v/>
      </c>
      <c r="W73" s="368">
        <f>J1469</f>
        <v/>
      </c>
      <c r="X73" s="524">
        <f>V73/V72-1</f>
        <v/>
      </c>
      <c r="Y73" s="524">
        <f>V73/V70-1</f>
        <v/>
      </c>
      <c r="Z73" s="524">
        <f>V73/V67-1</f>
        <v/>
      </c>
      <c r="AA73" s="524">
        <f>V73/V61-1</f>
        <v/>
      </c>
      <c r="AB73" s="524">
        <f>STDEV.S(X62:X73)*SQRT(12)</f>
        <v/>
      </c>
      <c r="AC73" s="368">
        <f>IF(AND(Y73&gt;$P$6,Z73&gt;$P$7,AA73&gt;$P$8,V73&gt;W73,AB73&lt;$P$10),1,0)</f>
        <v/>
      </c>
      <c r="AD73" s="525">
        <f>IF(SUM(K73,T73,AC73)=0,0,AC73/SUM(K73,T73,AC73))</f>
        <v/>
      </c>
      <c r="AE73" s="525">
        <f>IF(SUM(K73,T73,AC73)=0,1,0)</f>
        <v/>
      </c>
      <c r="AF73" s="368">
        <f>G1469</f>
        <v/>
      </c>
      <c r="AG73" s="524">
        <f>AF73/AF72-1</f>
        <v/>
      </c>
      <c r="AH73" s="524">
        <f>0.5*(ABS(L72-L71)+ABS(U72-U71)+ABS(AD72-AD71)+ABS(AE72-AE71))</f>
        <v/>
      </c>
      <c r="AI73" s="524">
        <f>L72*F73+U72*O73+AD72*X73+AE72*AG73</f>
        <v/>
      </c>
      <c r="AJ73" s="524">
        <f>AH73*$P$11</f>
        <v/>
      </c>
      <c r="AK73" s="524">
        <f>AI73-AJ73</f>
        <v/>
      </c>
      <c r="AL73" s="368">
        <f>AL72*(1+AK73)</f>
        <v/>
      </c>
      <c r="AM73" s="368">
        <f>MAX($AL$40:AL73)</f>
        <v/>
      </c>
      <c r="AN73" s="524">
        <f>AL73/AM73-1</f>
        <v/>
      </c>
      <c r="AO73" s="526">
        <f>AK73-AG73</f>
        <v/>
      </c>
    </row>
    <row r="74">
      <c r="C74" s="503" t="n">
        <v>41608</v>
      </c>
      <c r="D74" s="368">
        <f>D1489</f>
        <v/>
      </c>
      <c r="E74" s="368">
        <f>H1489</f>
        <v/>
      </c>
      <c r="F74" s="524">
        <f>D74/D73-1</f>
        <v/>
      </c>
      <c r="G74" s="524">
        <f>D74/D71-1</f>
        <v/>
      </c>
      <c r="H74" s="524">
        <f>D74/D68-1</f>
        <v/>
      </c>
      <c r="I74" s="524">
        <f>D74/D62-1</f>
        <v/>
      </c>
      <c r="J74" s="524">
        <f>STDEV.S(F63:F74)*SQRT(12)</f>
        <v/>
      </c>
      <c r="K74" s="368">
        <f>IF(AND(G74&gt;$P$6,H74&gt;$P$7,I74&gt;$P$8,D74&gt;E74,J74&lt;$P$10),1,0)</f>
        <v/>
      </c>
      <c r="L74" s="525">
        <f>IF(SUM(K74,T74,AC74)=0,0,K74/SUM(K74,T74,AC74))</f>
        <v/>
      </c>
      <c r="M74" s="368">
        <f>E1489</f>
        <v/>
      </c>
      <c r="N74" s="368">
        <f>I1489</f>
        <v/>
      </c>
      <c r="O74" s="524">
        <f>M74/M73-1</f>
        <v/>
      </c>
      <c r="P74" s="524">
        <f>M74/M71-1</f>
        <v/>
      </c>
      <c r="Q74" s="524">
        <f>M74/M68-1</f>
        <v/>
      </c>
      <c r="R74" s="524">
        <f>M74/M62-1</f>
        <v/>
      </c>
      <c r="S74" s="524">
        <f>STDEV.S(O63:O74)*SQRT(12)</f>
        <v/>
      </c>
      <c r="T74" s="368">
        <f>IF(AND(P74&gt;$P$6,Q74&gt;$P$7,R74&gt;$P$8,M74&gt;N74,S74&lt;$P$10),1,0)</f>
        <v/>
      </c>
      <c r="U74" s="525">
        <f>IF(SUM(K74,T74,AC74)=0,0,T74/SUM(K74,T74,AC74))</f>
        <v/>
      </c>
      <c r="V74" s="368">
        <f>F1489</f>
        <v/>
      </c>
      <c r="W74" s="368">
        <f>J1489</f>
        <v/>
      </c>
      <c r="X74" s="524">
        <f>V74/V73-1</f>
        <v/>
      </c>
      <c r="Y74" s="524">
        <f>V74/V71-1</f>
        <v/>
      </c>
      <c r="Z74" s="524">
        <f>V74/V68-1</f>
        <v/>
      </c>
      <c r="AA74" s="524">
        <f>V74/V62-1</f>
        <v/>
      </c>
      <c r="AB74" s="524">
        <f>STDEV.S(X63:X74)*SQRT(12)</f>
        <v/>
      </c>
      <c r="AC74" s="368">
        <f>IF(AND(Y74&gt;$P$6,Z74&gt;$P$7,AA74&gt;$P$8,V74&gt;W74,AB74&lt;$P$10),1,0)</f>
        <v/>
      </c>
      <c r="AD74" s="525">
        <f>IF(SUM(K74,T74,AC74)=0,0,AC74/SUM(K74,T74,AC74))</f>
        <v/>
      </c>
      <c r="AE74" s="525">
        <f>IF(SUM(K74,T74,AC74)=0,1,0)</f>
        <v/>
      </c>
      <c r="AF74" s="368">
        <f>G1489</f>
        <v/>
      </c>
      <c r="AG74" s="524">
        <f>AF74/AF73-1</f>
        <v/>
      </c>
      <c r="AH74" s="524">
        <f>0.5*(ABS(L73-L72)+ABS(U73-U72)+ABS(AD73-AD72)+ABS(AE73-AE72))</f>
        <v/>
      </c>
      <c r="AI74" s="524">
        <f>L73*F74+U73*O74+AD73*X74+AE73*AG74</f>
        <v/>
      </c>
      <c r="AJ74" s="524">
        <f>AH74*$P$11</f>
        <v/>
      </c>
      <c r="AK74" s="524">
        <f>AI74-AJ74</f>
        <v/>
      </c>
      <c r="AL74" s="368">
        <f>AL73*(1+AK74)</f>
        <v/>
      </c>
      <c r="AM74" s="368">
        <f>MAX($AL$40:AL74)</f>
        <v/>
      </c>
      <c r="AN74" s="524">
        <f>AL74/AM74-1</f>
        <v/>
      </c>
      <c r="AO74" s="526">
        <f>AK74-AG74</f>
        <v/>
      </c>
    </row>
    <row r="75">
      <c r="C75" s="503" t="n">
        <v>41639</v>
      </c>
      <c r="D75" s="368">
        <f>D1510</f>
        <v/>
      </c>
      <c r="E75" s="368">
        <f>H1510</f>
        <v/>
      </c>
      <c r="F75" s="524">
        <f>D75/D74-1</f>
        <v/>
      </c>
      <c r="G75" s="524">
        <f>D75/D72-1</f>
        <v/>
      </c>
      <c r="H75" s="524">
        <f>D75/D69-1</f>
        <v/>
      </c>
      <c r="I75" s="524">
        <f>D75/D63-1</f>
        <v/>
      </c>
      <c r="J75" s="524">
        <f>STDEV.S(F64:F75)*SQRT(12)</f>
        <v/>
      </c>
      <c r="K75" s="368">
        <f>IF(AND(G75&gt;$P$6,H75&gt;$P$7,I75&gt;$P$8,D75&gt;E75,J75&lt;$P$10),1,0)</f>
        <v/>
      </c>
      <c r="L75" s="525">
        <f>IF(SUM(K75,T75,AC75)=0,0,K75/SUM(K75,T75,AC75))</f>
        <v/>
      </c>
      <c r="M75" s="368">
        <f>E1510</f>
        <v/>
      </c>
      <c r="N75" s="368">
        <f>I1510</f>
        <v/>
      </c>
      <c r="O75" s="524">
        <f>M75/M74-1</f>
        <v/>
      </c>
      <c r="P75" s="524">
        <f>M75/M72-1</f>
        <v/>
      </c>
      <c r="Q75" s="524">
        <f>M75/M69-1</f>
        <v/>
      </c>
      <c r="R75" s="524">
        <f>M75/M63-1</f>
        <v/>
      </c>
      <c r="S75" s="524">
        <f>STDEV.S(O64:O75)*SQRT(12)</f>
        <v/>
      </c>
      <c r="T75" s="368">
        <f>IF(AND(P75&gt;$P$6,Q75&gt;$P$7,R75&gt;$P$8,M75&gt;N75,S75&lt;$P$10),1,0)</f>
        <v/>
      </c>
      <c r="U75" s="525">
        <f>IF(SUM(K75,T75,AC75)=0,0,T75/SUM(K75,T75,AC75))</f>
        <v/>
      </c>
      <c r="V75" s="368">
        <f>F1510</f>
        <v/>
      </c>
      <c r="W75" s="368">
        <f>J1510</f>
        <v/>
      </c>
      <c r="X75" s="524">
        <f>V75/V74-1</f>
        <v/>
      </c>
      <c r="Y75" s="524">
        <f>V75/V72-1</f>
        <v/>
      </c>
      <c r="Z75" s="524">
        <f>V75/V69-1</f>
        <v/>
      </c>
      <c r="AA75" s="524">
        <f>V75/V63-1</f>
        <v/>
      </c>
      <c r="AB75" s="524">
        <f>STDEV.S(X64:X75)*SQRT(12)</f>
        <v/>
      </c>
      <c r="AC75" s="368">
        <f>IF(AND(Y75&gt;$P$6,Z75&gt;$P$7,AA75&gt;$P$8,V75&gt;W75,AB75&lt;$P$10),1,0)</f>
        <v/>
      </c>
      <c r="AD75" s="525">
        <f>IF(SUM(K75,T75,AC75)=0,0,AC75/SUM(K75,T75,AC75))</f>
        <v/>
      </c>
      <c r="AE75" s="525">
        <f>IF(SUM(K75,T75,AC75)=0,1,0)</f>
        <v/>
      </c>
      <c r="AF75" s="368">
        <f>G1510</f>
        <v/>
      </c>
      <c r="AG75" s="524">
        <f>AF75/AF74-1</f>
        <v/>
      </c>
      <c r="AH75" s="524">
        <f>0.5*(ABS(L74-L73)+ABS(U74-U73)+ABS(AD74-AD73)+ABS(AE74-AE73))</f>
        <v/>
      </c>
      <c r="AI75" s="524">
        <f>L74*F75+U74*O75+AD74*X75+AE74*AG75</f>
        <v/>
      </c>
      <c r="AJ75" s="524">
        <f>AH75*$P$11</f>
        <v/>
      </c>
      <c r="AK75" s="524">
        <f>AI75-AJ75</f>
        <v/>
      </c>
      <c r="AL75" s="368">
        <f>AL74*(1+AK75)</f>
        <v/>
      </c>
      <c r="AM75" s="368">
        <f>MAX($AL$40:AL75)</f>
        <v/>
      </c>
      <c r="AN75" s="524">
        <f>AL75/AM75-1</f>
        <v/>
      </c>
      <c r="AO75" s="526">
        <f>AK75-AG75</f>
        <v/>
      </c>
    </row>
    <row r="76">
      <c r="C76" s="503" t="n">
        <v>41670</v>
      </c>
      <c r="D76" s="368">
        <f>D1531</f>
        <v/>
      </c>
      <c r="E76" s="368">
        <f>H1531</f>
        <v/>
      </c>
      <c r="F76" s="524">
        <f>D76/D75-1</f>
        <v/>
      </c>
      <c r="G76" s="524">
        <f>D76/D73-1</f>
        <v/>
      </c>
      <c r="H76" s="524">
        <f>D76/D70-1</f>
        <v/>
      </c>
      <c r="I76" s="524">
        <f>D76/D64-1</f>
        <v/>
      </c>
      <c r="J76" s="524">
        <f>STDEV.S(F65:F76)*SQRT(12)</f>
        <v/>
      </c>
      <c r="K76" s="368">
        <f>IF(AND(G76&gt;$P$6,H76&gt;$P$7,I76&gt;$P$8,D76&gt;E76,J76&lt;$P$10),1,0)</f>
        <v/>
      </c>
      <c r="L76" s="525">
        <f>IF(SUM(K76,T76,AC76)=0,0,K76/SUM(K76,T76,AC76))</f>
        <v/>
      </c>
      <c r="M76" s="368">
        <f>E1531</f>
        <v/>
      </c>
      <c r="N76" s="368">
        <f>I1531</f>
        <v/>
      </c>
      <c r="O76" s="524">
        <f>M76/M75-1</f>
        <v/>
      </c>
      <c r="P76" s="524">
        <f>M76/M73-1</f>
        <v/>
      </c>
      <c r="Q76" s="524">
        <f>M76/M70-1</f>
        <v/>
      </c>
      <c r="R76" s="524">
        <f>M76/M64-1</f>
        <v/>
      </c>
      <c r="S76" s="524">
        <f>STDEV.S(O65:O76)*SQRT(12)</f>
        <v/>
      </c>
      <c r="T76" s="368">
        <f>IF(AND(P76&gt;$P$6,Q76&gt;$P$7,R76&gt;$P$8,M76&gt;N76,S76&lt;$P$10),1,0)</f>
        <v/>
      </c>
      <c r="U76" s="525">
        <f>IF(SUM(K76,T76,AC76)=0,0,T76/SUM(K76,T76,AC76))</f>
        <v/>
      </c>
      <c r="V76" s="368">
        <f>F1531</f>
        <v/>
      </c>
      <c r="W76" s="368">
        <f>J1531</f>
        <v/>
      </c>
      <c r="X76" s="524">
        <f>V76/V75-1</f>
        <v/>
      </c>
      <c r="Y76" s="524">
        <f>V76/V73-1</f>
        <v/>
      </c>
      <c r="Z76" s="524">
        <f>V76/V70-1</f>
        <v/>
      </c>
      <c r="AA76" s="524">
        <f>V76/V64-1</f>
        <v/>
      </c>
      <c r="AB76" s="524">
        <f>STDEV.S(X65:X76)*SQRT(12)</f>
        <v/>
      </c>
      <c r="AC76" s="368">
        <f>IF(AND(Y76&gt;$P$6,Z76&gt;$P$7,AA76&gt;$P$8,V76&gt;W76,AB76&lt;$P$10),1,0)</f>
        <v/>
      </c>
      <c r="AD76" s="525">
        <f>IF(SUM(K76,T76,AC76)=0,0,AC76/SUM(K76,T76,AC76))</f>
        <v/>
      </c>
      <c r="AE76" s="525">
        <f>IF(SUM(K76,T76,AC76)=0,1,0)</f>
        <v/>
      </c>
      <c r="AF76" s="368">
        <f>G1531</f>
        <v/>
      </c>
      <c r="AG76" s="524">
        <f>AF76/AF75-1</f>
        <v/>
      </c>
      <c r="AH76" s="524">
        <f>0.5*(ABS(L75-L74)+ABS(U75-U74)+ABS(AD75-AD74)+ABS(AE75-AE74))</f>
        <v/>
      </c>
      <c r="AI76" s="524">
        <f>L75*F76+U75*O76+AD75*X76+AE75*AG76</f>
        <v/>
      </c>
      <c r="AJ76" s="524">
        <f>AH76*$P$11</f>
        <v/>
      </c>
      <c r="AK76" s="524">
        <f>AI76-AJ76</f>
        <v/>
      </c>
      <c r="AL76" s="368">
        <f>AL75*(1+AK76)</f>
        <v/>
      </c>
      <c r="AM76" s="368">
        <f>MAX($AL$40:AL76)</f>
        <v/>
      </c>
      <c r="AN76" s="524">
        <f>AL76/AM76-1</f>
        <v/>
      </c>
      <c r="AO76" s="526">
        <f>AK76-AG76</f>
        <v/>
      </c>
    </row>
    <row r="77">
      <c r="C77" s="503" t="n">
        <v>41698</v>
      </c>
      <c r="D77" s="368">
        <f>D1550</f>
        <v/>
      </c>
      <c r="E77" s="368">
        <f>H1550</f>
        <v/>
      </c>
      <c r="F77" s="524">
        <f>D77/D76-1</f>
        <v/>
      </c>
      <c r="G77" s="524">
        <f>D77/D74-1</f>
        <v/>
      </c>
      <c r="H77" s="524">
        <f>D77/D71-1</f>
        <v/>
      </c>
      <c r="I77" s="524">
        <f>D77/D65-1</f>
        <v/>
      </c>
      <c r="J77" s="524">
        <f>STDEV.S(F66:F77)*SQRT(12)</f>
        <v/>
      </c>
      <c r="K77" s="368">
        <f>IF(AND(G77&gt;$P$6,H77&gt;$P$7,I77&gt;$P$8,D77&gt;E77,J77&lt;$P$10),1,0)</f>
        <v/>
      </c>
      <c r="L77" s="525">
        <f>IF(SUM(K77,T77,AC77)=0,0,K77/SUM(K77,T77,AC77))</f>
        <v/>
      </c>
      <c r="M77" s="368">
        <f>E1550</f>
        <v/>
      </c>
      <c r="N77" s="368">
        <f>I1550</f>
        <v/>
      </c>
      <c r="O77" s="524">
        <f>M77/M76-1</f>
        <v/>
      </c>
      <c r="P77" s="524">
        <f>M77/M74-1</f>
        <v/>
      </c>
      <c r="Q77" s="524">
        <f>M77/M71-1</f>
        <v/>
      </c>
      <c r="R77" s="524">
        <f>M77/M65-1</f>
        <v/>
      </c>
      <c r="S77" s="524">
        <f>STDEV.S(O66:O77)*SQRT(12)</f>
        <v/>
      </c>
      <c r="T77" s="368">
        <f>IF(AND(P77&gt;$P$6,Q77&gt;$P$7,R77&gt;$P$8,M77&gt;N77,S77&lt;$P$10),1,0)</f>
        <v/>
      </c>
      <c r="U77" s="525">
        <f>IF(SUM(K77,T77,AC77)=0,0,T77/SUM(K77,T77,AC77))</f>
        <v/>
      </c>
      <c r="V77" s="368">
        <f>F1550</f>
        <v/>
      </c>
      <c r="W77" s="368">
        <f>J1550</f>
        <v/>
      </c>
      <c r="X77" s="524">
        <f>V77/V76-1</f>
        <v/>
      </c>
      <c r="Y77" s="524">
        <f>V77/V74-1</f>
        <v/>
      </c>
      <c r="Z77" s="524">
        <f>V77/V71-1</f>
        <v/>
      </c>
      <c r="AA77" s="524">
        <f>V77/V65-1</f>
        <v/>
      </c>
      <c r="AB77" s="524">
        <f>STDEV.S(X66:X77)*SQRT(12)</f>
        <v/>
      </c>
      <c r="AC77" s="368">
        <f>IF(AND(Y77&gt;$P$6,Z77&gt;$P$7,AA77&gt;$P$8,V77&gt;W77,AB77&lt;$P$10),1,0)</f>
        <v/>
      </c>
      <c r="AD77" s="525">
        <f>IF(SUM(K77,T77,AC77)=0,0,AC77/SUM(K77,T77,AC77))</f>
        <v/>
      </c>
      <c r="AE77" s="525">
        <f>IF(SUM(K77,T77,AC77)=0,1,0)</f>
        <v/>
      </c>
      <c r="AF77" s="368">
        <f>G1550</f>
        <v/>
      </c>
      <c r="AG77" s="524">
        <f>AF77/AF76-1</f>
        <v/>
      </c>
      <c r="AH77" s="524">
        <f>0.5*(ABS(L76-L75)+ABS(U76-U75)+ABS(AD76-AD75)+ABS(AE76-AE75))</f>
        <v/>
      </c>
      <c r="AI77" s="524">
        <f>L76*F77+U76*O77+AD76*X77+AE76*AG77</f>
        <v/>
      </c>
      <c r="AJ77" s="524">
        <f>AH77*$P$11</f>
        <v/>
      </c>
      <c r="AK77" s="524">
        <f>AI77-AJ77</f>
        <v/>
      </c>
      <c r="AL77" s="368">
        <f>AL76*(1+AK77)</f>
        <v/>
      </c>
      <c r="AM77" s="368">
        <f>MAX($AL$40:AL77)</f>
        <v/>
      </c>
      <c r="AN77" s="524">
        <f>AL77/AM77-1</f>
        <v/>
      </c>
      <c r="AO77" s="526">
        <f>AK77-AG77</f>
        <v/>
      </c>
    </row>
    <row r="78">
      <c r="C78" s="503" t="n">
        <v>41729</v>
      </c>
      <c r="D78" s="368">
        <f>D1571</f>
        <v/>
      </c>
      <c r="E78" s="368">
        <f>H1571</f>
        <v/>
      </c>
      <c r="F78" s="524">
        <f>D78/D77-1</f>
        <v/>
      </c>
      <c r="G78" s="524">
        <f>D78/D75-1</f>
        <v/>
      </c>
      <c r="H78" s="524">
        <f>D78/D72-1</f>
        <v/>
      </c>
      <c r="I78" s="524">
        <f>D78/D66-1</f>
        <v/>
      </c>
      <c r="J78" s="524">
        <f>STDEV.S(F67:F78)*SQRT(12)</f>
        <v/>
      </c>
      <c r="K78" s="368">
        <f>IF(AND(G78&gt;$P$6,H78&gt;$P$7,I78&gt;$P$8,D78&gt;E78,J78&lt;$P$10),1,0)</f>
        <v/>
      </c>
      <c r="L78" s="525">
        <f>IF(SUM(K78,T78,AC78)=0,0,K78/SUM(K78,T78,AC78))</f>
        <v/>
      </c>
      <c r="M78" s="368">
        <f>E1571</f>
        <v/>
      </c>
      <c r="N78" s="368">
        <f>I1571</f>
        <v/>
      </c>
      <c r="O78" s="524">
        <f>M78/M77-1</f>
        <v/>
      </c>
      <c r="P78" s="524">
        <f>M78/M75-1</f>
        <v/>
      </c>
      <c r="Q78" s="524">
        <f>M78/M72-1</f>
        <v/>
      </c>
      <c r="R78" s="524">
        <f>M78/M66-1</f>
        <v/>
      </c>
      <c r="S78" s="524">
        <f>STDEV.S(O67:O78)*SQRT(12)</f>
        <v/>
      </c>
      <c r="T78" s="368">
        <f>IF(AND(P78&gt;$P$6,Q78&gt;$P$7,R78&gt;$P$8,M78&gt;N78,S78&lt;$P$10),1,0)</f>
        <v/>
      </c>
      <c r="U78" s="525">
        <f>IF(SUM(K78,T78,AC78)=0,0,T78/SUM(K78,T78,AC78))</f>
        <v/>
      </c>
      <c r="V78" s="368">
        <f>F1571</f>
        <v/>
      </c>
      <c r="W78" s="368">
        <f>J1571</f>
        <v/>
      </c>
      <c r="X78" s="524">
        <f>V78/V77-1</f>
        <v/>
      </c>
      <c r="Y78" s="524">
        <f>V78/V75-1</f>
        <v/>
      </c>
      <c r="Z78" s="524">
        <f>V78/V72-1</f>
        <v/>
      </c>
      <c r="AA78" s="524">
        <f>V78/V66-1</f>
        <v/>
      </c>
      <c r="AB78" s="524">
        <f>STDEV.S(X67:X78)*SQRT(12)</f>
        <v/>
      </c>
      <c r="AC78" s="368">
        <f>IF(AND(Y78&gt;$P$6,Z78&gt;$P$7,AA78&gt;$P$8,V78&gt;W78,AB78&lt;$P$10),1,0)</f>
        <v/>
      </c>
      <c r="AD78" s="525">
        <f>IF(SUM(K78,T78,AC78)=0,0,AC78/SUM(K78,T78,AC78))</f>
        <v/>
      </c>
      <c r="AE78" s="525">
        <f>IF(SUM(K78,T78,AC78)=0,1,0)</f>
        <v/>
      </c>
      <c r="AF78" s="368">
        <f>G1571</f>
        <v/>
      </c>
      <c r="AG78" s="524">
        <f>AF78/AF77-1</f>
        <v/>
      </c>
      <c r="AH78" s="524">
        <f>0.5*(ABS(L77-L76)+ABS(U77-U76)+ABS(AD77-AD76)+ABS(AE77-AE76))</f>
        <v/>
      </c>
      <c r="AI78" s="524">
        <f>L77*F78+U77*O78+AD77*X78+AE77*AG78</f>
        <v/>
      </c>
      <c r="AJ78" s="524">
        <f>AH78*$P$11</f>
        <v/>
      </c>
      <c r="AK78" s="524">
        <f>AI78-AJ78</f>
        <v/>
      </c>
      <c r="AL78" s="368">
        <f>AL77*(1+AK78)</f>
        <v/>
      </c>
      <c r="AM78" s="368">
        <f>MAX($AL$40:AL78)</f>
        <v/>
      </c>
      <c r="AN78" s="524">
        <f>AL78/AM78-1</f>
        <v/>
      </c>
      <c r="AO78" s="526">
        <f>AK78-AG78</f>
        <v/>
      </c>
    </row>
    <row r="79">
      <c r="C79" s="503" t="n">
        <v>41759</v>
      </c>
      <c r="D79" s="368">
        <f>D1592</f>
        <v/>
      </c>
      <c r="E79" s="368">
        <f>H1592</f>
        <v/>
      </c>
      <c r="F79" s="524">
        <f>D79/D78-1</f>
        <v/>
      </c>
      <c r="G79" s="524">
        <f>D79/D76-1</f>
        <v/>
      </c>
      <c r="H79" s="524">
        <f>D79/D73-1</f>
        <v/>
      </c>
      <c r="I79" s="524">
        <f>D79/D67-1</f>
        <v/>
      </c>
      <c r="J79" s="524">
        <f>STDEV.S(F68:F79)*SQRT(12)</f>
        <v/>
      </c>
      <c r="K79" s="368">
        <f>IF(AND(G79&gt;$P$6,H79&gt;$P$7,I79&gt;$P$8,D79&gt;E79,J79&lt;$P$10),1,0)</f>
        <v/>
      </c>
      <c r="L79" s="525">
        <f>IF(SUM(K79,T79,AC79)=0,0,K79/SUM(K79,T79,AC79))</f>
        <v/>
      </c>
      <c r="M79" s="368">
        <f>E1592</f>
        <v/>
      </c>
      <c r="N79" s="368">
        <f>I1592</f>
        <v/>
      </c>
      <c r="O79" s="524">
        <f>M79/M78-1</f>
        <v/>
      </c>
      <c r="P79" s="524">
        <f>M79/M76-1</f>
        <v/>
      </c>
      <c r="Q79" s="524">
        <f>M79/M73-1</f>
        <v/>
      </c>
      <c r="R79" s="524">
        <f>M79/M67-1</f>
        <v/>
      </c>
      <c r="S79" s="524">
        <f>STDEV.S(O68:O79)*SQRT(12)</f>
        <v/>
      </c>
      <c r="T79" s="368">
        <f>IF(AND(P79&gt;$P$6,Q79&gt;$P$7,R79&gt;$P$8,M79&gt;N79,S79&lt;$P$10),1,0)</f>
        <v/>
      </c>
      <c r="U79" s="525">
        <f>IF(SUM(K79,T79,AC79)=0,0,T79/SUM(K79,T79,AC79))</f>
        <v/>
      </c>
      <c r="V79" s="368">
        <f>F1592</f>
        <v/>
      </c>
      <c r="W79" s="368">
        <f>J1592</f>
        <v/>
      </c>
      <c r="X79" s="524">
        <f>V79/V78-1</f>
        <v/>
      </c>
      <c r="Y79" s="524">
        <f>V79/V76-1</f>
        <v/>
      </c>
      <c r="Z79" s="524">
        <f>V79/V73-1</f>
        <v/>
      </c>
      <c r="AA79" s="524">
        <f>V79/V67-1</f>
        <v/>
      </c>
      <c r="AB79" s="524">
        <f>STDEV.S(X68:X79)*SQRT(12)</f>
        <v/>
      </c>
      <c r="AC79" s="368">
        <f>IF(AND(Y79&gt;$P$6,Z79&gt;$P$7,AA79&gt;$P$8,V79&gt;W79,AB79&lt;$P$10),1,0)</f>
        <v/>
      </c>
      <c r="AD79" s="525">
        <f>IF(SUM(K79,T79,AC79)=0,0,AC79/SUM(K79,T79,AC79))</f>
        <v/>
      </c>
      <c r="AE79" s="525">
        <f>IF(SUM(K79,T79,AC79)=0,1,0)</f>
        <v/>
      </c>
      <c r="AF79" s="368">
        <f>G1592</f>
        <v/>
      </c>
      <c r="AG79" s="524">
        <f>AF79/AF78-1</f>
        <v/>
      </c>
      <c r="AH79" s="524">
        <f>0.5*(ABS(L78-L77)+ABS(U78-U77)+ABS(AD78-AD77)+ABS(AE78-AE77))</f>
        <v/>
      </c>
      <c r="AI79" s="524">
        <f>L78*F79+U78*O79+AD78*X79+AE78*AG79</f>
        <v/>
      </c>
      <c r="AJ79" s="524">
        <f>AH79*$P$11</f>
        <v/>
      </c>
      <c r="AK79" s="524">
        <f>AI79-AJ79</f>
        <v/>
      </c>
      <c r="AL79" s="368">
        <f>AL78*(1+AK79)</f>
        <v/>
      </c>
      <c r="AM79" s="368">
        <f>MAX($AL$40:AL79)</f>
        <v/>
      </c>
      <c r="AN79" s="524">
        <f>AL79/AM79-1</f>
        <v/>
      </c>
      <c r="AO79" s="526">
        <f>AK79-AG79</f>
        <v/>
      </c>
    </row>
    <row r="80">
      <c r="C80" s="503" t="n">
        <v>41790</v>
      </c>
      <c r="D80" s="368">
        <f>D1613</f>
        <v/>
      </c>
      <c r="E80" s="368">
        <f>H1613</f>
        <v/>
      </c>
      <c r="F80" s="524">
        <f>D80/D79-1</f>
        <v/>
      </c>
      <c r="G80" s="524">
        <f>D80/D77-1</f>
        <v/>
      </c>
      <c r="H80" s="524">
        <f>D80/D74-1</f>
        <v/>
      </c>
      <c r="I80" s="524">
        <f>D80/D68-1</f>
        <v/>
      </c>
      <c r="J80" s="524">
        <f>STDEV.S(F69:F80)*SQRT(12)</f>
        <v/>
      </c>
      <c r="K80" s="368">
        <f>IF(AND(G80&gt;$P$6,H80&gt;$P$7,I80&gt;$P$8,D80&gt;E80,J80&lt;$P$10),1,0)</f>
        <v/>
      </c>
      <c r="L80" s="525">
        <f>IF(SUM(K80,T80,AC80)=0,0,K80/SUM(K80,T80,AC80))</f>
        <v/>
      </c>
      <c r="M80" s="368">
        <f>E1613</f>
        <v/>
      </c>
      <c r="N80" s="368">
        <f>I1613</f>
        <v/>
      </c>
      <c r="O80" s="524">
        <f>M80/M79-1</f>
        <v/>
      </c>
      <c r="P80" s="524">
        <f>M80/M77-1</f>
        <v/>
      </c>
      <c r="Q80" s="524">
        <f>M80/M74-1</f>
        <v/>
      </c>
      <c r="R80" s="524">
        <f>M80/M68-1</f>
        <v/>
      </c>
      <c r="S80" s="524">
        <f>STDEV.S(O69:O80)*SQRT(12)</f>
        <v/>
      </c>
      <c r="T80" s="368">
        <f>IF(AND(P80&gt;$P$6,Q80&gt;$P$7,R80&gt;$P$8,M80&gt;N80,S80&lt;$P$10),1,0)</f>
        <v/>
      </c>
      <c r="U80" s="525">
        <f>IF(SUM(K80,T80,AC80)=0,0,T80/SUM(K80,T80,AC80))</f>
        <v/>
      </c>
      <c r="V80" s="368">
        <f>F1613</f>
        <v/>
      </c>
      <c r="W80" s="368">
        <f>J1613</f>
        <v/>
      </c>
      <c r="X80" s="524">
        <f>V80/V79-1</f>
        <v/>
      </c>
      <c r="Y80" s="524">
        <f>V80/V77-1</f>
        <v/>
      </c>
      <c r="Z80" s="524">
        <f>V80/V74-1</f>
        <v/>
      </c>
      <c r="AA80" s="524">
        <f>V80/V68-1</f>
        <v/>
      </c>
      <c r="AB80" s="524">
        <f>STDEV.S(X69:X80)*SQRT(12)</f>
        <v/>
      </c>
      <c r="AC80" s="368">
        <f>IF(AND(Y80&gt;$P$6,Z80&gt;$P$7,AA80&gt;$P$8,V80&gt;W80,AB80&lt;$P$10),1,0)</f>
        <v/>
      </c>
      <c r="AD80" s="525">
        <f>IF(SUM(K80,T80,AC80)=0,0,AC80/SUM(K80,T80,AC80))</f>
        <v/>
      </c>
      <c r="AE80" s="525">
        <f>IF(SUM(K80,T80,AC80)=0,1,0)</f>
        <v/>
      </c>
      <c r="AF80" s="368">
        <f>G1613</f>
        <v/>
      </c>
      <c r="AG80" s="524">
        <f>AF80/AF79-1</f>
        <v/>
      </c>
      <c r="AH80" s="524">
        <f>0.5*(ABS(L79-L78)+ABS(U79-U78)+ABS(AD79-AD78)+ABS(AE79-AE78))</f>
        <v/>
      </c>
      <c r="AI80" s="524">
        <f>L79*F80+U79*O80+AD79*X80+AE79*AG80</f>
        <v/>
      </c>
      <c r="AJ80" s="524">
        <f>AH80*$P$11</f>
        <v/>
      </c>
      <c r="AK80" s="524">
        <f>AI80-AJ80</f>
        <v/>
      </c>
      <c r="AL80" s="368">
        <f>AL79*(1+AK80)</f>
        <v/>
      </c>
      <c r="AM80" s="368">
        <f>MAX($AL$40:AL80)</f>
        <v/>
      </c>
      <c r="AN80" s="524">
        <f>AL80/AM80-1</f>
        <v/>
      </c>
      <c r="AO80" s="526">
        <f>AK80-AG80</f>
        <v/>
      </c>
    </row>
    <row r="81">
      <c r="C81" s="503" t="n">
        <v>41820</v>
      </c>
      <c r="D81" s="368">
        <f>D1634</f>
        <v/>
      </c>
      <c r="E81" s="368">
        <f>H1634</f>
        <v/>
      </c>
      <c r="F81" s="524">
        <f>D81/D80-1</f>
        <v/>
      </c>
      <c r="G81" s="524">
        <f>D81/D78-1</f>
        <v/>
      </c>
      <c r="H81" s="524">
        <f>D81/D75-1</f>
        <v/>
      </c>
      <c r="I81" s="524">
        <f>D81/D69-1</f>
        <v/>
      </c>
      <c r="J81" s="524">
        <f>STDEV.S(F70:F81)*SQRT(12)</f>
        <v/>
      </c>
      <c r="K81" s="368">
        <f>IF(AND(G81&gt;$P$6,H81&gt;$P$7,I81&gt;$P$8,D81&gt;E81,J81&lt;$P$10),1,0)</f>
        <v/>
      </c>
      <c r="L81" s="525">
        <f>IF(SUM(K81,T81,AC81)=0,0,K81/SUM(K81,T81,AC81))</f>
        <v/>
      </c>
      <c r="M81" s="368">
        <f>E1634</f>
        <v/>
      </c>
      <c r="N81" s="368">
        <f>I1634</f>
        <v/>
      </c>
      <c r="O81" s="524">
        <f>M81/M80-1</f>
        <v/>
      </c>
      <c r="P81" s="524">
        <f>M81/M78-1</f>
        <v/>
      </c>
      <c r="Q81" s="524">
        <f>M81/M75-1</f>
        <v/>
      </c>
      <c r="R81" s="524">
        <f>M81/M69-1</f>
        <v/>
      </c>
      <c r="S81" s="524">
        <f>STDEV.S(O70:O81)*SQRT(12)</f>
        <v/>
      </c>
      <c r="T81" s="368">
        <f>IF(AND(P81&gt;$P$6,Q81&gt;$P$7,R81&gt;$P$8,M81&gt;N81,S81&lt;$P$10),1,0)</f>
        <v/>
      </c>
      <c r="U81" s="525">
        <f>IF(SUM(K81,T81,AC81)=0,0,T81/SUM(K81,T81,AC81))</f>
        <v/>
      </c>
      <c r="V81" s="368">
        <f>F1634</f>
        <v/>
      </c>
      <c r="W81" s="368">
        <f>J1634</f>
        <v/>
      </c>
      <c r="X81" s="524">
        <f>V81/V80-1</f>
        <v/>
      </c>
      <c r="Y81" s="524">
        <f>V81/V78-1</f>
        <v/>
      </c>
      <c r="Z81" s="524">
        <f>V81/V75-1</f>
        <v/>
      </c>
      <c r="AA81" s="524">
        <f>V81/V69-1</f>
        <v/>
      </c>
      <c r="AB81" s="524">
        <f>STDEV.S(X70:X81)*SQRT(12)</f>
        <v/>
      </c>
      <c r="AC81" s="368">
        <f>IF(AND(Y81&gt;$P$6,Z81&gt;$P$7,AA81&gt;$P$8,V81&gt;W81,AB81&lt;$P$10),1,0)</f>
        <v/>
      </c>
      <c r="AD81" s="525">
        <f>IF(SUM(K81,T81,AC81)=0,0,AC81/SUM(K81,T81,AC81))</f>
        <v/>
      </c>
      <c r="AE81" s="525">
        <f>IF(SUM(K81,T81,AC81)=0,1,0)</f>
        <v/>
      </c>
      <c r="AF81" s="368">
        <f>G1634</f>
        <v/>
      </c>
      <c r="AG81" s="524">
        <f>AF81/AF80-1</f>
        <v/>
      </c>
      <c r="AH81" s="524">
        <f>0.5*(ABS(L80-L79)+ABS(U80-U79)+ABS(AD80-AD79)+ABS(AE80-AE79))</f>
        <v/>
      </c>
      <c r="AI81" s="524">
        <f>L80*F81+U80*O81+AD80*X81+AE80*AG81</f>
        <v/>
      </c>
      <c r="AJ81" s="524">
        <f>AH81*$P$11</f>
        <v/>
      </c>
      <c r="AK81" s="524">
        <f>AI81-AJ81</f>
        <v/>
      </c>
      <c r="AL81" s="368">
        <f>AL80*(1+AK81)</f>
        <v/>
      </c>
      <c r="AM81" s="368">
        <f>MAX($AL$40:AL81)</f>
        <v/>
      </c>
      <c r="AN81" s="524">
        <f>AL81/AM81-1</f>
        <v/>
      </c>
      <c r="AO81" s="526">
        <f>AK81-AG81</f>
        <v/>
      </c>
    </row>
    <row r="82">
      <c r="C82" s="503" t="n">
        <v>41851</v>
      </c>
      <c r="D82" s="368">
        <f>D1656</f>
        <v/>
      </c>
      <c r="E82" s="368">
        <f>H1656</f>
        <v/>
      </c>
      <c r="F82" s="524">
        <f>D82/D81-1</f>
        <v/>
      </c>
      <c r="G82" s="524">
        <f>D82/D79-1</f>
        <v/>
      </c>
      <c r="H82" s="524">
        <f>D82/D76-1</f>
        <v/>
      </c>
      <c r="I82" s="524">
        <f>D82/D70-1</f>
        <v/>
      </c>
      <c r="J82" s="524">
        <f>STDEV.S(F71:F82)*SQRT(12)</f>
        <v/>
      </c>
      <c r="K82" s="368">
        <f>IF(AND(G82&gt;$P$6,H82&gt;$P$7,I82&gt;$P$8,D82&gt;E82,J82&lt;$P$10),1,0)</f>
        <v/>
      </c>
      <c r="L82" s="525">
        <f>IF(SUM(K82,T82,AC82)=0,0,K82/SUM(K82,T82,AC82))</f>
        <v/>
      </c>
      <c r="M82" s="368">
        <f>E1656</f>
        <v/>
      </c>
      <c r="N82" s="368">
        <f>I1656</f>
        <v/>
      </c>
      <c r="O82" s="524">
        <f>M82/M81-1</f>
        <v/>
      </c>
      <c r="P82" s="524">
        <f>M82/M79-1</f>
        <v/>
      </c>
      <c r="Q82" s="524">
        <f>M82/M76-1</f>
        <v/>
      </c>
      <c r="R82" s="524">
        <f>M82/M70-1</f>
        <v/>
      </c>
      <c r="S82" s="524">
        <f>STDEV.S(O71:O82)*SQRT(12)</f>
        <v/>
      </c>
      <c r="T82" s="368">
        <f>IF(AND(P82&gt;$P$6,Q82&gt;$P$7,R82&gt;$P$8,M82&gt;N82,S82&lt;$P$10),1,0)</f>
        <v/>
      </c>
      <c r="U82" s="525">
        <f>IF(SUM(K82,T82,AC82)=0,0,T82/SUM(K82,T82,AC82))</f>
        <v/>
      </c>
      <c r="V82" s="368">
        <f>F1656</f>
        <v/>
      </c>
      <c r="W82" s="368">
        <f>J1656</f>
        <v/>
      </c>
      <c r="X82" s="524">
        <f>V82/V81-1</f>
        <v/>
      </c>
      <c r="Y82" s="524">
        <f>V82/V79-1</f>
        <v/>
      </c>
      <c r="Z82" s="524">
        <f>V82/V76-1</f>
        <v/>
      </c>
      <c r="AA82" s="524">
        <f>V82/V70-1</f>
        <v/>
      </c>
      <c r="AB82" s="524">
        <f>STDEV.S(X71:X82)*SQRT(12)</f>
        <v/>
      </c>
      <c r="AC82" s="368">
        <f>IF(AND(Y82&gt;$P$6,Z82&gt;$P$7,AA82&gt;$P$8,V82&gt;W82,AB82&lt;$P$10),1,0)</f>
        <v/>
      </c>
      <c r="AD82" s="525">
        <f>IF(SUM(K82,T82,AC82)=0,0,AC82/SUM(K82,T82,AC82))</f>
        <v/>
      </c>
      <c r="AE82" s="525">
        <f>IF(SUM(K82,T82,AC82)=0,1,0)</f>
        <v/>
      </c>
      <c r="AF82" s="368">
        <f>G1656</f>
        <v/>
      </c>
      <c r="AG82" s="524">
        <f>AF82/AF81-1</f>
        <v/>
      </c>
      <c r="AH82" s="524">
        <f>0.5*(ABS(L81-L80)+ABS(U81-U80)+ABS(AD81-AD80)+ABS(AE81-AE80))</f>
        <v/>
      </c>
      <c r="AI82" s="524">
        <f>L81*F82+U81*O82+AD81*X82+AE81*AG82</f>
        <v/>
      </c>
      <c r="AJ82" s="524">
        <f>AH82*$P$11</f>
        <v/>
      </c>
      <c r="AK82" s="524">
        <f>AI82-AJ82</f>
        <v/>
      </c>
      <c r="AL82" s="368">
        <f>AL81*(1+AK82)</f>
        <v/>
      </c>
      <c r="AM82" s="368">
        <f>MAX($AL$40:AL82)</f>
        <v/>
      </c>
      <c r="AN82" s="524">
        <f>AL82/AM82-1</f>
        <v/>
      </c>
      <c r="AO82" s="526">
        <f>AK82-AG82</f>
        <v/>
      </c>
    </row>
    <row r="83">
      <c r="C83" s="503" t="n">
        <v>41882</v>
      </c>
      <c r="D83" s="368">
        <f>D1677</f>
        <v/>
      </c>
      <c r="E83" s="368">
        <f>H1677</f>
        <v/>
      </c>
      <c r="F83" s="524">
        <f>D83/D82-1</f>
        <v/>
      </c>
      <c r="G83" s="524">
        <f>D83/D80-1</f>
        <v/>
      </c>
      <c r="H83" s="524">
        <f>D83/D77-1</f>
        <v/>
      </c>
      <c r="I83" s="524">
        <f>D83/D71-1</f>
        <v/>
      </c>
      <c r="J83" s="524">
        <f>STDEV.S(F72:F83)*SQRT(12)</f>
        <v/>
      </c>
      <c r="K83" s="368">
        <f>IF(AND(G83&gt;$P$6,H83&gt;$P$7,I83&gt;$P$8,D83&gt;E83,J83&lt;$P$10),1,0)</f>
        <v/>
      </c>
      <c r="L83" s="525">
        <f>IF(SUM(K83,T83,AC83)=0,0,K83/SUM(K83,T83,AC83))</f>
        <v/>
      </c>
      <c r="M83" s="368">
        <f>E1677</f>
        <v/>
      </c>
      <c r="N83" s="368">
        <f>I1677</f>
        <v/>
      </c>
      <c r="O83" s="524">
        <f>M83/M82-1</f>
        <v/>
      </c>
      <c r="P83" s="524">
        <f>M83/M80-1</f>
        <v/>
      </c>
      <c r="Q83" s="524">
        <f>M83/M77-1</f>
        <v/>
      </c>
      <c r="R83" s="524">
        <f>M83/M71-1</f>
        <v/>
      </c>
      <c r="S83" s="524">
        <f>STDEV.S(O72:O83)*SQRT(12)</f>
        <v/>
      </c>
      <c r="T83" s="368">
        <f>IF(AND(P83&gt;$P$6,Q83&gt;$P$7,R83&gt;$P$8,M83&gt;N83,S83&lt;$P$10),1,0)</f>
        <v/>
      </c>
      <c r="U83" s="525">
        <f>IF(SUM(K83,T83,AC83)=0,0,T83/SUM(K83,T83,AC83))</f>
        <v/>
      </c>
      <c r="V83" s="368">
        <f>F1677</f>
        <v/>
      </c>
      <c r="W83" s="368">
        <f>J1677</f>
        <v/>
      </c>
      <c r="X83" s="524">
        <f>V83/V82-1</f>
        <v/>
      </c>
      <c r="Y83" s="524">
        <f>V83/V80-1</f>
        <v/>
      </c>
      <c r="Z83" s="524">
        <f>V83/V77-1</f>
        <v/>
      </c>
      <c r="AA83" s="524">
        <f>V83/V71-1</f>
        <v/>
      </c>
      <c r="AB83" s="524">
        <f>STDEV.S(X72:X83)*SQRT(12)</f>
        <v/>
      </c>
      <c r="AC83" s="368">
        <f>IF(AND(Y83&gt;$P$6,Z83&gt;$P$7,AA83&gt;$P$8,V83&gt;W83,AB83&lt;$P$10),1,0)</f>
        <v/>
      </c>
      <c r="AD83" s="525">
        <f>IF(SUM(K83,T83,AC83)=0,0,AC83/SUM(K83,T83,AC83))</f>
        <v/>
      </c>
      <c r="AE83" s="525">
        <f>IF(SUM(K83,T83,AC83)=0,1,0)</f>
        <v/>
      </c>
      <c r="AF83" s="368">
        <f>G1677</f>
        <v/>
      </c>
      <c r="AG83" s="524">
        <f>AF83/AF82-1</f>
        <v/>
      </c>
      <c r="AH83" s="524">
        <f>0.5*(ABS(L82-L81)+ABS(U82-U81)+ABS(AD82-AD81)+ABS(AE82-AE81))</f>
        <v/>
      </c>
      <c r="AI83" s="524">
        <f>L82*F83+U82*O83+AD82*X83+AE82*AG83</f>
        <v/>
      </c>
      <c r="AJ83" s="524">
        <f>AH83*$P$11</f>
        <v/>
      </c>
      <c r="AK83" s="524">
        <f>AI83-AJ83</f>
        <v/>
      </c>
      <c r="AL83" s="368">
        <f>AL82*(1+AK83)</f>
        <v/>
      </c>
      <c r="AM83" s="368">
        <f>MAX($AL$40:AL83)</f>
        <v/>
      </c>
      <c r="AN83" s="524">
        <f>AL83/AM83-1</f>
        <v/>
      </c>
      <c r="AO83" s="526">
        <f>AK83-AG83</f>
        <v/>
      </c>
    </row>
    <row r="84">
      <c r="C84" s="503" t="n">
        <v>41912</v>
      </c>
      <c r="D84" s="368">
        <f>D1698</f>
        <v/>
      </c>
      <c r="E84" s="368">
        <f>H1698</f>
        <v/>
      </c>
      <c r="F84" s="524">
        <f>D84/D83-1</f>
        <v/>
      </c>
      <c r="G84" s="524">
        <f>D84/D81-1</f>
        <v/>
      </c>
      <c r="H84" s="524">
        <f>D84/D78-1</f>
        <v/>
      </c>
      <c r="I84" s="524">
        <f>D84/D72-1</f>
        <v/>
      </c>
      <c r="J84" s="524">
        <f>STDEV.S(F73:F84)*SQRT(12)</f>
        <v/>
      </c>
      <c r="K84" s="368">
        <f>IF(AND(G84&gt;$P$6,H84&gt;$P$7,I84&gt;$P$8,D84&gt;E84,J84&lt;$P$10),1,0)</f>
        <v/>
      </c>
      <c r="L84" s="525">
        <f>IF(SUM(K84,T84,AC84)=0,0,K84/SUM(K84,T84,AC84))</f>
        <v/>
      </c>
      <c r="M84" s="368">
        <f>E1698</f>
        <v/>
      </c>
      <c r="N84" s="368">
        <f>I1698</f>
        <v/>
      </c>
      <c r="O84" s="524">
        <f>M84/M83-1</f>
        <v/>
      </c>
      <c r="P84" s="524">
        <f>M84/M81-1</f>
        <v/>
      </c>
      <c r="Q84" s="524">
        <f>M84/M78-1</f>
        <v/>
      </c>
      <c r="R84" s="524">
        <f>M84/M72-1</f>
        <v/>
      </c>
      <c r="S84" s="524">
        <f>STDEV.S(O73:O84)*SQRT(12)</f>
        <v/>
      </c>
      <c r="T84" s="368">
        <f>IF(AND(P84&gt;$P$6,Q84&gt;$P$7,R84&gt;$P$8,M84&gt;N84,S84&lt;$P$10),1,0)</f>
        <v/>
      </c>
      <c r="U84" s="525">
        <f>IF(SUM(K84,T84,AC84)=0,0,T84/SUM(K84,T84,AC84))</f>
        <v/>
      </c>
      <c r="V84" s="368">
        <f>F1698</f>
        <v/>
      </c>
      <c r="W84" s="368">
        <f>J1698</f>
        <v/>
      </c>
      <c r="X84" s="524">
        <f>V84/V83-1</f>
        <v/>
      </c>
      <c r="Y84" s="524">
        <f>V84/V81-1</f>
        <v/>
      </c>
      <c r="Z84" s="524">
        <f>V84/V78-1</f>
        <v/>
      </c>
      <c r="AA84" s="524">
        <f>V84/V72-1</f>
        <v/>
      </c>
      <c r="AB84" s="524">
        <f>STDEV.S(X73:X84)*SQRT(12)</f>
        <v/>
      </c>
      <c r="AC84" s="368">
        <f>IF(AND(Y84&gt;$P$6,Z84&gt;$P$7,AA84&gt;$P$8,V84&gt;W84,AB84&lt;$P$10),1,0)</f>
        <v/>
      </c>
      <c r="AD84" s="525">
        <f>IF(SUM(K84,T84,AC84)=0,0,AC84/SUM(K84,T84,AC84))</f>
        <v/>
      </c>
      <c r="AE84" s="525">
        <f>IF(SUM(K84,T84,AC84)=0,1,0)</f>
        <v/>
      </c>
      <c r="AF84" s="368">
        <f>G1698</f>
        <v/>
      </c>
      <c r="AG84" s="524">
        <f>AF84/AF83-1</f>
        <v/>
      </c>
      <c r="AH84" s="524">
        <f>0.5*(ABS(L83-L82)+ABS(U83-U82)+ABS(AD83-AD82)+ABS(AE83-AE82))</f>
        <v/>
      </c>
      <c r="AI84" s="524">
        <f>L83*F84+U83*O84+AD83*X84+AE83*AG84</f>
        <v/>
      </c>
      <c r="AJ84" s="524">
        <f>AH84*$P$11</f>
        <v/>
      </c>
      <c r="AK84" s="524">
        <f>AI84-AJ84</f>
        <v/>
      </c>
      <c r="AL84" s="368">
        <f>AL83*(1+AK84)</f>
        <v/>
      </c>
      <c r="AM84" s="368">
        <f>MAX($AL$40:AL84)</f>
        <v/>
      </c>
      <c r="AN84" s="524">
        <f>AL84/AM84-1</f>
        <v/>
      </c>
      <c r="AO84" s="526">
        <f>AK84-AG84</f>
        <v/>
      </c>
    </row>
    <row r="85">
      <c r="C85" s="503" t="n">
        <v>41943</v>
      </c>
      <c r="D85" s="368">
        <f>D1721</f>
        <v/>
      </c>
      <c r="E85" s="368">
        <f>H1721</f>
        <v/>
      </c>
      <c r="F85" s="524">
        <f>D85/D84-1</f>
        <v/>
      </c>
      <c r="G85" s="524">
        <f>D85/D82-1</f>
        <v/>
      </c>
      <c r="H85" s="524">
        <f>D85/D79-1</f>
        <v/>
      </c>
      <c r="I85" s="524">
        <f>D85/D73-1</f>
        <v/>
      </c>
      <c r="J85" s="524">
        <f>STDEV.S(F74:F85)*SQRT(12)</f>
        <v/>
      </c>
      <c r="K85" s="368">
        <f>IF(AND(G85&gt;$P$6,H85&gt;$P$7,I85&gt;$P$8,D85&gt;E85,J85&lt;$P$10),1,0)</f>
        <v/>
      </c>
      <c r="L85" s="525">
        <f>IF(SUM(K85,T85,AC85)=0,0,K85/SUM(K85,T85,AC85))</f>
        <v/>
      </c>
      <c r="M85" s="368">
        <f>E1721</f>
        <v/>
      </c>
      <c r="N85" s="368">
        <f>I1721</f>
        <v/>
      </c>
      <c r="O85" s="524">
        <f>M85/M84-1</f>
        <v/>
      </c>
      <c r="P85" s="524">
        <f>M85/M82-1</f>
        <v/>
      </c>
      <c r="Q85" s="524">
        <f>M85/M79-1</f>
        <v/>
      </c>
      <c r="R85" s="524">
        <f>M85/M73-1</f>
        <v/>
      </c>
      <c r="S85" s="524">
        <f>STDEV.S(O74:O85)*SQRT(12)</f>
        <v/>
      </c>
      <c r="T85" s="368">
        <f>IF(AND(P85&gt;$P$6,Q85&gt;$P$7,R85&gt;$P$8,M85&gt;N85,S85&lt;$P$10),1,0)</f>
        <v/>
      </c>
      <c r="U85" s="525">
        <f>IF(SUM(K85,T85,AC85)=0,0,T85/SUM(K85,T85,AC85))</f>
        <v/>
      </c>
      <c r="V85" s="368">
        <f>F1721</f>
        <v/>
      </c>
      <c r="W85" s="368">
        <f>J1721</f>
        <v/>
      </c>
      <c r="X85" s="524">
        <f>V85/V84-1</f>
        <v/>
      </c>
      <c r="Y85" s="524">
        <f>V85/V82-1</f>
        <v/>
      </c>
      <c r="Z85" s="524">
        <f>V85/V79-1</f>
        <v/>
      </c>
      <c r="AA85" s="524">
        <f>V85/V73-1</f>
        <v/>
      </c>
      <c r="AB85" s="524">
        <f>STDEV.S(X74:X85)*SQRT(12)</f>
        <v/>
      </c>
      <c r="AC85" s="368">
        <f>IF(AND(Y85&gt;$P$6,Z85&gt;$P$7,AA85&gt;$P$8,V85&gt;W85,AB85&lt;$P$10),1,0)</f>
        <v/>
      </c>
      <c r="AD85" s="525">
        <f>IF(SUM(K85,T85,AC85)=0,0,AC85/SUM(K85,T85,AC85))</f>
        <v/>
      </c>
      <c r="AE85" s="525">
        <f>IF(SUM(K85,T85,AC85)=0,1,0)</f>
        <v/>
      </c>
      <c r="AF85" s="368">
        <f>G1721</f>
        <v/>
      </c>
      <c r="AG85" s="524">
        <f>AF85/AF84-1</f>
        <v/>
      </c>
      <c r="AH85" s="524">
        <f>0.5*(ABS(L84-L83)+ABS(U84-U83)+ABS(AD84-AD83)+ABS(AE84-AE83))</f>
        <v/>
      </c>
      <c r="AI85" s="524">
        <f>L84*F85+U84*O85+AD84*X85+AE84*AG85</f>
        <v/>
      </c>
      <c r="AJ85" s="524">
        <f>AH85*$P$11</f>
        <v/>
      </c>
      <c r="AK85" s="524">
        <f>AI85-AJ85</f>
        <v/>
      </c>
      <c r="AL85" s="368">
        <f>AL84*(1+AK85)</f>
        <v/>
      </c>
      <c r="AM85" s="368">
        <f>MAX($AL$40:AL85)</f>
        <v/>
      </c>
      <c r="AN85" s="524">
        <f>AL85/AM85-1</f>
        <v/>
      </c>
      <c r="AO85" s="526">
        <f>AK85-AG85</f>
        <v/>
      </c>
    </row>
    <row r="86">
      <c r="C86" s="503" t="n">
        <v>41973</v>
      </c>
      <c r="D86" s="368">
        <f>D1740</f>
        <v/>
      </c>
      <c r="E86" s="368">
        <f>H1740</f>
        <v/>
      </c>
      <c r="F86" s="524">
        <f>D86/D85-1</f>
        <v/>
      </c>
      <c r="G86" s="524">
        <f>D86/D83-1</f>
        <v/>
      </c>
      <c r="H86" s="524">
        <f>D86/D80-1</f>
        <v/>
      </c>
      <c r="I86" s="524">
        <f>D86/D74-1</f>
        <v/>
      </c>
      <c r="J86" s="524">
        <f>STDEV.S(F75:F86)*SQRT(12)</f>
        <v/>
      </c>
      <c r="K86" s="368">
        <f>IF(AND(G86&gt;$P$6,H86&gt;$P$7,I86&gt;$P$8,D86&gt;E86,J86&lt;$P$10),1,0)</f>
        <v/>
      </c>
      <c r="L86" s="525">
        <f>IF(SUM(K86,T86,AC86)=0,0,K86/SUM(K86,T86,AC86))</f>
        <v/>
      </c>
      <c r="M86" s="368">
        <f>E1740</f>
        <v/>
      </c>
      <c r="N86" s="368">
        <f>I1740</f>
        <v/>
      </c>
      <c r="O86" s="524">
        <f>M86/M85-1</f>
        <v/>
      </c>
      <c r="P86" s="524">
        <f>M86/M83-1</f>
        <v/>
      </c>
      <c r="Q86" s="524">
        <f>M86/M80-1</f>
        <v/>
      </c>
      <c r="R86" s="524">
        <f>M86/M74-1</f>
        <v/>
      </c>
      <c r="S86" s="524">
        <f>STDEV.S(O75:O86)*SQRT(12)</f>
        <v/>
      </c>
      <c r="T86" s="368">
        <f>IF(AND(P86&gt;$P$6,Q86&gt;$P$7,R86&gt;$P$8,M86&gt;N86,S86&lt;$P$10),1,0)</f>
        <v/>
      </c>
      <c r="U86" s="525">
        <f>IF(SUM(K86,T86,AC86)=0,0,T86/SUM(K86,T86,AC86))</f>
        <v/>
      </c>
      <c r="V86" s="368">
        <f>F1740</f>
        <v/>
      </c>
      <c r="W86" s="368">
        <f>J1740</f>
        <v/>
      </c>
      <c r="X86" s="524">
        <f>V86/V85-1</f>
        <v/>
      </c>
      <c r="Y86" s="524">
        <f>V86/V83-1</f>
        <v/>
      </c>
      <c r="Z86" s="524">
        <f>V86/V80-1</f>
        <v/>
      </c>
      <c r="AA86" s="524">
        <f>V86/V74-1</f>
        <v/>
      </c>
      <c r="AB86" s="524">
        <f>STDEV.S(X75:X86)*SQRT(12)</f>
        <v/>
      </c>
      <c r="AC86" s="368">
        <f>IF(AND(Y86&gt;$P$6,Z86&gt;$P$7,AA86&gt;$P$8,V86&gt;W86,AB86&lt;$P$10),1,0)</f>
        <v/>
      </c>
      <c r="AD86" s="525">
        <f>IF(SUM(K86,T86,AC86)=0,0,AC86/SUM(K86,T86,AC86))</f>
        <v/>
      </c>
      <c r="AE86" s="525">
        <f>IF(SUM(K86,T86,AC86)=0,1,0)</f>
        <v/>
      </c>
      <c r="AF86" s="368">
        <f>G1740</f>
        <v/>
      </c>
      <c r="AG86" s="524">
        <f>AF86/AF85-1</f>
        <v/>
      </c>
      <c r="AH86" s="524">
        <f>0.5*(ABS(L85-L84)+ABS(U85-U84)+ABS(AD85-AD84)+ABS(AE85-AE84))</f>
        <v/>
      </c>
      <c r="AI86" s="524">
        <f>L85*F86+U85*O86+AD85*X86+AE85*AG86</f>
        <v/>
      </c>
      <c r="AJ86" s="524">
        <f>AH86*$P$11</f>
        <v/>
      </c>
      <c r="AK86" s="524">
        <f>AI86-AJ86</f>
        <v/>
      </c>
      <c r="AL86" s="368">
        <f>AL85*(1+AK86)</f>
        <v/>
      </c>
      <c r="AM86" s="368">
        <f>MAX($AL$40:AL86)</f>
        <v/>
      </c>
      <c r="AN86" s="524">
        <f>AL86/AM86-1</f>
        <v/>
      </c>
      <c r="AO86" s="526">
        <f>AK86-AG86</f>
        <v/>
      </c>
    </row>
    <row r="87">
      <c r="C87" s="503" t="n">
        <v>42004</v>
      </c>
      <c r="D87" s="368">
        <f>D1762</f>
        <v/>
      </c>
      <c r="E87" s="368">
        <f>H1762</f>
        <v/>
      </c>
      <c r="F87" s="524">
        <f>D87/D86-1</f>
        <v/>
      </c>
      <c r="G87" s="524">
        <f>D87/D84-1</f>
        <v/>
      </c>
      <c r="H87" s="524">
        <f>D87/D81-1</f>
        <v/>
      </c>
      <c r="I87" s="524">
        <f>D87/D75-1</f>
        <v/>
      </c>
      <c r="J87" s="524">
        <f>STDEV.S(F76:F87)*SQRT(12)</f>
        <v/>
      </c>
      <c r="K87" s="368">
        <f>IF(AND(G87&gt;$P$6,H87&gt;$P$7,I87&gt;$P$8,D87&gt;E87,J87&lt;$P$10),1,0)</f>
        <v/>
      </c>
      <c r="L87" s="525">
        <f>IF(SUM(K87,T87,AC87)=0,0,K87/SUM(K87,T87,AC87))</f>
        <v/>
      </c>
      <c r="M87" s="368">
        <f>E1762</f>
        <v/>
      </c>
      <c r="N87" s="368">
        <f>I1762</f>
        <v/>
      </c>
      <c r="O87" s="524">
        <f>M87/M86-1</f>
        <v/>
      </c>
      <c r="P87" s="524">
        <f>M87/M84-1</f>
        <v/>
      </c>
      <c r="Q87" s="524">
        <f>M87/M81-1</f>
        <v/>
      </c>
      <c r="R87" s="524">
        <f>M87/M75-1</f>
        <v/>
      </c>
      <c r="S87" s="524">
        <f>STDEV.S(O76:O87)*SQRT(12)</f>
        <v/>
      </c>
      <c r="T87" s="368">
        <f>IF(AND(P87&gt;$P$6,Q87&gt;$P$7,R87&gt;$P$8,M87&gt;N87,S87&lt;$P$10),1,0)</f>
        <v/>
      </c>
      <c r="U87" s="525">
        <f>IF(SUM(K87,T87,AC87)=0,0,T87/SUM(K87,T87,AC87))</f>
        <v/>
      </c>
      <c r="V87" s="368">
        <f>F1762</f>
        <v/>
      </c>
      <c r="W87" s="368">
        <f>J1762</f>
        <v/>
      </c>
      <c r="X87" s="524">
        <f>V87/V86-1</f>
        <v/>
      </c>
      <c r="Y87" s="524">
        <f>V87/V84-1</f>
        <v/>
      </c>
      <c r="Z87" s="524">
        <f>V87/V81-1</f>
        <v/>
      </c>
      <c r="AA87" s="524">
        <f>V87/V75-1</f>
        <v/>
      </c>
      <c r="AB87" s="524">
        <f>STDEV.S(X76:X87)*SQRT(12)</f>
        <v/>
      </c>
      <c r="AC87" s="368">
        <f>IF(AND(Y87&gt;$P$6,Z87&gt;$P$7,AA87&gt;$P$8,V87&gt;W87,AB87&lt;$P$10),1,0)</f>
        <v/>
      </c>
      <c r="AD87" s="525">
        <f>IF(SUM(K87,T87,AC87)=0,0,AC87/SUM(K87,T87,AC87))</f>
        <v/>
      </c>
      <c r="AE87" s="525">
        <f>IF(SUM(K87,T87,AC87)=0,1,0)</f>
        <v/>
      </c>
      <c r="AF87" s="368">
        <f>G1762</f>
        <v/>
      </c>
      <c r="AG87" s="524">
        <f>AF87/AF86-1</f>
        <v/>
      </c>
      <c r="AH87" s="524">
        <f>0.5*(ABS(L86-L85)+ABS(U86-U85)+ABS(AD86-AD85)+ABS(AE86-AE85))</f>
        <v/>
      </c>
      <c r="AI87" s="524">
        <f>L86*F87+U86*O87+AD86*X87+AE86*AG87</f>
        <v/>
      </c>
      <c r="AJ87" s="524">
        <f>AH87*$P$11</f>
        <v/>
      </c>
      <c r="AK87" s="524">
        <f>AI87-AJ87</f>
        <v/>
      </c>
      <c r="AL87" s="368">
        <f>AL86*(1+AK87)</f>
        <v/>
      </c>
      <c r="AM87" s="368">
        <f>MAX($AL$40:AL87)</f>
        <v/>
      </c>
      <c r="AN87" s="524">
        <f>AL87/AM87-1</f>
        <v/>
      </c>
      <c r="AO87" s="526">
        <f>AK87-AG87</f>
        <v/>
      </c>
    </row>
    <row r="88">
      <c r="C88" s="503" t="n">
        <v>42035</v>
      </c>
      <c r="D88" s="368">
        <f>D1782</f>
        <v/>
      </c>
      <c r="E88" s="368">
        <f>H1782</f>
        <v/>
      </c>
      <c r="F88" s="524">
        <f>D88/D87-1</f>
        <v/>
      </c>
      <c r="G88" s="524">
        <f>D88/D85-1</f>
        <v/>
      </c>
      <c r="H88" s="524">
        <f>D88/D82-1</f>
        <v/>
      </c>
      <c r="I88" s="524">
        <f>D88/D76-1</f>
        <v/>
      </c>
      <c r="J88" s="524">
        <f>STDEV.S(F77:F88)*SQRT(12)</f>
        <v/>
      </c>
      <c r="K88" s="368">
        <f>IF(AND(G88&gt;$P$6,H88&gt;$P$7,I88&gt;$P$8,D88&gt;E88,J88&lt;$P$10),1,0)</f>
        <v/>
      </c>
      <c r="L88" s="525">
        <f>IF(SUM(K88,T88,AC88)=0,0,K88/SUM(K88,T88,AC88))</f>
        <v/>
      </c>
      <c r="M88" s="368">
        <f>E1782</f>
        <v/>
      </c>
      <c r="N88" s="368">
        <f>I1782</f>
        <v/>
      </c>
      <c r="O88" s="524">
        <f>M88/M87-1</f>
        <v/>
      </c>
      <c r="P88" s="524">
        <f>M88/M85-1</f>
        <v/>
      </c>
      <c r="Q88" s="524">
        <f>M88/M82-1</f>
        <v/>
      </c>
      <c r="R88" s="524">
        <f>M88/M76-1</f>
        <v/>
      </c>
      <c r="S88" s="524">
        <f>STDEV.S(O77:O88)*SQRT(12)</f>
        <v/>
      </c>
      <c r="T88" s="368">
        <f>IF(AND(P88&gt;$P$6,Q88&gt;$P$7,R88&gt;$P$8,M88&gt;N88,S88&lt;$P$10),1,0)</f>
        <v/>
      </c>
      <c r="U88" s="525">
        <f>IF(SUM(K88,T88,AC88)=0,0,T88/SUM(K88,T88,AC88))</f>
        <v/>
      </c>
      <c r="V88" s="368">
        <f>F1782</f>
        <v/>
      </c>
      <c r="W88" s="368">
        <f>J1782</f>
        <v/>
      </c>
      <c r="X88" s="524">
        <f>V88/V87-1</f>
        <v/>
      </c>
      <c r="Y88" s="524">
        <f>V88/V85-1</f>
        <v/>
      </c>
      <c r="Z88" s="524">
        <f>V88/V82-1</f>
        <v/>
      </c>
      <c r="AA88" s="524">
        <f>V88/V76-1</f>
        <v/>
      </c>
      <c r="AB88" s="524">
        <f>STDEV.S(X77:X88)*SQRT(12)</f>
        <v/>
      </c>
      <c r="AC88" s="368">
        <f>IF(AND(Y88&gt;$P$6,Z88&gt;$P$7,AA88&gt;$P$8,V88&gt;W88,AB88&lt;$P$10),1,0)</f>
        <v/>
      </c>
      <c r="AD88" s="525">
        <f>IF(SUM(K88,T88,AC88)=0,0,AC88/SUM(K88,T88,AC88))</f>
        <v/>
      </c>
      <c r="AE88" s="525">
        <f>IF(SUM(K88,T88,AC88)=0,1,0)</f>
        <v/>
      </c>
      <c r="AF88" s="368">
        <f>G1782</f>
        <v/>
      </c>
      <c r="AG88" s="524">
        <f>AF88/AF87-1</f>
        <v/>
      </c>
      <c r="AH88" s="524">
        <f>0.5*(ABS(L87-L86)+ABS(U87-U86)+ABS(AD87-AD86)+ABS(AE87-AE86))</f>
        <v/>
      </c>
      <c r="AI88" s="524">
        <f>L87*F88+U87*O88+AD87*X88+AE87*AG88</f>
        <v/>
      </c>
      <c r="AJ88" s="524">
        <f>AH88*$P$11</f>
        <v/>
      </c>
      <c r="AK88" s="524">
        <f>AI88-AJ88</f>
        <v/>
      </c>
      <c r="AL88" s="368">
        <f>AL87*(1+AK88)</f>
        <v/>
      </c>
      <c r="AM88" s="368">
        <f>MAX($AL$40:AL88)</f>
        <v/>
      </c>
      <c r="AN88" s="524">
        <f>AL88/AM88-1</f>
        <v/>
      </c>
      <c r="AO88" s="526">
        <f>AK88-AG88</f>
        <v/>
      </c>
    </row>
    <row r="89">
      <c r="C89" s="503" t="n">
        <v>42063</v>
      </c>
      <c r="D89" s="368">
        <f>D1801</f>
        <v/>
      </c>
      <c r="E89" s="368">
        <f>H1801</f>
        <v/>
      </c>
      <c r="F89" s="524">
        <f>D89/D88-1</f>
        <v/>
      </c>
      <c r="G89" s="524">
        <f>D89/D86-1</f>
        <v/>
      </c>
      <c r="H89" s="524">
        <f>D89/D83-1</f>
        <v/>
      </c>
      <c r="I89" s="524">
        <f>D89/D77-1</f>
        <v/>
      </c>
      <c r="J89" s="524">
        <f>STDEV.S(F78:F89)*SQRT(12)</f>
        <v/>
      </c>
      <c r="K89" s="368">
        <f>IF(AND(G89&gt;$P$6,H89&gt;$P$7,I89&gt;$P$8,D89&gt;E89,J89&lt;$P$10),1,0)</f>
        <v/>
      </c>
      <c r="L89" s="525">
        <f>IF(SUM(K89,T89,AC89)=0,0,K89/SUM(K89,T89,AC89))</f>
        <v/>
      </c>
      <c r="M89" s="368">
        <f>E1801</f>
        <v/>
      </c>
      <c r="N89" s="368">
        <f>I1801</f>
        <v/>
      </c>
      <c r="O89" s="524">
        <f>M89/M88-1</f>
        <v/>
      </c>
      <c r="P89" s="524">
        <f>M89/M86-1</f>
        <v/>
      </c>
      <c r="Q89" s="524">
        <f>M89/M83-1</f>
        <v/>
      </c>
      <c r="R89" s="524">
        <f>M89/M77-1</f>
        <v/>
      </c>
      <c r="S89" s="524">
        <f>STDEV.S(O78:O89)*SQRT(12)</f>
        <v/>
      </c>
      <c r="T89" s="368">
        <f>IF(AND(P89&gt;$P$6,Q89&gt;$P$7,R89&gt;$P$8,M89&gt;N89,S89&lt;$P$10),1,0)</f>
        <v/>
      </c>
      <c r="U89" s="525">
        <f>IF(SUM(K89,T89,AC89)=0,0,T89/SUM(K89,T89,AC89))</f>
        <v/>
      </c>
      <c r="V89" s="368">
        <f>F1801</f>
        <v/>
      </c>
      <c r="W89" s="368">
        <f>J1801</f>
        <v/>
      </c>
      <c r="X89" s="524">
        <f>V89/V88-1</f>
        <v/>
      </c>
      <c r="Y89" s="524">
        <f>V89/V86-1</f>
        <v/>
      </c>
      <c r="Z89" s="524">
        <f>V89/V83-1</f>
        <v/>
      </c>
      <c r="AA89" s="524">
        <f>V89/V77-1</f>
        <v/>
      </c>
      <c r="AB89" s="524">
        <f>STDEV.S(X78:X89)*SQRT(12)</f>
        <v/>
      </c>
      <c r="AC89" s="368">
        <f>IF(AND(Y89&gt;$P$6,Z89&gt;$P$7,AA89&gt;$P$8,V89&gt;W89,AB89&lt;$P$10),1,0)</f>
        <v/>
      </c>
      <c r="AD89" s="525">
        <f>IF(SUM(K89,T89,AC89)=0,0,AC89/SUM(K89,T89,AC89))</f>
        <v/>
      </c>
      <c r="AE89" s="525">
        <f>IF(SUM(K89,T89,AC89)=0,1,0)</f>
        <v/>
      </c>
      <c r="AF89" s="368">
        <f>G1801</f>
        <v/>
      </c>
      <c r="AG89" s="524">
        <f>AF89/AF88-1</f>
        <v/>
      </c>
      <c r="AH89" s="524">
        <f>0.5*(ABS(L88-L87)+ABS(U88-U87)+ABS(AD88-AD87)+ABS(AE88-AE87))</f>
        <v/>
      </c>
      <c r="AI89" s="524">
        <f>L88*F89+U88*O89+AD88*X89+AE88*AG89</f>
        <v/>
      </c>
      <c r="AJ89" s="524">
        <f>AH89*$P$11</f>
        <v/>
      </c>
      <c r="AK89" s="524">
        <f>AI89-AJ89</f>
        <v/>
      </c>
      <c r="AL89" s="368">
        <f>AL88*(1+AK89)</f>
        <v/>
      </c>
      <c r="AM89" s="368">
        <f>MAX($AL$40:AL89)</f>
        <v/>
      </c>
      <c r="AN89" s="524">
        <f>AL89/AM89-1</f>
        <v/>
      </c>
      <c r="AO89" s="526">
        <f>AK89-AG89</f>
        <v/>
      </c>
    </row>
    <row r="90">
      <c r="C90" s="503" t="n">
        <v>42094</v>
      </c>
      <c r="D90" s="368">
        <f>D1823</f>
        <v/>
      </c>
      <c r="E90" s="368">
        <f>H1823</f>
        <v/>
      </c>
      <c r="F90" s="524">
        <f>D90/D89-1</f>
        <v/>
      </c>
      <c r="G90" s="524">
        <f>D90/D87-1</f>
        <v/>
      </c>
      <c r="H90" s="524">
        <f>D90/D84-1</f>
        <v/>
      </c>
      <c r="I90" s="524">
        <f>D90/D78-1</f>
        <v/>
      </c>
      <c r="J90" s="524">
        <f>STDEV.S(F79:F90)*SQRT(12)</f>
        <v/>
      </c>
      <c r="K90" s="368">
        <f>IF(AND(G90&gt;$P$6,H90&gt;$P$7,I90&gt;$P$8,D90&gt;E90,J90&lt;$P$10),1,0)</f>
        <v/>
      </c>
      <c r="L90" s="525">
        <f>IF(SUM(K90,T90,AC90)=0,0,K90/SUM(K90,T90,AC90))</f>
        <v/>
      </c>
      <c r="M90" s="368">
        <f>E1823</f>
        <v/>
      </c>
      <c r="N90" s="368">
        <f>I1823</f>
        <v/>
      </c>
      <c r="O90" s="524">
        <f>M90/M89-1</f>
        <v/>
      </c>
      <c r="P90" s="524">
        <f>M90/M87-1</f>
        <v/>
      </c>
      <c r="Q90" s="524">
        <f>M90/M84-1</f>
        <v/>
      </c>
      <c r="R90" s="524">
        <f>M90/M78-1</f>
        <v/>
      </c>
      <c r="S90" s="524">
        <f>STDEV.S(O79:O90)*SQRT(12)</f>
        <v/>
      </c>
      <c r="T90" s="368">
        <f>IF(AND(P90&gt;$P$6,Q90&gt;$P$7,R90&gt;$P$8,M90&gt;N90,S90&lt;$P$10),1,0)</f>
        <v/>
      </c>
      <c r="U90" s="525">
        <f>IF(SUM(K90,T90,AC90)=0,0,T90/SUM(K90,T90,AC90))</f>
        <v/>
      </c>
      <c r="V90" s="368">
        <f>F1823</f>
        <v/>
      </c>
      <c r="W90" s="368">
        <f>J1823</f>
        <v/>
      </c>
      <c r="X90" s="524">
        <f>V90/V89-1</f>
        <v/>
      </c>
      <c r="Y90" s="524">
        <f>V90/V87-1</f>
        <v/>
      </c>
      <c r="Z90" s="524">
        <f>V90/V84-1</f>
        <v/>
      </c>
      <c r="AA90" s="524">
        <f>V90/V78-1</f>
        <v/>
      </c>
      <c r="AB90" s="524">
        <f>STDEV.S(X79:X90)*SQRT(12)</f>
        <v/>
      </c>
      <c r="AC90" s="368">
        <f>IF(AND(Y90&gt;$P$6,Z90&gt;$P$7,AA90&gt;$P$8,V90&gt;W90,AB90&lt;$P$10),1,0)</f>
        <v/>
      </c>
      <c r="AD90" s="525">
        <f>IF(SUM(K90,T90,AC90)=0,0,AC90/SUM(K90,T90,AC90))</f>
        <v/>
      </c>
      <c r="AE90" s="525">
        <f>IF(SUM(K90,T90,AC90)=0,1,0)</f>
        <v/>
      </c>
      <c r="AF90" s="368">
        <f>G1823</f>
        <v/>
      </c>
      <c r="AG90" s="524">
        <f>AF90/AF89-1</f>
        <v/>
      </c>
      <c r="AH90" s="524">
        <f>0.5*(ABS(L89-L88)+ABS(U89-U88)+ABS(AD89-AD88)+ABS(AE89-AE88))</f>
        <v/>
      </c>
      <c r="AI90" s="524">
        <f>L89*F90+U89*O90+AD89*X90+AE89*AG90</f>
        <v/>
      </c>
      <c r="AJ90" s="524">
        <f>AH90*$P$11</f>
        <v/>
      </c>
      <c r="AK90" s="524">
        <f>AI90-AJ90</f>
        <v/>
      </c>
      <c r="AL90" s="368">
        <f>AL89*(1+AK90)</f>
        <v/>
      </c>
      <c r="AM90" s="368">
        <f>MAX($AL$40:AL90)</f>
        <v/>
      </c>
      <c r="AN90" s="524">
        <f>AL90/AM90-1</f>
        <v/>
      </c>
      <c r="AO90" s="526">
        <f>AK90-AG90</f>
        <v/>
      </c>
    </row>
    <row r="91">
      <c r="C91" s="503" t="n">
        <v>42124</v>
      </c>
      <c r="D91" s="368">
        <f>D1844</f>
        <v/>
      </c>
      <c r="E91" s="368">
        <f>H1844</f>
        <v/>
      </c>
      <c r="F91" s="524">
        <f>D91/D90-1</f>
        <v/>
      </c>
      <c r="G91" s="524">
        <f>D91/D88-1</f>
        <v/>
      </c>
      <c r="H91" s="524">
        <f>D91/D85-1</f>
        <v/>
      </c>
      <c r="I91" s="524">
        <f>D91/D79-1</f>
        <v/>
      </c>
      <c r="J91" s="524">
        <f>STDEV.S(F80:F91)*SQRT(12)</f>
        <v/>
      </c>
      <c r="K91" s="368">
        <f>IF(AND(G91&gt;$P$6,H91&gt;$P$7,I91&gt;$P$8,D91&gt;E91,J91&lt;$P$10),1,0)</f>
        <v/>
      </c>
      <c r="L91" s="525">
        <f>IF(SUM(K91,T91,AC91)=0,0,K91/SUM(K91,T91,AC91))</f>
        <v/>
      </c>
      <c r="M91" s="368">
        <f>E1844</f>
        <v/>
      </c>
      <c r="N91" s="368">
        <f>I1844</f>
        <v/>
      </c>
      <c r="O91" s="524">
        <f>M91/M90-1</f>
        <v/>
      </c>
      <c r="P91" s="524">
        <f>M91/M88-1</f>
        <v/>
      </c>
      <c r="Q91" s="524">
        <f>M91/M85-1</f>
        <v/>
      </c>
      <c r="R91" s="524">
        <f>M91/M79-1</f>
        <v/>
      </c>
      <c r="S91" s="524">
        <f>STDEV.S(O80:O91)*SQRT(12)</f>
        <v/>
      </c>
      <c r="T91" s="368">
        <f>IF(AND(P91&gt;$P$6,Q91&gt;$P$7,R91&gt;$P$8,M91&gt;N91,S91&lt;$P$10),1,0)</f>
        <v/>
      </c>
      <c r="U91" s="525">
        <f>IF(SUM(K91,T91,AC91)=0,0,T91/SUM(K91,T91,AC91))</f>
        <v/>
      </c>
      <c r="V91" s="368">
        <f>F1844</f>
        <v/>
      </c>
      <c r="W91" s="368">
        <f>J1844</f>
        <v/>
      </c>
      <c r="X91" s="524">
        <f>V91/V90-1</f>
        <v/>
      </c>
      <c r="Y91" s="524">
        <f>V91/V88-1</f>
        <v/>
      </c>
      <c r="Z91" s="524">
        <f>V91/V85-1</f>
        <v/>
      </c>
      <c r="AA91" s="524">
        <f>V91/V79-1</f>
        <v/>
      </c>
      <c r="AB91" s="524">
        <f>STDEV.S(X80:X91)*SQRT(12)</f>
        <v/>
      </c>
      <c r="AC91" s="368">
        <f>IF(AND(Y91&gt;$P$6,Z91&gt;$P$7,AA91&gt;$P$8,V91&gt;W91,AB91&lt;$P$10),1,0)</f>
        <v/>
      </c>
      <c r="AD91" s="525">
        <f>IF(SUM(K91,T91,AC91)=0,0,AC91/SUM(K91,T91,AC91))</f>
        <v/>
      </c>
      <c r="AE91" s="525">
        <f>IF(SUM(K91,T91,AC91)=0,1,0)</f>
        <v/>
      </c>
      <c r="AF91" s="368">
        <f>G1844</f>
        <v/>
      </c>
      <c r="AG91" s="524">
        <f>AF91/AF90-1</f>
        <v/>
      </c>
      <c r="AH91" s="524">
        <f>0.5*(ABS(L90-L89)+ABS(U90-U89)+ABS(AD90-AD89)+ABS(AE90-AE89))</f>
        <v/>
      </c>
      <c r="AI91" s="524">
        <f>L90*F91+U90*O91+AD90*X91+AE90*AG91</f>
        <v/>
      </c>
      <c r="AJ91" s="524">
        <f>AH91*$P$11</f>
        <v/>
      </c>
      <c r="AK91" s="524">
        <f>AI91-AJ91</f>
        <v/>
      </c>
      <c r="AL91" s="368">
        <f>AL90*(1+AK91)</f>
        <v/>
      </c>
      <c r="AM91" s="368">
        <f>MAX($AL$40:AL91)</f>
        <v/>
      </c>
      <c r="AN91" s="524">
        <f>AL91/AM91-1</f>
        <v/>
      </c>
      <c r="AO91" s="526">
        <f>AK91-AG91</f>
        <v/>
      </c>
    </row>
    <row r="92">
      <c r="C92" s="503" t="n">
        <v>42155</v>
      </c>
      <c r="D92" s="368">
        <f>D1864</f>
        <v/>
      </c>
      <c r="E92" s="368">
        <f>H1864</f>
        <v/>
      </c>
      <c r="F92" s="524">
        <f>D92/D91-1</f>
        <v/>
      </c>
      <c r="G92" s="524">
        <f>D92/D89-1</f>
        <v/>
      </c>
      <c r="H92" s="524">
        <f>D92/D86-1</f>
        <v/>
      </c>
      <c r="I92" s="524">
        <f>D92/D80-1</f>
        <v/>
      </c>
      <c r="J92" s="524">
        <f>STDEV.S(F81:F92)*SQRT(12)</f>
        <v/>
      </c>
      <c r="K92" s="368">
        <f>IF(AND(G92&gt;$P$6,H92&gt;$P$7,I92&gt;$P$8,D92&gt;E92,J92&lt;$P$10),1,0)</f>
        <v/>
      </c>
      <c r="L92" s="525">
        <f>IF(SUM(K92,T92,AC92)=0,0,K92/SUM(K92,T92,AC92))</f>
        <v/>
      </c>
      <c r="M92" s="368">
        <f>E1864</f>
        <v/>
      </c>
      <c r="N92" s="368">
        <f>I1864</f>
        <v/>
      </c>
      <c r="O92" s="524">
        <f>M92/M91-1</f>
        <v/>
      </c>
      <c r="P92" s="524">
        <f>M92/M89-1</f>
        <v/>
      </c>
      <c r="Q92" s="524">
        <f>M92/M86-1</f>
        <v/>
      </c>
      <c r="R92" s="524">
        <f>M92/M80-1</f>
        <v/>
      </c>
      <c r="S92" s="524">
        <f>STDEV.S(O81:O92)*SQRT(12)</f>
        <v/>
      </c>
      <c r="T92" s="368">
        <f>IF(AND(P92&gt;$P$6,Q92&gt;$P$7,R92&gt;$P$8,M92&gt;N92,S92&lt;$P$10),1,0)</f>
        <v/>
      </c>
      <c r="U92" s="525">
        <f>IF(SUM(K92,T92,AC92)=0,0,T92/SUM(K92,T92,AC92))</f>
        <v/>
      </c>
      <c r="V92" s="368">
        <f>F1864</f>
        <v/>
      </c>
      <c r="W92" s="368">
        <f>J1864</f>
        <v/>
      </c>
      <c r="X92" s="524">
        <f>V92/V91-1</f>
        <v/>
      </c>
      <c r="Y92" s="524">
        <f>V92/V89-1</f>
        <v/>
      </c>
      <c r="Z92" s="524">
        <f>V92/V86-1</f>
        <v/>
      </c>
      <c r="AA92" s="524">
        <f>V92/V80-1</f>
        <v/>
      </c>
      <c r="AB92" s="524">
        <f>STDEV.S(X81:X92)*SQRT(12)</f>
        <v/>
      </c>
      <c r="AC92" s="368">
        <f>IF(AND(Y92&gt;$P$6,Z92&gt;$P$7,AA92&gt;$P$8,V92&gt;W92,AB92&lt;$P$10),1,0)</f>
        <v/>
      </c>
      <c r="AD92" s="525">
        <f>IF(SUM(K92,T92,AC92)=0,0,AC92/SUM(K92,T92,AC92))</f>
        <v/>
      </c>
      <c r="AE92" s="525">
        <f>IF(SUM(K92,T92,AC92)=0,1,0)</f>
        <v/>
      </c>
      <c r="AF92" s="368">
        <f>G1864</f>
        <v/>
      </c>
      <c r="AG92" s="524">
        <f>AF92/AF91-1</f>
        <v/>
      </c>
      <c r="AH92" s="524">
        <f>0.5*(ABS(L91-L90)+ABS(U91-U90)+ABS(AD91-AD90)+ABS(AE91-AE90))</f>
        <v/>
      </c>
      <c r="AI92" s="524">
        <f>L91*F92+U91*O92+AD91*X92+AE91*AG92</f>
        <v/>
      </c>
      <c r="AJ92" s="524">
        <f>AH92*$P$11</f>
        <v/>
      </c>
      <c r="AK92" s="524">
        <f>AI92-AJ92</f>
        <v/>
      </c>
      <c r="AL92" s="368">
        <f>AL91*(1+AK92)</f>
        <v/>
      </c>
      <c r="AM92" s="368">
        <f>MAX($AL$40:AL92)</f>
        <v/>
      </c>
      <c r="AN92" s="524">
        <f>AL92/AM92-1</f>
        <v/>
      </c>
      <c r="AO92" s="526">
        <f>AK92-AG92</f>
        <v/>
      </c>
    </row>
    <row r="93">
      <c r="C93" s="503" t="n">
        <v>42185</v>
      </c>
      <c r="D93" s="368">
        <f>D1886</f>
        <v/>
      </c>
      <c r="E93" s="368">
        <f>H1886</f>
        <v/>
      </c>
      <c r="F93" s="524">
        <f>D93/D92-1</f>
        <v/>
      </c>
      <c r="G93" s="524">
        <f>D93/D90-1</f>
        <v/>
      </c>
      <c r="H93" s="524">
        <f>D93/D87-1</f>
        <v/>
      </c>
      <c r="I93" s="524">
        <f>D93/D81-1</f>
        <v/>
      </c>
      <c r="J93" s="524">
        <f>STDEV.S(F82:F93)*SQRT(12)</f>
        <v/>
      </c>
      <c r="K93" s="368">
        <f>IF(AND(G93&gt;$P$6,H93&gt;$P$7,I93&gt;$P$8,D93&gt;E93,J93&lt;$P$10),1,0)</f>
        <v/>
      </c>
      <c r="L93" s="525">
        <f>IF(SUM(K93,T93,AC93)=0,0,K93/SUM(K93,T93,AC93))</f>
        <v/>
      </c>
      <c r="M93" s="368">
        <f>E1886</f>
        <v/>
      </c>
      <c r="N93" s="368">
        <f>I1886</f>
        <v/>
      </c>
      <c r="O93" s="524">
        <f>M93/M92-1</f>
        <v/>
      </c>
      <c r="P93" s="524">
        <f>M93/M90-1</f>
        <v/>
      </c>
      <c r="Q93" s="524">
        <f>M93/M87-1</f>
        <v/>
      </c>
      <c r="R93" s="524">
        <f>M93/M81-1</f>
        <v/>
      </c>
      <c r="S93" s="524">
        <f>STDEV.S(O82:O93)*SQRT(12)</f>
        <v/>
      </c>
      <c r="T93" s="368">
        <f>IF(AND(P93&gt;$P$6,Q93&gt;$P$7,R93&gt;$P$8,M93&gt;N93,S93&lt;$P$10),1,0)</f>
        <v/>
      </c>
      <c r="U93" s="525">
        <f>IF(SUM(K93,T93,AC93)=0,0,T93/SUM(K93,T93,AC93))</f>
        <v/>
      </c>
      <c r="V93" s="368">
        <f>F1886</f>
        <v/>
      </c>
      <c r="W93" s="368">
        <f>J1886</f>
        <v/>
      </c>
      <c r="X93" s="524">
        <f>V93/V92-1</f>
        <v/>
      </c>
      <c r="Y93" s="524">
        <f>V93/V90-1</f>
        <v/>
      </c>
      <c r="Z93" s="524">
        <f>V93/V87-1</f>
        <v/>
      </c>
      <c r="AA93" s="524">
        <f>V93/V81-1</f>
        <v/>
      </c>
      <c r="AB93" s="524">
        <f>STDEV.S(X82:X93)*SQRT(12)</f>
        <v/>
      </c>
      <c r="AC93" s="368">
        <f>IF(AND(Y93&gt;$P$6,Z93&gt;$P$7,AA93&gt;$P$8,V93&gt;W93,AB93&lt;$P$10),1,0)</f>
        <v/>
      </c>
      <c r="AD93" s="525">
        <f>IF(SUM(K93,T93,AC93)=0,0,AC93/SUM(K93,T93,AC93))</f>
        <v/>
      </c>
      <c r="AE93" s="525">
        <f>IF(SUM(K93,T93,AC93)=0,1,0)</f>
        <v/>
      </c>
      <c r="AF93" s="368">
        <f>G1886</f>
        <v/>
      </c>
      <c r="AG93" s="524">
        <f>AF93/AF92-1</f>
        <v/>
      </c>
      <c r="AH93" s="524">
        <f>0.5*(ABS(L92-L91)+ABS(U92-U91)+ABS(AD92-AD91)+ABS(AE92-AE91))</f>
        <v/>
      </c>
      <c r="AI93" s="524">
        <f>L92*F93+U92*O93+AD92*X93+AE92*AG93</f>
        <v/>
      </c>
      <c r="AJ93" s="524">
        <f>AH93*$P$11</f>
        <v/>
      </c>
      <c r="AK93" s="524">
        <f>AI93-AJ93</f>
        <v/>
      </c>
      <c r="AL93" s="368">
        <f>AL92*(1+AK93)</f>
        <v/>
      </c>
      <c r="AM93" s="368">
        <f>MAX($AL$40:AL93)</f>
        <v/>
      </c>
      <c r="AN93" s="524">
        <f>AL93/AM93-1</f>
        <v/>
      </c>
      <c r="AO93" s="526">
        <f>AK93-AG93</f>
        <v/>
      </c>
    </row>
    <row r="94">
      <c r="C94" s="503" t="n">
        <v>42216</v>
      </c>
      <c r="D94" s="368">
        <f>D1908</f>
        <v/>
      </c>
      <c r="E94" s="368">
        <f>H1908</f>
        <v/>
      </c>
      <c r="F94" s="524">
        <f>D94/D93-1</f>
        <v/>
      </c>
      <c r="G94" s="524">
        <f>D94/D91-1</f>
        <v/>
      </c>
      <c r="H94" s="524">
        <f>D94/D88-1</f>
        <v/>
      </c>
      <c r="I94" s="524">
        <f>D94/D82-1</f>
        <v/>
      </c>
      <c r="J94" s="524">
        <f>STDEV.S(F83:F94)*SQRT(12)</f>
        <v/>
      </c>
      <c r="K94" s="368">
        <f>IF(AND(G94&gt;$P$6,H94&gt;$P$7,I94&gt;$P$8,D94&gt;E94,J94&lt;$P$10),1,0)</f>
        <v/>
      </c>
      <c r="L94" s="525">
        <f>IF(SUM(K94,T94,AC94)=0,0,K94/SUM(K94,T94,AC94))</f>
        <v/>
      </c>
      <c r="M94" s="368">
        <f>E1908</f>
        <v/>
      </c>
      <c r="N94" s="368">
        <f>I1908</f>
        <v/>
      </c>
      <c r="O94" s="524">
        <f>M94/M93-1</f>
        <v/>
      </c>
      <c r="P94" s="524">
        <f>M94/M91-1</f>
        <v/>
      </c>
      <c r="Q94" s="524">
        <f>M94/M88-1</f>
        <v/>
      </c>
      <c r="R94" s="524">
        <f>M94/M82-1</f>
        <v/>
      </c>
      <c r="S94" s="524">
        <f>STDEV.S(O83:O94)*SQRT(12)</f>
        <v/>
      </c>
      <c r="T94" s="368">
        <f>IF(AND(P94&gt;$P$6,Q94&gt;$P$7,R94&gt;$P$8,M94&gt;N94,S94&lt;$P$10),1,0)</f>
        <v/>
      </c>
      <c r="U94" s="525">
        <f>IF(SUM(K94,T94,AC94)=0,0,T94/SUM(K94,T94,AC94))</f>
        <v/>
      </c>
      <c r="V94" s="368">
        <f>F1908</f>
        <v/>
      </c>
      <c r="W94" s="368">
        <f>J1908</f>
        <v/>
      </c>
      <c r="X94" s="524">
        <f>V94/V93-1</f>
        <v/>
      </c>
      <c r="Y94" s="524">
        <f>V94/V91-1</f>
        <v/>
      </c>
      <c r="Z94" s="524">
        <f>V94/V88-1</f>
        <v/>
      </c>
      <c r="AA94" s="524">
        <f>V94/V82-1</f>
        <v/>
      </c>
      <c r="AB94" s="524">
        <f>STDEV.S(X83:X94)*SQRT(12)</f>
        <v/>
      </c>
      <c r="AC94" s="368">
        <f>IF(AND(Y94&gt;$P$6,Z94&gt;$P$7,AA94&gt;$P$8,V94&gt;W94,AB94&lt;$P$10),1,0)</f>
        <v/>
      </c>
      <c r="AD94" s="525">
        <f>IF(SUM(K94,T94,AC94)=0,0,AC94/SUM(K94,T94,AC94))</f>
        <v/>
      </c>
      <c r="AE94" s="525">
        <f>IF(SUM(K94,T94,AC94)=0,1,0)</f>
        <v/>
      </c>
      <c r="AF94" s="368">
        <f>G1908</f>
        <v/>
      </c>
      <c r="AG94" s="524">
        <f>AF94/AF93-1</f>
        <v/>
      </c>
      <c r="AH94" s="524">
        <f>0.5*(ABS(L93-L92)+ABS(U93-U92)+ABS(AD93-AD92)+ABS(AE93-AE92))</f>
        <v/>
      </c>
      <c r="AI94" s="524">
        <f>L93*F94+U93*O94+AD93*X94+AE93*AG94</f>
        <v/>
      </c>
      <c r="AJ94" s="524">
        <f>AH94*$P$11</f>
        <v/>
      </c>
      <c r="AK94" s="524">
        <f>AI94-AJ94</f>
        <v/>
      </c>
      <c r="AL94" s="368">
        <f>AL93*(1+AK94)</f>
        <v/>
      </c>
      <c r="AM94" s="368">
        <f>MAX($AL$40:AL94)</f>
        <v/>
      </c>
      <c r="AN94" s="524">
        <f>AL94/AM94-1</f>
        <v/>
      </c>
      <c r="AO94" s="526">
        <f>AK94-AG94</f>
        <v/>
      </c>
    </row>
    <row r="95">
      <c r="C95" s="503" t="n">
        <v>42247</v>
      </c>
      <c r="D95" s="368">
        <f>D1929</f>
        <v/>
      </c>
      <c r="E95" s="368">
        <f>H1929</f>
        <v/>
      </c>
      <c r="F95" s="524">
        <f>D95/D94-1</f>
        <v/>
      </c>
      <c r="G95" s="524">
        <f>D95/D92-1</f>
        <v/>
      </c>
      <c r="H95" s="524">
        <f>D95/D89-1</f>
        <v/>
      </c>
      <c r="I95" s="524">
        <f>D95/D83-1</f>
        <v/>
      </c>
      <c r="J95" s="524">
        <f>STDEV.S(F84:F95)*SQRT(12)</f>
        <v/>
      </c>
      <c r="K95" s="368">
        <f>IF(AND(G95&gt;$P$6,H95&gt;$P$7,I95&gt;$P$8,D95&gt;E95,J95&lt;$P$10),1,0)</f>
        <v/>
      </c>
      <c r="L95" s="525">
        <f>IF(SUM(K95,T95,AC95)=0,0,K95/SUM(K95,T95,AC95))</f>
        <v/>
      </c>
      <c r="M95" s="368">
        <f>E1929</f>
        <v/>
      </c>
      <c r="N95" s="368">
        <f>I1929</f>
        <v/>
      </c>
      <c r="O95" s="524">
        <f>M95/M94-1</f>
        <v/>
      </c>
      <c r="P95" s="524">
        <f>M95/M92-1</f>
        <v/>
      </c>
      <c r="Q95" s="524">
        <f>M95/M89-1</f>
        <v/>
      </c>
      <c r="R95" s="524">
        <f>M95/M83-1</f>
        <v/>
      </c>
      <c r="S95" s="524">
        <f>STDEV.S(O84:O95)*SQRT(12)</f>
        <v/>
      </c>
      <c r="T95" s="368">
        <f>IF(AND(P95&gt;$P$6,Q95&gt;$P$7,R95&gt;$P$8,M95&gt;N95,S95&lt;$P$10),1,0)</f>
        <v/>
      </c>
      <c r="U95" s="525">
        <f>IF(SUM(K95,T95,AC95)=0,0,T95/SUM(K95,T95,AC95))</f>
        <v/>
      </c>
      <c r="V95" s="368">
        <f>F1929</f>
        <v/>
      </c>
      <c r="W95" s="368">
        <f>J1929</f>
        <v/>
      </c>
      <c r="X95" s="524">
        <f>V95/V94-1</f>
        <v/>
      </c>
      <c r="Y95" s="524">
        <f>V95/V92-1</f>
        <v/>
      </c>
      <c r="Z95" s="524">
        <f>V95/V89-1</f>
        <v/>
      </c>
      <c r="AA95" s="524">
        <f>V95/V83-1</f>
        <v/>
      </c>
      <c r="AB95" s="524">
        <f>STDEV.S(X84:X95)*SQRT(12)</f>
        <v/>
      </c>
      <c r="AC95" s="368">
        <f>IF(AND(Y95&gt;$P$6,Z95&gt;$P$7,AA95&gt;$P$8,V95&gt;W95,AB95&lt;$P$10),1,0)</f>
        <v/>
      </c>
      <c r="AD95" s="525">
        <f>IF(SUM(K95,T95,AC95)=0,0,AC95/SUM(K95,T95,AC95))</f>
        <v/>
      </c>
      <c r="AE95" s="525">
        <f>IF(SUM(K95,T95,AC95)=0,1,0)</f>
        <v/>
      </c>
      <c r="AF95" s="368">
        <f>G1929</f>
        <v/>
      </c>
      <c r="AG95" s="524">
        <f>AF95/AF94-1</f>
        <v/>
      </c>
      <c r="AH95" s="524">
        <f>0.5*(ABS(L94-L93)+ABS(U94-U93)+ABS(AD94-AD93)+ABS(AE94-AE93))</f>
        <v/>
      </c>
      <c r="AI95" s="524">
        <f>L94*F95+U94*O95+AD94*X95+AE94*AG95</f>
        <v/>
      </c>
      <c r="AJ95" s="524">
        <f>AH95*$P$11</f>
        <v/>
      </c>
      <c r="AK95" s="524">
        <f>AI95-AJ95</f>
        <v/>
      </c>
      <c r="AL95" s="368">
        <f>AL94*(1+AK95)</f>
        <v/>
      </c>
      <c r="AM95" s="368">
        <f>MAX($AL$40:AL95)</f>
        <v/>
      </c>
      <c r="AN95" s="524">
        <f>AL95/AM95-1</f>
        <v/>
      </c>
      <c r="AO95" s="526">
        <f>AK95-AG95</f>
        <v/>
      </c>
    </row>
    <row r="96">
      <c r="C96" s="503" t="n">
        <v>42277</v>
      </c>
      <c r="D96" s="368">
        <f>D1950</f>
        <v/>
      </c>
      <c r="E96" s="368">
        <f>H1950</f>
        <v/>
      </c>
      <c r="F96" s="524">
        <f>D96/D95-1</f>
        <v/>
      </c>
      <c r="G96" s="524">
        <f>D96/D93-1</f>
        <v/>
      </c>
      <c r="H96" s="524">
        <f>D96/D90-1</f>
        <v/>
      </c>
      <c r="I96" s="524">
        <f>D96/D84-1</f>
        <v/>
      </c>
      <c r="J96" s="524">
        <f>STDEV.S(F85:F96)*SQRT(12)</f>
        <v/>
      </c>
      <c r="K96" s="368">
        <f>IF(AND(G96&gt;$P$6,H96&gt;$P$7,I96&gt;$P$8,D96&gt;E96,J96&lt;$P$10),1,0)</f>
        <v/>
      </c>
      <c r="L96" s="525">
        <f>IF(SUM(K96,T96,AC96)=0,0,K96/SUM(K96,T96,AC96))</f>
        <v/>
      </c>
      <c r="M96" s="368">
        <f>E1950</f>
        <v/>
      </c>
      <c r="N96" s="368">
        <f>I1950</f>
        <v/>
      </c>
      <c r="O96" s="524">
        <f>M96/M95-1</f>
        <v/>
      </c>
      <c r="P96" s="524">
        <f>M96/M93-1</f>
        <v/>
      </c>
      <c r="Q96" s="524">
        <f>M96/M90-1</f>
        <v/>
      </c>
      <c r="R96" s="524">
        <f>M96/M84-1</f>
        <v/>
      </c>
      <c r="S96" s="524">
        <f>STDEV.S(O85:O96)*SQRT(12)</f>
        <v/>
      </c>
      <c r="T96" s="368">
        <f>IF(AND(P96&gt;$P$6,Q96&gt;$P$7,R96&gt;$P$8,M96&gt;N96,S96&lt;$P$10),1,0)</f>
        <v/>
      </c>
      <c r="U96" s="525">
        <f>IF(SUM(K96,T96,AC96)=0,0,T96/SUM(K96,T96,AC96))</f>
        <v/>
      </c>
      <c r="V96" s="368">
        <f>F1950</f>
        <v/>
      </c>
      <c r="W96" s="368">
        <f>J1950</f>
        <v/>
      </c>
      <c r="X96" s="524">
        <f>V96/V95-1</f>
        <v/>
      </c>
      <c r="Y96" s="524">
        <f>V96/V93-1</f>
        <v/>
      </c>
      <c r="Z96" s="524">
        <f>V96/V90-1</f>
        <v/>
      </c>
      <c r="AA96" s="524">
        <f>V96/V84-1</f>
        <v/>
      </c>
      <c r="AB96" s="524">
        <f>STDEV.S(X85:X96)*SQRT(12)</f>
        <v/>
      </c>
      <c r="AC96" s="368">
        <f>IF(AND(Y96&gt;$P$6,Z96&gt;$P$7,AA96&gt;$P$8,V96&gt;W96,AB96&lt;$P$10),1,0)</f>
        <v/>
      </c>
      <c r="AD96" s="525">
        <f>IF(SUM(K96,T96,AC96)=0,0,AC96/SUM(K96,T96,AC96))</f>
        <v/>
      </c>
      <c r="AE96" s="525">
        <f>IF(SUM(K96,T96,AC96)=0,1,0)</f>
        <v/>
      </c>
      <c r="AF96" s="368">
        <f>G1950</f>
        <v/>
      </c>
      <c r="AG96" s="524">
        <f>AF96/AF95-1</f>
        <v/>
      </c>
      <c r="AH96" s="524">
        <f>0.5*(ABS(L95-L94)+ABS(U95-U94)+ABS(AD95-AD94)+ABS(AE95-AE94))</f>
        <v/>
      </c>
      <c r="AI96" s="524">
        <f>L95*F96+U95*O96+AD95*X96+AE95*AG96</f>
        <v/>
      </c>
      <c r="AJ96" s="524">
        <f>AH96*$P$11</f>
        <v/>
      </c>
      <c r="AK96" s="524">
        <f>AI96-AJ96</f>
        <v/>
      </c>
      <c r="AL96" s="368">
        <f>AL95*(1+AK96)</f>
        <v/>
      </c>
      <c r="AM96" s="368">
        <f>MAX($AL$40:AL96)</f>
        <v/>
      </c>
      <c r="AN96" s="524">
        <f>AL96/AM96-1</f>
        <v/>
      </c>
      <c r="AO96" s="526">
        <f>AK96-AG96</f>
        <v/>
      </c>
    </row>
    <row r="97">
      <c r="C97" s="503" t="n">
        <v>42308</v>
      </c>
      <c r="D97" s="368">
        <f>D1972</f>
        <v/>
      </c>
      <c r="E97" s="368">
        <f>H1972</f>
        <v/>
      </c>
      <c r="F97" s="524">
        <f>D97/D96-1</f>
        <v/>
      </c>
      <c r="G97" s="524">
        <f>D97/D94-1</f>
        <v/>
      </c>
      <c r="H97" s="524">
        <f>D97/D91-1</f>
        <v/>
      </c>
      <c r="I97" s="524">
        <f>D97/D85-1</f>
        <v/>
      </c>
      <c r="J97" s="524">
        <f>STDEV.S(F86:F97)*SQRT(12)</f>
        <v/>
      </c>
      <c r="K97" s="368">
        <f>IF(AND(G97&gt;$P$6,H97&gt;$P$7,I97&gt;$P$8,D97&gt;E97,J97&lt;$P$10),1,0)</f>
        <v/>
      </c>
      <c r="L97" s="525">
        <f>IF(SUM(K97,T97,AC97)=0,0,K97/SUM(K97,T97,AC97))</f>
        <v/>
      </c>
      <c r="M97" s="368">
        <f>E1972</f>
        <v/>
      </c>
      <c r="N97" s="368">
        <f>I1972</f>
        <v/>
      </c>
      <c r="O97" s="524">
        <f>M97/M96-1</f>
        <v/>
      </c>
      <c r="P97" s="524">
        <f>M97/M94-1</f>
        <v/>
      </c>
      <c r="Q97" s="524">
        <f>M97/M91-1</f>
        <v/>
      </c>
      <c r="R97" s="524">
        <f>M97/M85-1</f>
        <v/>
      </c>
      <c r="S97" s="524">
        <f>STDEV.S(O86:O97)*SQRT(12)</f>
        <v/>
      </c>
      <c r="T97" s="368">
        <f>IF(AND(P97&gt;$P$6,Q97&gt;$P$7,R97&gt;$P$8,M97&gt;N97,S97&lt;$P$10),1,0)</f>
        <v/>
      </c>
      <c r="U97" s="525">
        <f>IF(SUM(K97,T97,AC97)=0,0,T97/SUM(K97,T97,AC97))</f>
        <v/>
      </c>
      <c r="V97" s="368">
        <f>F1972</f>
        <v/>
      </c>
      <c r="W97" s="368">
        <f>J1972</f>
        <v/>
      </c>
      <c r="X97" s="524">
        <f>V97/V96-1</f>
        <v/>
      </c>
      <c r="Y97" s="524">
        <f>V97/V94-1</f>
        <v/>
      </c>
      <c r="Z97" s="524">
        <f>V97/V91-1</f>
        <v/>
      </c>
      <c r="AA97" s="524">
        <f>V97/V85-1</f>
        <v/>
      </c>
      <c r="AB97" s="524">
        <f>STDEV.S(X86:X97)*SQRT(12)</f>
        <v/>
      </c>
      <c r="AC97" s="368">
        <f>IF(AND(Y97&gt;$P$6,Z97&gt;$P$7,AA97&gt;$P$8,V97&gt;W97,AB97&lt;$P$10),1,0)</f>
        <v/>
      </c>
      <c r="AD97" s="525">
        <f>IF(SUM(K97,T97,AC97)=0,0,AC97/SUM(K97,T97,AC97))</f>
        <v/>
      </c>
      <c r="AE97" s="525">
        <f>IF(SUM(K97,T97,AC97)=0,1,0)</f>
        <v/>
      </c>
      <c r="AF97" s="368">
        <f>G1972</f>
        <v/>
      </c>
      <c r="AG97" s="524">
        <f>AF97/AF96-1</f>
        <v/>
      </c>
      <c r="AH97" s="524">
        <f>0.5*(ABS(L96-L95)+ABS(U96-U95)+ABS(AD96-AD95)+ABS(AE96-AE95))</f>
        <v/>
      </c>
      <c r="AI97" s="524">
        <f>L96*F97+U96*O97+AD96*X97+AE96*AG97</f>
        <v/>
      </c>
      <c r="AJ97" s="524">
        <f>AH97*$P$11</f>
        <v/>
      </c>
      <c r="AK97" s="524">
        <f>AI97-AJ97</f>
        <v/>
      </c>
      <c r="AL97" s="368">
        <f>AL96*(1+AK97)</f>
        <v/>
      </c>
      <c r="AM97" s="368">
        <f>MAX($AL$40:AL97)</f>
        <v/>
      </c>
      <c r="AN97" s="524">
        <f>AL97/AM97-1</f>
        <v/>
      </c>
      <c r="AO97" s="526">
        <f>AK97-AG97</f>
        <v/>
      </c>
    </row>
    <row r="98">
      <c r="C98" s="503" t="n">
        <v>42338</v>
      </c>
      <c r="D98" s="368">
        <f>D1992</f>
        <v/>
      </c>
      <c r="E98" s="368">
        <f>H1992</f>
        <v/>
      </c>
      <c r="F98" s="524">
        <f>D98/D97-1</f>
        <v/>
      </c>
      <c r="G98" s="524">
        <f>D98/D95-1</f>
        <v/>
      </c>
      <c r="H98" s="524">
        <f>D98/D92-1</f>
        <v/>
      </c>
      <c r="I98" s="524">
        <f>D98/D86-1</f>
        <v/>
      </c>
      <c r="J98" s="524">
        <f>STDEV.S(F87:F98)*SQRT(12)</f>
        <v/>
      </c>
      <c r="K98" s="368">
        <f>IF(AND(G98&gt;$P$6,H98&gt;$P$7,I98&gt;$P$8,D98&gt;E98,J98&lt;$P$10),1,0)</f>
        <v/>
      </c>
      <c r="L98" s="525">
        <f>IF(SUM(K98,T98,AC98)=0,0,K98/SUM(K98,T98,AC98))</f>
        <v/>
      </c>
      <c r="M98" s="368">
        <f>E1992</f>
        <v/>
      </c>
      <c r="N98" s="368">
        <f>I1992</f>
        <v/>
      </c>
      <c r="O98" s="524">
        <f>M98/M97-1</f>
        <v/>
      </c>
      <c r="P98" s="524">
        <f>M98/M95-1</f>
        <v/>
      </c>
      <c r="Q98" s="524">
        <f>M98/M92-1</f>
        <v/>
      </c>
      <c r="R98" s="524">
        <f>M98/M86-1</f>
        <v/>
      </c>
      <c r="S98" s="524">
        <f>STDEV.S(O87:O98)*SQRT(12)</f>
        <v/>
      </c>
      <c r="T98" s="368">
        <f>IF(AND(P98&gt;$P$6,Q98&gt;$P$7,R98&gt;$P$8,M98&gt;N98,S98&lt;$P$10),1,0)</f>
        <v/>
      </c>
      <c r="U98" s="525">
        <f>IF(SUM(K98,T98,AC98)=0,0,T98/SUM(K98,T98,AC98))</f>
        <v/>
      </c>
      <c r="V98" s="368">
        <f>F1992</f>
        <v/>
      </c>
      <c r="W98" s="368">
        <f>J1992</f>
        <v/>
      </c>
      <c r="X98" s="524">
        <f>V98/V97-1</f>
        <v/>
      </c>
      <c r="Y98" s="524">
        <f>V98/V95-1</f>
        <v/>
      </c>
      <c r="Z98" s="524">
        <f>V98/V92-1</f>
        <v/>
      </c>
      <c r="AA98" s="524">
        <f>V98/V86-1</f>
        <v/>
      </c>
      <c r="AB98" s="524">
        <f>STDEV.S(X87:X98)*SQRT(12)</f>
        <v/>
      </c>
      <c r="AC98" s="368">
        <f>IF(AND(Y98&gt;$P$6,Z98&gt;$P$7,AA98&gt;$P$8,V98&gt;W98,AB98&lt;$P$10),1,0)</f>
        <v/>
      </c>
      <c r="AD98" s="525">
        <f>IF(SUM(K98,T98,AC98)=0,0,AC98/SUM(K98,T98,AC98))</f>
        <v/>
      </c>
      <c r="AE98" s="525">
        <f>IF(SUM(K98,T98,AC98)=0,1,0)</f>
        <v/>
      </c>
      <c r="AF98" s="368">
        <f>G1992</f>
        <v/>
      </c>
      <c r="AG98" s="524">
        <f>AF98/AF97-1</f>
        <v/>
      </c>
      <c r="AH98" s="524">
        <f>0.5*(ABS(L97-L96)+ABS(U97-U96)+ABS(AD97-AD96)+ABS(AE97-AE96))</f>
        <v/>
      </c>
      <c r="AI98" s="524">
        <f>L97*F98+U97*O98+AD97*X98+AE97*AG98</f>
        <v/>
      </c>
      <c r="AJ98" s="524">
        <f>AH98*$P$11</f>
        <v/>
      </c>
      <c r="AK98" s="524">
        <f>AI98-AJ98</f>
        <v/>
      </c>
      <c r="AL98" s="368">
        <f>AL97*(1+AK98)</f>
        <v/>
      </c>
      <c r="AM98" s="368">
        <f>MAX($AL$40:AL98)</f>
        <v/>
      </c>
      <c r="AN98" s="524">
        <f>AL98/AM98-1</f>
        <v/>
      </c>
      <c r="AO98" s="526">
        <f>AK98-AG98</f>
        <v/>
      </c>
    </row>
    <row r="99">
      <c r="C99" s="503" t="n">
        <v>42369</v>
      </c>
      <c r="D99" s="368">
        <f>D2014</f>
        <v/>
      </c>
      <c r="E99" s="368">
        <f>H2014</f>
        <v/>
      </c>
      <c r="F99" s="524">
        <f>D99/D98-1</f>
        <v/>
      </c>
      <c r="G99" s="524">
        <f>D99/D96-1</f>
        <v/>
      </c>
      <c r="H99" s="524">
        <f>D99/D93-1</f>
        <v/>
      </c>
      <c r="I99" s="524">
        <f>D99/D87-1</f>
        <v/>
      </c>
      <c r="J99" s="524">
        <f>STDEV.S(F88:F99)*SQRT(12)</f>
        <v/>
      </c>
      <c r="K99" s="368">
        <f>IF(AND(G99&gt;$P$6,H99&gt;$P$7,I99&gt;$P$8,D99&gt;E99,J99&lt;$P$10),1,0)</f>
        <v/>
      </c>
      <c r="L99" s="525">
        <f>IF(SUM(K99,T99,AC99)=0,0,K99/SUM(K99,T99,AC99))</f>
        <v/>
      </c>
      <c r="M99" s="368">
        <f>E2014</f>
        <v/>
      </c>
      <c r="N99" s="368">
        <f>I2014</f>
        <v/>
      </c>
      <c r="O99" s="524">
        <f>M99/M98-1</f>
        <v/>
      </c>
      <c r="P99" s="524">
        <f>M99/M96-1</f>
        <v/>
      </c>
      <c r="Q99" s="524">
        <f>M99/M93-1</f>
        <v/>
      </c>
      <c r="R99" s="524">
        <f>M99/M87-1</f>
        <v/>
      </c>
      <c r="S99" s="524">
        <f>STDEV.S(O88:O99)*SQRT(12)</f>
        <v/>
      </c>
      <c r="T99" s="368">
        <f>IF(AND(P99&gt;$P$6,Q99&gt;$P$7,R99&gt;$P$8,M99&gt;N99,S99&lt;$P$10),1,0)</f>
        <v/>
      </c>
      <c r="U99" s="525">
        <f>IF(SUM(K99,T99,AC99)=0,0,T99/SUM(K99,T99,AC99))</f>
        <v/>
      </c>
      <c r="V99" s="368">
        <f>F2014</f>
        <v/>
      </c>
      <c r="W99" s="368">
        <f>J2014</f>
        <v/>
      </c>
      <c r="X99" s="524">
        <f>V99/V98-1</f>
        <v/>
      </c>
      <c r="Y99" s="524">
        <f>V99/V96-1</f>
        <v/>
      </c>
      <c r="Z99" s="524">
        <f>V99/V93-1</f>
        <v/>
      </c>
      <c r="AA99" s="524">
        <f>V99/V87-1</f>
        <v/>
      </c>
      <c r="AB99" s="524">
        <f>STDEV.S(X88:X99)*SQRT(12)</f>
        <v/>
      </c>
      <c r="AC99" s="368">
        <f>IF(AND(Y99&gt;$P$6,Z99&gt;$P$7,AA99&gt;$P$8,V99&gt;W99,AB99&lt;$P$10),1,0)</f>
        <v/>
      </c>
      <c r="AD99" s="525">
        <f>IF(SUM(K99,T99,AC99)=0,0,AC99/SUM(K99,T99,AC99))</f>
        <v/>
      </c>
      <c r="AE99" s="525">
        <f>IF(SUM(K99,T99,AC99)=0,1,0)</f>
        <v/>
      </c>
      <c r="AF99" s="368">
        <f>G2014</f>
        <v/>
      </c>
      <c r="AG99" s="524">
        <f>AF99/AF98-1</f>
        <v/>
      </c>
      <c r="AH99" s="524">
        <f>0.5*(ABS(L98-L97)+ABS(U98-U97)+ABS(AD98-AD97)+ABS(AE98-AE97))</f>
        <v/>
      </c>
      <c r="AI99" s="524">
        <f>L98*F99+U98*O99+AD98*X99+AE98*AG99</f>
        <v/>
      </c>
      <c r="AJ99" s="524">
        <f>AH99*$P$11</f>
        <v/>
      </c>
      <c r="AK99" s="524">
        <f>AI99-AJ99</f>
        <v/>
      </c>
      <c r="AL99" s="368">
        <f>AL98*(1+AK99)</f>
        <v/>
      </c>
      <c r="AM99" s="368">
        <f>MAX($AL$40:AL99)</f>
        <v/>
      </c>
      <c r="AN99" s="524">
        <f>AL99/AM99-1</f>
        <v/>
      </c>
      <c r="AO99" s="526">
        <f>AK99-AG99</f>
        <v/>
      </c>
    </row>
    <row r="100">
      <c r="C100" s="503" t="n">
        <v>42400</v>
      </c>
      <c r="D100" s="368">
        <f>D2033</f>
        <v/>
      </c>
      <c r="E100" s="368">
        <f>H2033</f>
        <v/>
      </c>
      <c r="F100" s="524">
        <f>D100/D99-1</f>
        <v/>
      </c>
      <c r="G100" s="524">
        <f>D100/D97-1</f>
        <v/>
      </c>
      <c r="H100" s="524">
        <f>D100/D94-1</f>
        <v/>
      </c>
      <c r="I100" s="524">
        <f>D100/D88-1</f>
        <v/>
      </c>
      <c r="J100" s="524">
        <f>STDEV.S(F89:F100)*SQRT(12)</f>
        <v/>
      </c>
      <c r="K100" s="368">
        <f>IF(AND(G100&gt;$P$6,H100&gt;$P$7,I100&gt;$P$8,D100&gt;E100,J100&lt;$P$10),1,0)</f>
        <v/>
      </c>
      <c r="L100" s="525">
        <f>IF(SUM(K100,T100,AC100)=0,0,K100/SUM(K100,T100,AC100))</f>
        <v/>
      </c>
      <c r="M100" s="368">
        <f>E2033</f>
        <v/>
      </c>
      <c r="N100" s="368">
        <f>I2033</f>
        <v/>
      </c>
      <c r="O100" s="524">
        <f>M100/M99-1</f>
        <v/>
      </c>
      <c r="P100" s="524">
        <f>M100/M97-1</f>
        <v/>
      </c>
      <c r="Q100" s="524">
        <f>M100/M94-1</f>
        <v/>
      </c>
      <c r="R100" s="524">
        <f>M100/M88-1</f>
        <v/>
      </c>
      <c r="S100" s="524">
        <f>STDEV.S(O89:O100)*SQRT(12)</f>
        <v/>
      </c>
      <c r="T100" s="368">
        <f>IF(AND(P100&gt;$P$6,Q100&gt;$P$7,R100&gt;$P$8,M100&gt;N100,S100&lt;$P$10),1,0)</f>
        <v/>
      </c>
      <c r="U100" s="525">
        <f>IF(SUM(K100,T100,AC100)=0,0,T100/SUM(K100,T100,AC100))</f>
        <v/>
      </c>
      <c r="V100" s="368">
        <f>F2033</f>
        <v/>
      </c>
      <c r="W100" s="368">
        <f>J2033</f>
        <v/>
      </c>
      <c r="X100" s="524">
        <f>V100/V99-1</f>
        <v/>
      </c>
      <c r="Y100" s="524">
        <f>V100/V97-1</f>
        <v/>
      </c>
      <c r="Z100" s="524">
        <f>V100/V94-1</f>
        <v/>
      </c>
      <c r="AA100" s="524">
        <f>V100/V88-1</f>
        <v/>
      </c>
      <c r="AB100" s="524">
        <f>STDEV.S(X89:X100)*SQRT(12)</f>
        <v/>
      </c>
      <c r="AC100" s="368">
        <f>IF(AND(Y100&gt;$P$6,Z100&gt;$P$7,AA100&gt;$P$8,V100&gt;W100,AB100&lt;$P$10),1,0)</f>
        <v/>
      </c>
      <c r="AD100" s="525">
        <f>IF(SUM(K100,T100,AC100)=0,0,AC100/SUM(K100,T100,AC100))</f>
        <v/>
      </c>
      <c r="AE100" s="525">
        <f>IF(SUM(K100,T100,AC100)=0,1,0)</f>
        <v/>
      </c>
      <c r="AF100" s="368">
        <f>G2033</f>
        <v/>
      </c>
      <c r="AG100" s="524">
        <f>AF100/AF99-1</f>
        <v/>
      </c>
      <c r="AH100" s="524">
        <f>0.5*(ABS(L99-L98)+ABS(U99-U98)+ABS(AD99-AD98)+ABS(AE99-AE98))</f>
        <v/>
      </c>
      <c r="AI100" s="524">
        <f>L99*F100+U99*O100+AD99*X100+AE99*AG100</f>
        <v/>
      </c>
      <c r="AJ100" s="524">
        <f>AH100*$P$11</f>
        <v/>
      </c>
      <c r="AK100" s="524">
        <f>AI100-AJ100</f>
        <v/>
      </c>
      <c r="AL100" s="368">
        <f>AL99*(1+AK100)</f>
        <v/>
      </c>
      <c r="AM100" s="368">
        <f>MAX($AL$40:AL100)</f>
        <v/>
      </c>
      <c r="AN100" s="524">
        <f>AL100/AM100-1</f>
        <v/>
      </c>
      <c r="AO100" s="526">
        <f>AK100-AG100</f>
        <v/>
      </c>
    </row>
    <row r="101">
      <c r="C101" s="503" t="n">
        <v>42429</v>
      </c>
      <c r="D101" s="368">
        <f>D2053</f>
        <v/>
      </c>
      <c r="E101" s="368">
        <f>H2053</f>
        <v/>
      </c>
      <c r="F101" s="524">
        <f>D101/D100-1</f>
        <v/>
      </c>
      <c r="G101" s="524">
        <f>D101/D98-1</f>
        <v/>
      </c>
      <c r="H101" s="524">
        <f>D101/D95-1</f>
        <v/>
      </c>
      <c r="I101" s="524">
        <f>D101/D89-1</f>
        <v/>
      </c>
      <c r="J101" s="524">
        <f>STDEV.S(F90:F101)*SQRT(12)</f>
        <v/>
      </c>
      <c r="K101" s="368">
        <f>IF(AND(G101&gt;$P$6,H101&gt;$P$7,I101&gt;$P$8,D101&gt;E101,J101&lt;$P$10),1,0)</f>
        <v/>
      </c>
      <c r="L101" s="525">
        <f>IF(SUM(K101,T101,AC101)=0,0,K101/SUM(K101,T101,AC101))</f>
        <v/>
      </c>
      <c r="M101" s="368">
        <f>E2053</f>
        <v/>
      </c>
      <c r="N101" s="368">
        <f>I2053</f>
        <v/>
      </c>
      <c r="O101" s="524">
        <f>M101/M100-1</f>
        <v/>
      </c>
      <c r="P101" s="524">
        <f>M101/M98-1</f>
        <v/>
      </c>
      <c r="Q101" s="524">
        <f>M101/M95-1</f>
        <v/>
      </c>
      <c r="R101" s="524">
        <f>M101/M89-1</f>
        <v/>
      </c>
      <c r="S101" s="524">
        <f>STDEV.S(O90:O101)*SQRT(12)</f>
        <v/>
      </c>
      <c r="T101" s="368">
        <f>IF(AND(P101&gt;$P$6,Q101&gt;$P$7,R101&gt;$P$8,M101&gt;N101,S101&lt;$P$10),1,0)</f>
        <v/>
      </c>
      <c r="U101" s="525">
        <f>IF(SUM(K101,T101,AC101)=0,0,T101/SUM(K101,T101,AC101))</f>
        <v/>
      </c>
      <c r="V101" s="368">
        <f>F2053</f>
        <v/>
      </c>
      <c r="W101" s="368">
        <f>J2053</f>
        <v/>
      </c>
      <c r="X101" s="524">
        <f>V101/V100-1</f>
        <v/>
      </c>
      <c r="Y101" s="524">
        <f>V101/V98-1</f>
        <v/>
      </c>
      <c r="Z101" s="524">
        <f>V101/V95-1</f>
        <v/>
      </c>
      <c r="AA101" s="524">
        <f>V101/V89-1</f>
        <v/>
      </c>
      <c r="AB101" s="524">
        <f>STDEV.S(X90:X101)*SQRT(12)</f>
        <v/>
      </c>
      <c r="AC101" s="368">
        <f>IF(AND(Y101&gt;$P$6,Z101&gt;$P$7,AA101&gt;$P$8,V101&gt;W101,AB101&lt;$P$10),1,0)</f>
        <v/>
      </c>
      <c r="AD101" s="525">
        <f>IF(SUM(K101,T101,AC101)=0,0,AC101/SUM(K101,T101,AC101))</f>
        <v/>
      </c>
      <c r="AE101" s="525">
        <f>IF(SUM(K101,T101,AC101)=0,1,0)</f>
        <v/>
      </c>
      <c r="AF101" s="368">
        <f>G2053</f>
        <v/>
      </c>
      <c r="AG101" s="524">
        <f>AF101/AF100-1</f>
        <v/>
      </c>
      <c r="AH101" s="524">
        <f>0.5*(ABS(L100-L99)+ABS(U100-U99)+ABS(AD100-AD99)+ABS(AE100-AE99))</f>
        <v/>
      </c>
      <c r="AI101" s="524">
        <f>L100*F101+U100*O101+AD100*X101+AE100*AG101</f>
        <v/>
      </c>
      <c r="AJ101" s="524">
        <f>AH101*$P$11</f>
        <v/>
      </c>
      <c r="AK101" s="524">
        <f>AI101-AJ101</f>
        <v/>
      </c>
      <c r="AL101" s="368">
        <f>AL100*(1+AK101)</f>
        <v/>
      </c>
      <c r="AM101" s="368">
        <f>MAX($AL$40:AL101)</f>
        <v/>
      </c>
      <c r="AN101" s="524">
        <f>AL101/AM101-1</f>
        <v/>
      </c>
      <c r="AO101" s="526">
        <f>AK101-AG101</f>
        <v/>
      </c>
    </row>
    <row r="102">
      <c r="C102" s="503" t="n">
        <v>42460</v>
      </c>
      <c r="D102" s="368">
        <f>D2075</f>
        <v/>
      </c>
      <c r="E102" s="368">
        <f>H2075</f>
        <v/>
      </c>
      <c r="F102" s="524">
        <f>D102/D101-1</f>
        <v/>
      </c>
      <c r="G102" s="524">
        <f>D102/D99-1</f>
        <v/>
      </c>
      <c r="H102" s="524">
        <f>D102/D96-1</f>
        <v/>
      </c>
      <c r="I102" s="524">
        <f>D102/D90-1</f>
        <v/>
      </c>
      <c r="J102" s="524">
        <f>STDEV.S(F91:F102)*SQRT(12)</f>
        <v/>
      </c>
      <c r="K102" s="368">
        <f>IF(AND(G102&gt;$P$6,H102&gt;$P$7,I102&gt;$P$8,D102&gt;E102,J102&lt;$P$10),1,0)</f>
        <v/>
      </c>
      <c r="L102" s="525">
        <f>IF(SUM(K102,T102,AC102)=0,0,K102/SUM(K102,T102,AC102))</f>
        <v/>
      </c>
      <c r="M102" s="368">
        <f>E2075</f>
        <v/>
      </c>
      <c r="N102" s="368">
        <f>I2075</f>
        <v/>
      </c>
      <c r="O102" s="524">
        <f>M102/M101-1</f>
        <v/>
      </c>
      <c r="P102" s="524">
        <f>M102/M99-1</f>
        <v/>
      </c>
      <c r="Q102" s="524">
        <f>M102/M96-1</f>
        <v/>
      </c>
      <c r="R102" s="524">
        <f>M102/M90-1</f>
        <v/>
      </c>
      <c r="S102" s="524">
        <f>STDEV.S(O91:O102)*SQRT(12)</f>
        <v/>
      </c>
      <c r="T102" s="368">
        <f>IF(AND(P102&gt;$P$6,Q102&gt;$P$7,R102&gt;$P$8,M102&gt;N102,S102&lt;$P$10),1,0)</f>
        <v/>
      </c>
      <c r="U102" s="525">
        <f>IF(SUM(K102,T102,AC102)=0,0,T102/SUM(K102,T102,AC102))</f>
        <v/>
      </c>
      <c r="V102" s="368">
        <f>F2075</f>
        <v/>
      </c>
      <c r="W102" s="368">
        <f>J2075</f>
        <v/>
      </c>
      <c r="X102" s="524">
        <f>V102/V101-1</f>
        <v/>
      </c>
      <c r="Y102" s="524">
        <f>V102/V99-1</f>
        <v/>
      </c>
      <c r="Z102" s="524">
        <f>V102/V96-1</f>
        <v/>
      </c>
      <c r="AA102" s="524">
        <f>V102/V90-1</f>
        <v/>
      </c>
      <c r="AB102" s="524">
        <f>STDEV.S(X91:X102)*SQRT(12)</f>
        <v/>
      </c>
      <c r="AC102" s="368">
        <f>IF(AND(Y102&gt;$P$6,Z102&gt;$P$7,AA102&gt;$P$8,V102&gt;W102,AB102&lt;$P$10),1,0)</f>
        <v/>
      </c>
      <c r="AD102" s="525">
        <f>IF(SUM(K102,T102,AC102)=0,0,AC102/SUM(K102,T102,AC102))</f>
        <v/>
      </c>
      <c r="AE102" s="525">
        <f>IF(SUM(K102,T102,AC102)=0,1,0)</f>
        <v/>
      </c>
      <c r="AF102" s="368">
        <f>G2075</f>
        <v/>
      </c>
      <c r="AG102" s="524">
        <f>AF102/AF101-1</f>
        <v/>
      </c>
      <c r="AH102" s="524">
        <f>0.5*(ABS(L101-L100)+ABS(U101-U100)+ABS(AD101-AD100)+ABS(AE101-AE100))</f>
        <v/>
      </c>
      <c r="AI102" s="524">
        <f>L101*F102+U101*O102+AD101*X102+AE101*AG102</f>
        <v/>
      </c>
      <c r="AJ102" s="524">
        <f>AH102*$P$11</f>
        <v/>
      </c>
      <c r="AK102" s="524">
        <f>AI102-AJ102</f>
        <v/>
      </c>
      <c r="AL102" s="368">
        <f>AL101*(1+AK102)</f>
        <v/>
      </c>
      <c r="AM102" s="368">
        <f>MAX($AL$40:AL102)</f>
        <v/>
      </c>
      <c r="AN102" s="524">
        <f>AL102/AM102-1</f>
        <v/>
      </c>
      <c r="AO102" s="526">
        <f>AK102-AG102</f>
        <v/>
      </c>
    </row>
    <row r="103">
      <c r="C103" s="503" t="n">
        <v>42490</v>
      </c>
      <c r="D103" s="368">
        <f>D2096</f>
        <v/>
      </c>
      <c r="E103" s="368">
        <f>H2096</f>
        <v/>
      </c>
      <c r="F103" s="524">
        <f>D103/D102-1</f>
        <v/>
      </c>
      <c r="G103" s="524">
        <f>D103/D100-1</f>
        <v/>
      </c>
      <c r="H103" s="524">
        <f>D103/D97-1</f>
        <v/>
      </c>
      <c r="I103" s="524">
        <f>D103/D91-1</f>
        <v/>
      </c>
      <c r="J103" s="524">
        <f>STDEV.S(F92:F103)*SQRT(12)</f>
        <v/>
      </c>
      <c r="K103" s="368">
        <f>IF(AND(G103&gt;$P$6,H103&gt;$P$7,I103&gt;$P$8,D103&gt;E103,J103&lt;$P$10),1,0)</f>
        <v/>
      </c>
      <c r="L103" s="525">
        <f>IF(SUM(K103,T103,AC103)=0,0,K103/SUM(K103,T103,AC103))</f>
        <v/>
      </c>
      <c r="M103" s="368">
        <f>E2096</f>
        <v/>
      </c>
      <c r="N103" s="368">
        <f>I2096</f>
        <v/>
      </c>
      <c r="O103" s="524">
        <f>M103/M102-1</f>
        <v/>
      </c>
      <c r="P103" s="524">
        <f>M103/M100-1</f>
        <v/>
      </c>
      <c r="Q103" s="524">
        <f>M103/M97-1</f>
        <v/>
      </c>
      <c r="R103" s="524">
        <f>M103/M91-1</f>
        <v/>
      </c>
      <c r="S103" s="524">
        <f>STDEV.S(O92:O103)*SQRT(12)</f>
        <v/>
      </c>
      <c r="T103" s="368">
        <f>IF(AND(P103&gt;$P$6,Q103&gt;$P$7,R103&gt;$P$8,M103&gt;N103,S103&lt;$P$10),1,0)</f>
        <v/>
      </c>
      <c r="U103" s="525">
        <f>IF(SUM(K103,T103,AC103)=0,0,T103/SUM(K103,T103,AC103))</f>
        <v/>
      </c>
      <c r="V103" s="368">
        <f>F2096</f>
        <v/>
      </c>
      <c r="W103" s="368">
        <f>J2096</f>
        <v/>
      </c>
      <c r="X103" s="524">
        <f>V103/V102-1</f>
        <v/>
      </c>
      <c r="Y103" s="524">
        <f>V103/V100-1</f>
        <v/>
      </c>
      <c r="Z103" s="524">
        <f>V103/V97-1</f>
        <v/>
      </c>
      <c r="AA103" s="524">
        <f>V103/V91-1</f>
        <v/>
      </c>
      <c r="AB103" s="524">
        <f>STDEV.S(X92:X103)*SQRT(12)</f>
        <v/>
      </c>
      <c r="AC103" s="368">
        <f>IF(AND(Y103&gt;$P$6,Z103&gt;$P$7,AA103&gt;$P$8,V103&gt;W103,AB103&lt;$P$10),1,0)</f>
        <v/>
      </c>
      <c r="AD103" s="525">
        <f>IF(SUM(K103,T103,AC103)=0,0,AC103/SUM(K103,T103,AC103))</f>
        <v/>
      </c>
      <c r="AE103" s="525">
        <f>IF(SUM(K103,T103,AC103)=0,1,0)</f>
        <v/>
      </c>
      <c r="AF103" s="368">
        <f>G2096</f>
        <v/>
      </c>
      <c r="AG103" s="524">
        <f>AF103/AF102-1</f>
        <v/>
      </c>
      <c r="AH103" s="524">
        <f>0.5*(ABS(L102-L101)+ABS(U102-U101)+ABS(AD102-AD101)+ABS(AE102-AE101))</f>
        <v/>
      </c>
      <c r="AI103" s="524">
        <f>L102*F103+U102*O103+AD102*X103+AE102*AG103</f>
        <v/>
      </c>
      <c r="AJ103" s="524">
        <f>AH103*$P$11</f>
        <v/>
      </c>
      <c r="AK103" s="524">
        <f>AI103-AJ103</f>
        <v/>
      </c>
      <c r="AL103" s="368">
        <f>AL102*(1+AK103)</f>
        <v/>
      </c>
      <c r="AM103" s="368">
        <f>MAX($AL$40:AL103)</f>
        <v/>
      </c>
      <c r="AN103" s="524">
        <f>AL103/AM103-1</f>
        <v/>
      </c>
      <c r="AO103" s="526">
        <f>AK103-AG103</f>
        <v/>
      </c>
    </row>
    <row r="104">
      <c r="C104" s="503" t="n">
        <v>42521</v>
      </c>
      <c r="D104" s="368">
        <f>D2117</f>
        <v/>
      </c>
      <c r="E104" s="368">
        <f>H2117</f>
        <v/>
      </c>
      <c r="F104" s="524">
        <f>D104/D103-1</f>
        <v/>
      </c>
      <c r="G104" s="524">
        <f>D104/D101-1</f>
        <v/>
      </c>
      <c r="H104" s="524">
        <f>D104/D98-1</f>
        <v/>
      </c>
      <c r="I104" s="524">
        <f>D104/D92-1</f>
        <v/>
      </c>
      <c r="J104" s="524">
        <f>STDEV.S(F93:F104)*SQRT(12)</f>
        <v/>
      </c>
      <c r="K104" s="368">
        <f>IF(AND(G104&gt;$P$6,H104&gt;$P$7,I104&gt;$P$8,D104&gt;E104,J104&lt;$P$10),1,0)</f>
        <v/>
      </c>
      <c r="L104" s="525">
        <f>IF(SUM(K104,T104,AC104)=0,0,K104/SUM(K104,T104,AC104))</f>
        <v/>
      </c>
      <c r="M104" s="368">
        <f>E2117</f>
        <v/>
      </c>
      <c r="N104" s="368">
        <f>I2117</f>
        <v/>
      </c>
      <c r="O104" s="524">
        <f>M104/M103-1</f>
        <v/>
      </c>
      <c r="P104" s="524">
        <f>M104/M101-1</f>
        <v/>
      </c>
      <c r="Q104" s="524">
        <f>M104/M98-1</f>
        <v/>
      </c>
      <c r="R104" s="524">
        <f>M104/M92-1</f>
        <v/>
      </c>
      <c r="S104" s="524">
        <f>STDEV.S(O93:O104)*SQRT(12)</f>
        <v/>
      </c>
      <c r="T104" s="368">
        <f>IF(AND(P104&gt;$P$6,Q104&gt;$P$7,R104&gt;$P$8,M104&gt;N104,S104&lt;$P$10),1,0)</f>
        <v/>
      </c>
      <c r="U104" s="525">
        <f>IF(SUM(K104,T104,AC104)=0,0,T104/SUM(K104,T104,AC104))</f>
        <v/>
      </c>
      <c r="V104" s="368">
        <f>F2117</f>
        <v/>
      </c>
      <c r="W104" s="368">
        <f>J2117</f>
        <v/>
      </c>
      <c r="X104" s="524">
        <f>V104/V103-1</f>
        <v/>
      </c>
      <c r="Y104" s="524">
        <f>V104/V101-1</f>
        <v/>
      </c>
      <c r="Z104" s="524">
        <f>V104/V98-1</f>
        <v/>
      </c>
      <c r="AA104" s="524">
        <f>V104/V92-1</f>
        <v/>
      </c>
      <c r="AB104" s="524">
        <f>STDEV.S(X93:X104)*SQRT(12)</f>
        <v/>
      </c>
      <c r="AC104" s="368">
        <f>IF(AND(Y104&gt;$P$6,Z104&gt;$P$7,AA104&gt;$P$8,V104&gt;W104,AB104&lt;$P$10),1,0)</f>
        <v/>
      </c>
      <c r="AD104" s="525">
        <f>IF(SUM(K104,T104,AC104)=0,0,AC104/SUM(K104,T104,AC104))</f>
        <v/>
      </c>
      <c r="AE104" s="525">
        <f>IF(SUM(K104,T104,AC104)=0,1,0)</f>
        <v/>
      </c>
      <c r="AF104" s="368">
        <f>G2117</f>
        <v/>
      </c>
      <c r="AG104" s="524">
        <f>AF104/AF103-1</f>
        <v/>
      </c>
      <c r="AH104" s="524">
        <f>0.5*(ABS(L103-L102)+ABS(U103-U102)+ABS(AD103-AD102)+ABS(AE103-AE102))</f>
        <v/>
      </c>
      <c r="AI104" s="524">
        <f>L103*F104+U103*O104+AD103*X104+AE103*AG104</f>
        <v/>
      </c>
      <c r="AJ104" s="524">
        <f>AH104*$P$11</f>
        <v/>
      </c>
      <c r="AK104" s="524">
        <f>AI104-AJ104</f>
        <v/>
      </c>
      <c r="AL104" s="368">
        <f>AL103*(1+AK104)</f>
        <v/>
      </c>
      <c r="AM104" s="368">
        <f>MAX($AL$40:AL104)</f>
        <v/>
      </c>
      <c r="AN104" s="524">
        <f>AL104/AM104-1</f>
        <v/>
      </c>
      <c r="AO104" s="526">
        <f>AK104-AG104</f>
        <v/>
      </c>
    </row>
    <row r="105">
      <c r="C105" s="503" t="n">
        <v>42551</v>
      </c>
      <c r="D105" s="368">
        <f>D2139</f>
        <v/>
      </c>
      <c r="E105" s="368">
        <f>H2139</f>
        <v/>
      </c>
      <c r="F105" s="524">
        <f>D105/D104-1</f>
        <v/>
      </c>
      <c r="G105" s="524">
        <f>D105/D102-1</f>
        <v/>
      </c>
      <c r="H105" s="524">
        <f>D105/D99-1</f>
        <v/>
      </c>
      <c r="I105" s="524">
        <f>D105/D93-1</f>
        <v/>
      </c>
      <c r="J105" s="524">
        <f>STDEV.S(F94:F105)*SQRT(12)</f>
        <v/>
      </c>
      <c r="K105" s="368">
        <f>IF(AND(G105&gt;$P$6,H105&gt;$P$7,I105&gt;$P$8,D105&gt;E105,J105&lt;$P$10),1,0)</f>
        <v/>
      </c>
      <c r="L105" s="525">
        <f>IF(SUM(K105,T105,AC105)=0,0,K105/SUM(K105,T105,AC105))</f>
        <v/>
      </c>
      <c r="M105" s="368">
        <f>E2139</f>
        <v/>
      </c>
      <c r="N105" s="368">
        <f>I2139</f>
        <v/>
      </c>
      <c r="O105" s="524">
        <f>M105/M104-1</f>
        <v/>
      </c>
      <c r="P105" s="524">
        <f>M105/M102-1</f>
        <v/>
      </c>
      <c r="Q105" s="524">
        <f>M105/M99-1</f>
        <v/>
      </c>
      <c r="R105" s="524">
        <f>M105/M93-1</f>
        <v/>
      </c>
      <c r="S105" s="524">
        <f>STDEV.S(O94:O105)*SQRT(12)</f>
        <v/>
      </c>
      <c r="T105" s="368">
        <f>IF(AND(P105&gt;$P$6,Q105&gt;$P$7,R105&gt;$P$8,M105&gt;N105,S105&lt;$P$10),1,0)</f>
        <v/>
      </c>
      <c r="U105" s="525">
        <f>IF(SUM(K105,T105,AC105)=0,0,T105/SUM(K105,T105,AC105))</f>
        <v/>
      </c>
      <c r="V105" s="368">
        <f>F2139</f>
        <v/>
      </c>
      <c r="W105" s="368">
        <f>J2139</f>
        <v/>
      </c>
      <c r="X105" s="524">
        <f>V105/V104-1</f>
        <v/>
      </c>
      <c r="Y105" s="524">
        <f>V105/V102-1</f>
        <v/>
      </c>
      <c r="Z105" s="524">
        <f>V105/V99-1</f>
        <v/>
      </c>
      <c r="AA105" s="524">
        <f>V105/V93-1</f>
        <v/>
      </c>
      <c r="AB105" s="524">
        <f>STDEV.S(X94:X105)*SQRT(12)</f>
        <v/>
      </c>
      <c r="AC105" s="368">
        <f>IF(AND(Y105&gt;$P$6,Z105&gt;$P$7,AA105&gt;$P$8,V105&gt;W105,AB105&lt;$P$10),1,0)</f>
        <v/>
      </c>
      <c r="AD105" s="525">
        <f>IF(SUM(K105,T105,AC105)=0,0,AC105/SUM(K105,T105,AC105))</f>
        <v/>
      </c>
      <c r="AE105" s="525">
        <f>IF(SUM(K105,T105,AC105)=0,1,0)</f>
        <v/>
      </c>
      <c r="AF105" s="368">
        <f>G2139</f>
        <v/>
      </c>
      <c r="AG105" s="524">
        <f>AF105/AF104-1</f>
        <v/>
      </c>
      <c r="AH105" s="524">
        <f>0.5*(ABS(L104-L103)+ABS(U104-U103)+ABS(AD104-AD103)+ABS(AE104-AE103))</f>
        <v/>
      </c>
      <c r="AI105" s="524">
        <f>L104*F105+U104*O105+AD104*X105+AE104*AG105</f>
        <v/>
      </c>
      <c r="AJ105" s="524">
        <f>AH105*$P$11</f>
        <v/>
      </c>
      <c r="AK105" s="524">
        <f>AI105-AJ105</f>
        <v/>
      </c>
      <c r="AL105" s="368">
        <f>AL104*(1+AK105)</f>
        <v/>
      </c>
      <c r="AM105" s="368">
        <f>MAX($AL$40:AL105)</f>
        <v/>
      </c>
      <c r="AN105" s="524">
        <f>AL105/AM105-1</f>
        <v/>
      </c>
      <c r="AO105" s="526">
        <f>AK105-AG105</f>
        <v/>
      </c>
    </row>
    <row r="106">
      <c r="C106" s="503" t="n">
        <v>42582</v>
      </c>
      <c r="D106" s="368">
        <f>D2159</f>
        <v/>
      </c>
      <c r="E106" s="368">
        <f>H2159</f>
        <v/>
      </c>
      <c r="F106" s="524">
        <f>D106/D105-1</f>
        <v/>
      </c>
      <c r="G106" s="524">
        <f>D106/D103-1</f>
        <v/>
      </c>
      <c r="H106" s="524">
        <f>D106/D100-1</f>
        <v/>
      </c>
      <c r="I106" s="524">
        <f>D106/D94-1</f>
        <v/>
      </c>
      <c r="J106" s="524">
        <f>STDEV.S(F95:F106)*SQRT(12)</f>
        <v/>
      </c>
      <c r="K106" s="368">
        <f>IF(AND(G106&gt;$P$6,H106&gt;$P$7,I106&gt;$P$8,D106&gt;E106,J106&lt;$P$10),1,0)</f>
        <v/>
      </c>
      <c r="L106" s="525">
        <f>IF(SUM(K106,T106,AC106)=0,0,K106/SUM(K106,T106,AC106))</f>
        <v/>
      </c>
      <c r="M106" s="368">
        <f>E2159</f>
        <v/>
      </c>
      <c r="N106" s="368">
        <f>I2159</f>
        <v/>
      </c>
      <c r="O106" s="524">
        <f>M106/M105-1</f>
        <v/>
      </c>
      <c r="P106" s="524">
        <f>M106/M103-1</f>
        <v/>
      </c>
      <c r="Q106" s="524">
        <f>M106/M100-1</f>
        <v/>
      </c>
      <c r="R106" s="524">
        <f>M106/M94-1</f>
        <v/>
      </c>
      <c r="S106" s="524">
        <f>STDEV.S(O95:O106)*SQRT(12)</f>
        <v/>
      </c>
      <c r="T106" s="368">
        <f>IF(AND(P106&gt;$P$6,Q106&gt;$P$7,R106&gt;$P$8,M106&gt;N106,S106&lt;$P$10),1,0)</f>
        <v/>
      </c>
      <c r="U106" s="525">
        <f>IF(SUM(K106,T106,AC106)=0,0,T106/SUM(K106,T106,AC106))</f>
        <v/>
      </c>
      <c r="V106" s="368">
        <f>F2159</f>
        <v/>
      </c>
      <c r="W106" s="368">
        <f>J2159</f>
        <v/>
      </c>
      <c r="X106" s="524">
        <f>V106/V105-1</f>
        <v/>
      </c>
      <c r="Y106" s="524">
        <f>V106/V103-1</f>
        <v/>
      </c>
      <c r="Z106" s="524">
        <f>V106/V100-1</f>
        <v/>
      </c>
      <c r="AA106" s="524">
        <f>V106/V94-1</f>
        <v/>
      </c>
      <c r="AB106" s="524">
        <f>STDEV.S(X95:X106)*SQRT(12)</f>
        <v/>
      </c>
      <c r="AC106" s="368">
        <f>IF(AND(Y106&gt;$P$6,Z106&gt;$P$7,AA106&gt;$P$8,V106&gt;W106,AB106&lt;$P$10),1,0)</f>
        <v/>
      </c>
      <c r="AD106" s="525">
        <f>IF(SUM(K106,T106,AC106)=0,0,AC106/SUM(K106,T106,AC106))</f>
        <v/>
      </c>
      <c r="AE106" s="525">
        <f>IF(SUM(K106,T106,AC106)=0,1,0)</f>
        <v/>
      </c>
      <c r="AF106" s="368">
        <f>G2159</f>
        <v/>
      </c>
      <c r="AG106" s="524">
        <f>AF106/AF105-1</f>
        <v/>
      </c>
      <c r="AH106" s="524">
        <f>0.5*(ABS(L105-L104)+ABS(U105-U104)+ABS(AD105-AD104)+ABS(AE105-AE104))</f>
        <v/>
      </c>
      <c r="AI106" s="524">
        <f>L105*F106+U105*O106+AD105*X106+AE105*AG106</f>
        <v/>
      </c>
      <c r="AJ106" s="524">
        <f>AH106*$P$11</f>
        <v/>
      </c>
      <c r="AK106" s="524">
        <f>AI106-AJ106</f>
        <v/>
      </c>
      <c r="AL106" s="368">
        <f>AL105*(1+AK106)</f>
        <v/>
      </c>
      <c r="AM106" s="368">
        <f>MAX($AL$40:AL106)</f>
        <v/>
      </c>
      <c r="AN106" s="524">
        <f>AL106/AM106-1</f>
        <v/>
      </c>
      <c r="AO106" s="526">
        <f>AK106-AG106</f>
        <v/>
      </c>
    </row>
    <row r="107">
      <c r="C107" s="503" t="n">
        <v>42613</v>
      </c>
      <c r="D107" s="368">
        <f>D2182</f>
        <v/>
      </c>
      <c r="E107" s="368">
        <f>H2182</f>
        <v/>
      </c>
      <c r="F107" s="524">
        <f>D107/D106-1</f>
        <v/>
      </c>
      <c r="G107" s="524">
        <f>D107/D104-1</f>
        <v/>
      </c>
      <c r="H107" s="524">
        <f>D107/D101-1</f>
        <v/>
      </c>
      <c r="I107" s="524">
        <f>D107/D95-1</f>
        <v/>
      </c>
      <c r="J107" s="524">
        <f>STDEV.S(F96:F107)*SQRT(12)</f>
        <v/>
      </c>
      <c r="K107" s="368">
        <f>IF(AND(G107&gt;$P$6,H107&gt;$P$7,I107&gt;$P$8,D107&gt;E107,J107&lt;$P$10),1,0)</f>
        <v/>
      </c>
      <c r="L107" s="525">
        <f>IF(SUM(K107,T107,AC107)=0,0,K107/SUM(K107,T107,AC107))</f>
        <v/>
      </c>
      <c r="M107" s="368">
        <f>E2182</f>
        <v/>
      </c>
      <c r="N107" s="368">
        <f>I2182</f>
        <v/>
      </c>
      <c r="O107" s="524">
        <f>M107/M106-1</f>
        <v/>
      </c>
      <c r="P107" s="524">
        <f>M107/M104-1</f>
        <v/>
      </c>
      <c r="Q107" s="524">
        <f>M107/M101-1</f>
        <v/>
      </c>
      <c r="R107" s="524">
        <f>M107/M95-1</f>
        <v/>
      </c>
      <c r="S107" s="524">
        <f>STDEV.S(O96:O107)*SQRT(12)</f>
        <v/>
      </c>
      <c r="T107" s="368">
        <f>IF(AND(P107&gt;$P$6,Q107&gt;$P$7,R107&gt;$P$8,M107&gt;N107,S107&lt;$P$10),1,0)</f>
        <v/>
      </c>
      <c r="U107" s="525">
        <f>IF(SUM(K107,T107,AC107)=0,0,T107/SUM(K107,T107,AC107))</f>
        <v/>
      </c>
      <c r="V107" s="368">
        <f>F2182</f>
        <v/>
      </c>
      <c r="W107" s="368">
        <f>J2182</f>
        <v/>
      </c>
      <c r="X107" s="524">
        <f>V107/V106-1</f>
        <v/>
      </c>
      <c r="Y107" s="524">
        <f>V107/V104-1</f>
        <v/>
      </c>
      <c r="Z107" s="524">
        <f>V107/V101-1</f>
        <v/>
      </c>
      <c r="AA107" s="524">
        <f>V107/V95-1</f>
        <v/>
      </c>
      <c r="AB107" s="524">
        <f>STDEV.S(X96:X107)*SQRT(12)</f>
        <v/>
      </c>
      <c r="AC107" s="368">
        <f>IF(AND(Y107&gt;$P$6,Z107&gt;$P$7,AA107&gt;$P$8,V107&gt;W107,AB107&lt;$P$10),1,0)</f>
        <v/>
      </c>
      <c r="AD107" s="525">
        <f>IF(SUM(K107,T107,AC107)=0,0,AC107/SUM(K107,T107,AC107))</f>
        <v/>
      </c>
      <c r="AE107" s="525">
        <f>IF(SUM(K107,T107,AC107)=0,1,0)</f>
        <v/>
      </c>
      <c r="AF107" s="368">
        <f>G2182</f>
        <v/>
      </c>
      <c r="AG107" s="524">
        <f>AF107/AF106-1</f>
        <v/>
      </c>
      <c r="AH107" s="524">
        <f>0.5*(ABS(L106-L105)+ABS(U106-U105)+ABS(AD106-AD105)+ABS(AE106-AE105))</f>
        <v/>
      </c>
      <c r="AI107" s="524">
        <f>L106*F107+U106*O107+AD106*X107+AE106*AG107</f>
        <v/>
      </c>
      <c r="AJ107" s="524">
        <f>AH107*$P$11</f>
        <v/>
      </c>
      <c r="AK107" s="524">
        <f>AI107-AJ107</f>
        <v/>
      </c>
      <c r="AL107" s="368">
        <f>AL106*(1+AK107)</f>
        <v/>
      </c>
      <c r="AM107" s="368">
        <f>MAX($AL$40:AL107)</f>
        <v/>
      </c>
      <c r="AN107" s="524">
        <f>AL107/AM107-1</f>
        <v/>
      </c>
      <c r="AO107" s="526">
        <f>AK107-AG107</f>
        <v/>
      </c>
    </row>
    <row r="108">
      <c r="C108" s="503" t="n">
        <v>42643</v>
      </c>
      <c r="D108" s="368">
        <f>D2203</f>
        <v/>
      </c>
      <c r="E108" s="368">
        <f>H2203</f>
        <v/>
      </c>
      <c r="F108" s="524">
        <f>D108/D107-1</f>
        <v/>
      </c>
      <c r="G108" s="524">
        <f>D108/D105-1</f>
        <v/>
      </c>
      <c r="H108" s="524">
        <f>D108/D102-1</f>
        <v/>
      </c>
      <c r="I108" s="524">
        <f>D108/D96-1</f>
        <v/>
      </c>
      <c r="J108" s="524">
        <f>STDEV.S(F97:F108)*SQRT(12)</f>
        <v/>
      </c>
      <c r="K108" s="368">
        <f>IF(AND(G108&gt;$P$6,H108&gt;$P$7,I108&gt;$P$8,D108&gt;E108,J108&lt;$P$10),1,0)</f>
        <v/>
      </c>
      <c r="L108" s="525">
        <f>IF(SUM(K108,T108,AC108)=0,0,K108/SUM(K108,T108,AC108))</f>
        <v/>
      </c>
      <c r="M108" s="368">
        <f>E2203</f>
        <v/>
      </c>
      <c r="N108" s="368">
        <f>I2203</f>
        <v/>
      </c>
      <c r="O108" s="524">
        <f>M108/M107-1</f>
        <v/>
      </c>
      <c r="P108" s="524">
        <f>M108/M105-1</f>
        <v/>
      </c>
      <c r="Q108" s="524">
        <f>M108/M102-1</f>
        <v/>
      </c>
      <c r="R108" s="524">
        <f>M108/M96-1</f>
        <v/>
      </c>
      <c r="S108" s="524">
        <f>STDEV.S(O97:O108)*SQRT(12)</f>
        <v/>
      </c>
      <c r="T108" s="368">
        <f>IF(AND(P108&gt;$P$6,Q108&gt;$P$7,R108&gt;$P$8,M108&gt;N108,S108&lt;$P$10),1,0)</f>
        <v/>
      </c>
      <c r="U108" s="525">
        <f>IF(SUM(K108,T108,AC108)=0,0,T108/SUM(K108,T108,AC108))</f>
        <v/>
      </c>
      <c r="V108" s="368">
        <f>F2203</f>
        <v/>
      </c>
      <c r="W108" s="368">
        <f>J2203</f>
        <v/>
      </c>
      <c r="X108" s="524">
        <f>V108/V107-1</f>
        <v/>
      </c>
      <c r="Y108" s="524">
        <f>V108/V105-1</f>
        <v/>
      </c>
      <c r="Z108" s="524">
        <f>V108/V102-1</f>
        <v/>
      </c>
      <c r="AA108" s="524">
        <f>V108/V96-1</f>
        <v/>
      </c>
      <c r="AB108" s="524">
        <f>STDEV.S(X97:X108)*SQRT(12)</f>
        <v/>
      </c>
      <c r="AC108" s="368">
        <f>IF(AND(Y108&gt;$P$6,Z108&gt;$P$7,AA108&gt;$P$8,V108&gt;W108,AB108&lt;$P$10),1,0)</f>
        <v/>
      </c>
      <c r="AD108" s="525">
        <f>IF(SUM(K108,T108,AC108)=0,0,AC108/SUM(K108,T108,AC108))</f>
        <v/>
      </c>
      <c r="AE108" s="525">
        <f>IF(SUM(K108,T108,AC108)=0,1,0)</f>
        <v/>
      </c>
      <c r="AF108" s="368">
        <f>G2203</f>
        <v/>
      </c>
      <c r="AG108" s="524">
        <f>AF108/AF107-1</f>
        <v/>
      </c>
      <c r="AH108" s="524">
        <f>0.5*(ABS(L107-L106)+ABS(U107-U106)+ABS(AD107-AD106)+ABS(AE107-AE106))</f>
        <v/>
      </c>
      <c r="AI108" s="524">
        <f>L107*F108+U107*O108+AD107*X108+AE107*AG108</f>
        <v/>
      </c>
      <c r="AJ108" s="524">
        <f>AH108*$P$11</f>
        <v/>
      </c>
      <c r="AK108" s="524">
        <f>AI108-AJ108</f>
        <v/>
      </c>
      <c r="AL108" s="368">
        <f>AL107*(1+AK108)</f>
        <v/>
      </c>
      <c r="AM108" s="368">
        <f>MAX($AL$40:AL108)</f>
        <v/>
      </c>
      <c r="AN108" s="524">
        <f>AL108/AM108-1</f>
        <v/>
      </c>
      <c r="AO108" s="526">
        <f>AK108-AG108</f>
        <v/>
      </c>
    </row>
    <row r="109">
      <c r="C109" s="503" t="n">
        <v>42674</v>
      </c>
      <c r="D109" s="368">
        <f>D2224</f>
        <v/>
      </c>
      <c r="E109" s="368">
        <f>H2224</f>
        <v/>
      </c>
      <c r="F109" s="524">
        <f>D109/D108-1</f>
        <v/>
      </c>
      <c r="G109" s="524">
        <f>D109/D106-1</f>
        <v/>
      </c>
      <c r="H109" s="524">
        <f>D109/D103-1</f>
        <v/>
      </c>
      <c r="I109" s="524">
        <f>D109/D97-1</f>
        <v/>
      </c>
      <c r="J109" s="524">
        <f>STDEV.S(F98:F109)*SQRT(12)</f>
        <v/>
      </c>
      <c r="K109" s="368">
        <f>IF(AND(G109&gt;$P$6,H109&gt;$P$7,I109&gt;$P$8,D109&gt;E109,J109&lt;$P$10),1,0)</f>
        <v/>
      </c>
      <c r="L109" s="525">
        <f>IF(SUM(K109,T109,AC109)=0,0,K109/SUM(K109,T109,AC109))</f>
        <v/>
      </c>
      <c r="M109" s="368">
        <f>E2224</f>
        <v/>
      </c>
      <c r="N109" s="368">
        <f>I2224</f>
        <v/>
      </c>
      <c r="O109" s="524">
        <f>M109/M108-1</f>
        <v/>
      </c>
      <c r="P109" s="524">
        <f>M109/M106-1</f>
        <v/>
      </c>
      <c r="Q109" s="524">
        <f>M109/M103-1</f>
        <v/>
      </c>
      <c r="R109" s="524">
        <f>M109/M97-1</f>
        <v/>
      </c>
      <c r="S109" s="524">
        <f>STDEV.S(O98:O109)*SQRT(12)</f>
        <v/>
      </c>
      <c r="T109" s="368">
        <f>IF(AND(P109&gt;$P$6,Q109&gt;$P$7,R109&gt;$P$8,M109&gt;N109,S109&lt;$P$10),1,0)</f>
        <v/>
      </c>
      <c r="U109" s="525">
        <f>IF(SUM(K109,T109,AC109)=0,0,T109/SUM(K109,T109,AC109))</f>
        <v/>
      </c>
      <c r="V109" s="368">
        <f>F2224</f>
        <v/>
      </c>
      <c r="W109" s="368">
        <f>J2224</f>
        <v/>
      </c>
      <c r="X109" s="524">
        <f>V109/V108-1</f>
        <v/>
      </c>
      <c r="Y109" s="524">
        <f>V109/V106-1</f>
        <v/>
      </c>
      <c r="Z109" s="524">
        <f>V109/V103-1</f>
        <v/>
      </c>
      <c r="AA109" s="524">
        <f>V109/V97-1</f>
        <v/>
      </c>
      <c r="AB109" s="524">
        <f>STDEV.S(X98:X109)*SQRT(12)</f>
        <v/>
      </c>
      <c r="AC109" s="368">
        <f>IF(AND(Y109&gt;$P$6,Z109&gt;$P$7,AA109&gt;$P$8,V109&gt;W109,AB109&lt;$P$10),1,0)</f>
        <v/>
      </c>
      <c r="AD109" s="525">
        <f>IF(SUM(K109,T109,AC109)=0,0,AC109/SUM(K109,T109,AC109))</f>
        <v/>
      </c>
      <c r="AE109" s="525">
        <f>IF(SUM(K109,T109,AC109)=0,1,0)</f>
        <v/>
      </c>
      <c r="AF109" s="368">
        <f>G2224</f>
        <v/>
      </c>
      <c r="AG109" s="524">
        <f>AF109/AF108-1</f>
        <v/>
      </c>
      <c r="AH109" s="524">
        <f>0.5*(ABS(L108-L107)+ABS(U108-U107)+ABS(AD108-AD107)+ABS(AE108-AE107))</f>
        <v/>
      </c>
      <c r="AI109" s="524">
        <f>L108*F109+U108*O109+AD108*X109+AE108*AG109</f>
        <v/>
      </c>
      <c r="AJ109" s="524">
        <f>AH109*$P$11</f>
        <v/>
      </c>
      <c r="AK109" s="524">
        <f>AI109-AJ109</f>
        <v/>
      </c>
      <c r="AL109" s="368">
        <f>AL108*(1+AK109)</f>
        <v/>
      </c>
      <c r="AM109" s="368">
        <f>MAX($AL$40:AL109)</f>
        <v/>
      </c>
      <c r="AN109" s="524">
        <f>AL109/AM109-1</f>
        <v/>
      </c>
      <c r="AO109" s="526">
        <f>AK109-AG109</f>
        <v/>
      </c>
    </row>
    <row r="110">
      <c r="C110" s="503" t="n">
        <v>42704</v>
      </c>
      <c r="D110" s="368">
        <f>D2245</f>
        <v/>
      </c>
      <c r="E110" s="368">
        <f>H2245</f>
        <v/>
      </c>
      <c r="F110" s="524">
        <f>D110/D109-1</f>
        <v/>
      </c>
      <c r="G110" s="524">
        <f>D110/D107-1</f>
        <v/>
      </c>
      <c r="H110" s="524">
        <f>D110/D104-1</f>
        <v/>
      </c>
      <c r="I110" s="524">
        <f>D110/D98-1</f>
        <v/>
      </c>
      <c r="J110" s="524">
        <f>STDEV.S(F99:F110)*SQRT(12)</f>
        <v/>
      </c>
      <c r="K110" s="368">
        <f>IF(AND(G110&gt;$P$6,H110&gt;$P$7,I110&gt;$P$8,D110&gt;E110,J110&lt;$P$10),1,0)</f>
        <v/>
      </c>
      <c r="L110" s="525">
        <f>IF(SUM(K110,T110,AC110)=0,0,K110/SUM(K110,T110,AC110))</f>
        <v/>
      </c>
      <c r="M110" s="368">
        <f>E2245</f>
        <v/>
      </c>
      <c r="N110" s="368">
        <f>I2245</f>
        <v/>
      </c>
      <c r="O110" s="524">
        <f>M110/M109-1</f>
        <v/>
      </c>
      <c r="P110" s="524">
        <f>M110/M107-1</f>
        <v/>
      </c>
      <c r="Q110" s="524">
        <f>M110/M104-1</f>
        <v/>
      </c>
      <c r="R110" s="524">
        <f>M110/M98-1</f>
        <v/>
      </c>
      <c r="S110" s="524">
        <f>STDEV.S(O99:O110)*SQRT(12)</f>
        <v/>
      </c>
      <c r="T110" s="368">
        <f>IF(AND(P110&gt;$P$6,Q110&gt;$P$7,R110&gt;$P$8,M110&gt;N110,S110&lt;$P$10),1,0)</f>
        <v/>
      </c>
      <c r="U110" s="525">
        <f>IF(SUM(K110,T110,AC110)=0,0,T110/SUM(K110,T110,AC110))</f>
        <v/>
      </c>
      <c r="V110" s="368">
        <f>F2245</f>
        <v/>
      </c>
      <c r="W110" s="368">
        <f>J2245</f>
        <v/>
      </c>
      <c r="X110" s="524">
        <f>V110/V109-1</f>
        <v/>
      </c>
      <c r="Y110" s="524">
        <f>V110/V107-1</f>
        <v/>
      </c>
      <c r="Z110" s="524">
        <f>V110/V104-1</f>
        <v/>
      </c>
      <c r="AA110" s="524">
        <f>V110/V98-1</f>
        <v/>
      </c>
      <c r="AB110" s="524">
        <f>STDEV.S(X99:X110)*SQRT(12)</f>
        <v/>
      </c>
      <c r="AC110" s="368">
        <f>IF(AND(Y110&gt;$P$6,Z110&gt;$P$7,AA110&gt;$P$8,V110&gt;W110,AB110&lt;$P$10),1,0)</f>
        <v/>
      </c>
      <c r="AD110" s="525">
        <f>IF(SUM(K110,T110,AC110)=0,0,AC110/SUM(K110,T110,AC110))</f>
        <v/>
      </c>
      <c r="AE110" s="525">
        <f>IF(SUM(K110,T110,AC110)=0,1,0)</f>
        <v/>
      </c>
      <c r="AF110" s="368">
        <f>G2245</f>
        <v/>
      </c>
      <c r="AG110" s="524">
        <f>AF110/AF109-1</f>
        <v/>
      </c>
      <c r="AH110" s="524">
        <f>0.5*(ABS(L109-L108)+ABS(U109-U108)+ABS(AD109-AD108)+ABS(AE109-AE108))</f>
        <v/>
      </c>
      <c r="AI110" s="524">
        <f>L109*F110+U109*O110+AD109*X110+AE109*AG110</f>
        <v/>
      </c>
      <c r="AJ110" s="524">
        <f>AH110*$P$11</f>
        <v/>
      </c>
      <c r="AK110" s="524">
        <f>AI110-AJ110</f>
        <v/>
      </c>
      <c r="AL110" s="368">
        <f>AL109*(1+AK110)</f>
        <v/>
      </c>
      <c r="AM110" s="368">
        <f>MAX($AL$40:AL110)</f>
        <v/>
      </c>
      <c r="AN110" s="524">
        <f>AL110/AM110-1</f>
        <v/>
      </c>
      <c r="AO110" s="526">
        <f>AK110-AG110</f>
        <v/>
      </c>
    </row>
    <row r="111">
      <c r="C111" s="503" t="n">
        <v>42735</v>
      </c>
      <c r="D111" s="368">
        <f>D2266</f>
        <v/>
      </c>
      <c r="E111" s="368">
        <f>H2266</f>
        <v/>
      </c>
      <c r="F111" s="524">
        <f>D111/D110-1</f>
        <v/>
      </c>
      <c r="G111" s="524">
        <f>D111/D108-1</f>
        <v/>
      </c>
      <c r="H111" s="524">
        <f>D111/D105-1</f>
        <v/>
      </c>
      <c r="I111" s="524">
        <f>D111/D99-1</f>
        <v/>
      </c>
      <c r="J111" s="524">
        <f>STDEV.S(F100:F111)*SQRT(12)</f>
        <v/>
      </c>
      <c r="K111" s="368">
        <f>IF(AND(G111&gt;$P$6,H111&gt;$P$7,I111&gt;$P$8,D111&gt;E111,J111&lt;$P$10),1,0)</f>
        <v/>
      </c>
      <c r="L111" s="525">
        <f>IF(SUM(K111,T111,AC111)=0,0,K111/SUM(K111,T111,AC111))</f>
        <v/>
      </c>
      <c r="M111" s="368">
        <f>E2266</f>
        <v/>
      </c>
      <c r="N111" s="368">
        <f>I2266</f>
        <v/>
      </c>
      <c r="O111" s="524">
        <f>M111/M110-1</f>
        <v/>
      </c>
      <c r="P111" s="524">
        <f>M111/M108-1</f>
        <v/>
      </c>
      <c r="Q111" s="524">
        <f>M111/M105-1</f>
        <v/>
      </c>
      <c r="R111" s="524">
        <f>M111/M99-1</f>
        <v/>
      </c>
      <c r="S111" s="524">
        <f>STDEV.S(O100:O111)*SQRT(12)</f>
        <v/>
      </c>
      <c r="T111" s="368">
        <f>IF(AND(P111&gt;$P$6,Q111&gt;$P$7,R111&gt;$P$8,M111&gt;N111,S111&lt;$P$10),1,0)</f>
        <v/>
      </c>
      <c r="U111" s="525">
        <f>IF(SUM(K111,T111,AC111)=0,0,T111/SUM(K111,T111,AC111))</f>
        <v/>
      </c>
      <c r="V111" s="368">
        <f>F2266</f>
        <v/>
      </c>
      <c r="W111" s="368">
        <f>J2266</f>
        <v/>
      </c>
      <c r="X111" s="524">
        <f>V111/V110-1</f>
        <v/>
      </c>
      <c r="Y111" s="524">
        <f>V111/V108-1</f>
        <v/>
      </c>
      <c r="Z111" s="524">
        <f>V111/V105-1</f>
        <v/>
      </c>
      <c r="AA111" s="524">
        <f>V111/V99-1</f>
        <v/>
      </c>
      <c r="AB111" s="524">
        <f>STDEV.S(X100:X111)*SQRT(12)</f>
        <v/>
      </c>
      <c r="AC111" s="368">
        <f>IF(AND(Y111&gt;$P$6,Z111&gt;$P$7,AA111&gt;$P$8,V111&gt;W111,AB111&lt;$P$10),1,0)</f>
        <v/>
      </c>
      <c r="AD111" s="525">
        <f>IF(SUM(K111,T111,AC111)=0,0,AC111/SUM(K111,T111,AC111))</f>
        <v/>
      </c>
      <c r="AE111" s="525">
        <f>IF(SUM(K111,T111,AC111)=0,1,0)</f>
        <v/>
      </c>
      <c r="AF111" s="368">
        <f>G2266</f>
        <v/>
      </c>
      <c r="AG111" s="524">
        <f>AF111/AF110-1</f>
        <v/>
      </c>
      <c r="AH111" s="524">
        <f>0.5*(ABS(L110-L109)+ABS(U110-U109)+ABS(AD110-AD109)+ABS(AE110-AE109))</f>
        <v/>
      </c>
      <c r="AI111" s="524">
        <f>L110*F111+U110*O111+AD110*X111+AE110*AG111</f>
        <v/>
      </c>
      <c r="AJ111" s="524">
        <f>AH111*$P$11</f>
        <v/>
      </c>
      <c r="AK111" s="524">
        <f>AI111-AJ111</f>
        <v/>
      </c>
      <c r="AL111" s="368">
        <f>AL110*(1+AK111)</f>
        <v/>
      </c>
      <c r="AM111" s="368">
        <f>MAX($AL$40:AL111)</f>
        <v/>
      </c>
      <c r="AN111" s="524">
        <f>AL111/AM111-1</f>
        <v/>
      </c>
      <c r="AO111" s="526">
        <f>AK111-AG111</f>
        <v/>
      </c>
    </row>
    <row r="112">
      <c r="C112" s="503" t="n">
        <v>42766</v>
      </c>
      <c r="D112" s="368">
        <f>D2286</f>
        <v/>
      </c>
      <c r="E112" s="368">
        <f>H2286</f>
        <v/>
      </c>
      <c r="F112" s="524">
        <f>D112/D111-1</f>
        <v/>
      </c>
      <c r="G112" s="524">
        <f>D112/D109-1</f>
        <v/>
      </c>
      <c r="H112" s="524">
        <f>D112/D106-1</f>
        <v/>
      </c>
      <c r="I112" s="524">
        <f>D112/D100-1</f>
        <v/>
      </c>
      <c r="J112" s="524">
        <f>STDEV.S(F101:F112)*SQRT(12)</f>
        <v/>
      </c>
      <c r="K112" s="368">
        <f>IF(AND(G112&gt;$P$6,H112&gt;$P$7,I112&gt;$P$8,D112&gt;E112,J112&lt;$P$10),1,0)</f>
        <v/>
      </c>
      <c r="L112" s="525">
        <f>IF(SUM(K112,T112,AC112)=0,0,K112/SUM(K112,T112,AC112))</f>
        <v/>
      </c>
      <c r="M112" s="368">
        <f>E2286</f>
        <v/>
      </c>
      <c r="N112" s="368">
        <f>I2286</f>
        <v/>
      </c>
      <c r="O112" s="524">
        <f>M112/M111-1</f>
        <v/>
      </c>
      <c r="P112" s="524">
        <f>M112/M109-1</f>
        <v/>
      </c>
      <c r="Q112" s="524">
        <f>M112/M106-1</f>
        <v/>
      </c>
      <c r="R112" s="524">
        <f>M112/M100-1</f>
        <v/>
      </c>
      <c r="S112" s="524">
        <f>STDEV.S(O101:O112)*SQRT(12)</f>
        <v/>
      </c>
      <c r="T112" s="368">
        <f>IF(AND(P112&gt;$P$6,Q112&gt;$P$7,R112&gt;$P$8,M112&gt;N112,S112&lt;$P$10),1,0)</f>
        <v/>
      </c>
      <c r="U112" s="525">
        <f>IF(SUM(K112,T112,AC112)=0,0,T112/SUM(K112,T112,AC112))</f>
        <v/>
      </c>
      <c r="V112" s="368">
        <f>F2286</f>
        <v/>
      </c>
      <c r="W112" s="368">
        <f>J2286</f>
        <v/>
      </c>
      <c r="X112" s="524">
        <f>V112/V111-1</f>
        <v/>
      </c>
      <c r="Y112" s="524">
        <f>V112/V109-1</f>
        <v/>
      </c>
      <c r="Z112" s="524">
        <f>V112/V106-1</f>
        <v/>
      </c>
      <c r="AA112" s="524">
        <f>V112/V100-1</f>
        <v/>
      </c>
      <c r="AB112" s="524">
        <f>STDEV.S(X101:X112)*SQRT(12)</f>
        <v/>
      </c>
      <c r="AC112" s="368">
        <f>IF(AND(Y112&gt;$P$6,Z112&gt;$P$7,AA112&gt;$P$8,V112&gt;W112,AB112&lt;$P$10),1,0)</f>
        <v/>
      </c>
      <c r="AD112" s="525">
        <f>IF(SUM(K112,T112,AC112)=0,0,AC112/SUM(K112,T112,AC112))</f>
        <v/>
      </c>
      <c r="AE112" s="525">
        <f>IF(SUM(K112,T112,AC112)=0,1,0)</f>
        <v/>
      </c>
      <c r="AF112" s="368">
        <f>G2286</f>
        <v/>
      </c>
      <c r="AG112" s="524">
        <f>AF112/AF111-1</f>
        <v/>
      </c>
      <c r="AH112" s="524">
        <f>0.5*(ABS(L111-L110)+ABS(U111-U110)+ABS(AD111-AD110)+ABS(AE111-AE110))</f>
        <v/>
      </c>
      <c r="AI112" s="524">
        <f>L111*F112+U111*O112+AD111*X112+AE111*AG112</f>
        <v/>
      </c>
      <c r="AJ112" s="524">
        <f>AH112*$P$11</f>
        <v/>
      </c>
      <c r="AK112" s="524">
        <f>AI112-AJ112</f>
        <v/>
      </c>
      <c r="AL112" s="368">
        <f>AL111*(1+AK112)</f>
        <v/>
      </c>
      <c r="AM112" s="368">
        <f>MAX($AL$40:AL112)</f>
        <v/>
      </c>
      <c r="AN112" s="524">
        <f>AL112/AM112-1</f>
        <v/>
      </c>
      <c r="AO112" s="526">
        <f>AK112-AG112</f>
        <v/>
      </c>
    </row>
    <row r="113">
      <c r="C113" s="503" t="n">
        <v>42794</v>
      </c>
      <c r="D113" s="368">
        <f>D2305</f>
        <v/>
      </c>
      <c r="E113" s="368">
        <f>H2305</f>
        <v/>
      </c>
      <c r="F113" s="524">
        <f>D113/D112-1</f>
        <v/>
      </c>
      <c r="G113" s="524">
        <f>D113/D110-1</f>
        <v/>
      </c>
      <c r="H113" s="524">
        <f>D113/D107-1</f>
        <v/>
      </c>
      <c r="I113" s="524">
        <f>D113/D101-1</f>
        <v/>
      </c>
      <c r="J113" s="524">
        <f>STDEV.S(F102:F113)*SQRT(12)</f>
        <v/>
      </c>
      <c r="K113" s="368">
        <f>IF(AND(G113&gt;$P$6,H113&gt;$P$7,I113&gt;$P$8,D113&gt;E113,J113&lt;$P$10),1,0)</f>
        <v/>
      </c>
      <c r="L113" s="525">
        <f>IF(SUM(K113,T113,AC113)=0,0,K113/SUM(K113,T113,AC113))</f>
        <v/>
      </c>
      <c r="M113" s="368">
        <f>E2305</f>
        <v/>
      </c>
      <c r="N113" s="368">
        <f>I2305</f>
        <v/>
      </c>
      <c r="O113" s="524">
        <f>M113/M112-1</f>
        <v/>
      </c>
      <c r="P113" s="524">
        <f>M113/M110-1</f>
        <v/>
      </c>
      <c r="Q113" s="524">
        <f>M113/M107-1</f>
        <v/>
      </c>
      <c r="R113" s="524">
        <f>M113/M101-1</f>
        <v/>
      </c>
      <c r="S113" s="524">
        <f>STDEV.S(O102:O113)*SQRT(12)</f>
        <v/>
      </c>
      <c r="T113" s="368">
        <f>IF(AND(P113&gt;$P$6,Q113&gt;$P$7,R113&gt;$P$8,M113&gt;N113,S113&lt;$P$10),1,0)</f>
        <v/>
      </c>
      <c r="U113" s="525">
        <f>IF(SUM(K113,T113,AC113)=0,0,T113/SUM(K113,T113,AC113))</f>
        <v/>
      </c>
      <c r="V113" s="368">
        <f>F2305</f>
        <v/>
      </c>
      <c r="W113" s="368">
        <f>J2305</f>
        <v/>
      </c>
      <c r="X113" s="524">
        <f>V113/V112-1</f>
        <v/>
      </c>
      <c r="Y113" s="524">
        <f>V113/V110-1</f>
        <v/>
      </c>
      <c r="Z113" s="524">
        <f>V113/V107-1</f>
        <v/>
      </c>
      <c r="AA113" s="524">
        <f>V113/V101-1</f>
        <v/>
      </c>
      <c r="AB113" s="524">
        <f>STDEV.S(X102:X113)*SQRT(12)</f>
        <v/>
      </c>
      <c r="AC113" s="368">
        <f>IF(AND(Y113&gt;$P$6,Z113&gt;$P$7,AA113&gt;$P$8,V113&gt;W113,AB113&lt;$P$10),1,0)</f>
        <v/>
      </c>
      <c r="AD113" s="525">
        <f>IF(SUM(K113,T113,AC113)=0,0,AC113/SUM(K113,T113,AC113))</f>
        <v/>
      </c>
      <c r="AE113" s="525">
        <f>IF(SUM(K113,T113,AC113)=0,1,0)</f>
        <v/>
      </c>
      <c r="AF113" s="368">
        <f>G2305</f>
        <v/>
      </c>
      <c r="AG113" s="524">
        <f>AF113/AF112-1</f>
        <v/>
      </c>
      <c r="AH113" s="524">
        <f>0.5*(ABS(L112-L111)+ABS(U112-U111)+ABS(AD112-AD111)+ABS(AE112-AE111))</f>
        <v/>
      </c>
      <c r="AI113" s="524">
        <f>L112*F113+U112*O113+AD112*X113+AE112*AG113</f>
        <v/>
      </c>
      <c r="AJ113" s="524">
        <f>AH113*$P$11</f>
        <v/>
      </c>
      <c r="AK113" s="524">
        <f>AI113-AJ113</f>
        <v/>
      </c>
      <c r="AL113" s="368">
        <f>AL112*(1+AK113)</f>
        <v/>
      </c>
      <c r="AM113" s="368">
        <f>MAX($AL$40:AL113)</f>
        <v/>
      </c>
      <c r="AN113" s="524">
        <f>AL113/AM113-1</f>
        <v/>
      </c>
      <c r="AO113" s="526">
        <f>AK113-AG113</f>
        <v/>
      </c>
    </row>
    <row r="114">
      <c r="C114" s="503" t="n">
        <v>42825</v>
      </c>
      <c r="D114" s="368">
        <f>D2328</f>
        <v/>
      </c>
      <c r="E114" s="368">
        <f>H2328</f>
        <v/>
      </c>
      <c r="F114" s="524">
        <f>D114/D113-1</f>
        <v/>
      </c>
      <c r="G114" s="524">
        <f>D114/D111-1</f>
        <v/>
      </c>
      <c r="H114" s="524">
        <f>D114/D108-1</f>
        <v/>
      </c>
      <c r="I114" s="524">
        <f>D114/D102-1</f>
        <v/>
      </c>
      <c r="J114" s="524">
        <f>STDEV.S(F103:F114)*SQRT(12)</f>
        <v/>
      </c>
      <c r="K114" s="368">
        <f>IF(AND(G114&gt;$P$6,H114&gt;$P$7,I114&gt;$P$8,D114&gt;E114,J114&lt;$P$10),1,0)</f>
        <v/>
      </c>
      <c r="L114" s="525">
        <f>IF(SUM(K114,T114,AC114)=0,0,K114/SUM(K114,T114,AC114))</f>
        <v/>
      </c>
      <c r="M114" s="368">
        <f>E2328</f>
        <v/>
      </c>
      <c r="N114" s="368">
        <f>I2328</f>
        <v/>
      </c>
      <c r="O114" s="524">
        <f>M114/M113-1</f>
        <v/>
      </c>
      <c r="P114" s="524">
        <f>M114/M111-1</f>
        <v/>
      </c>
      <c r="Q114" s="524">
        <f>M114/M108-1</f>
        <v/>
      </c>
      <c r="R114" s="524">
        <f>M114/M102-1</f>
        <v/>
      </c>
      <c r="S114" s="524">
        <f>STDEV.S(O103:O114)*SQRT(12)</f>
        <v/>
      </c>
      <c r="T114" s="368">
        <f>IF(AND(P114&gt;$P$6,Q114&gt;$P$7,R114&gt;$P$8,M114&gt;N114,S114&lt;$P$10),1,0)</f>
        <v/>
      </c>
      <c r="U114" s="525">
        <f>IF(SUM(K114,T114,AC114)=0,0,T114/SUM(K114,T114,AC114))</f>
        <v/>
      </c>
      <c r="V114" s="368">
        <f>F2328</f>
        <v/>
      </c>
      <c r="W114" s="368">
        <f>J2328</f>
        <v/>
      </c>
      <c r="X114" s="524">
        <f>V114/V113-1</f>
        <v/>
      </c>
      <c r="Y114" s="524">
        <f>V114/V111-1</f>
        <v/>
      </c>
      <c r="Z114" s="524">
        <f>V114/V108-1</f>
        <v/>
      </c>
      <c r="AA114" s="524">
        <f>V114/V102-1</f>
        <v/>
      </c>
      <c r="AB114" s="524">
        <f>STDEV.S(X103:X114)*SQRT(12)</f>
        <v/>
      </c>
      <c r="AC114" s="368">
        <f>IF(AND(Y114&gt;$P$6,Z114&gt;$P$7,AA114&gt;$P$8,V114&gt;W114,AB114&lt;$P$10),1,0)</f>
        <v/>
      </c>
      <c r="AD114" s="525">
        <f>IF(SUM(K114,T114,AC114)=0,0,AC114/SUM(K114,T114,AC114))</f>
        <v/>
      </c>
      <c r="AE114" s="525">
        <f>IF(SUM(K114,T114,AC114)=0,1,0)</f>
        <v/>
      </c>
      <c r="AF114" s="368">
        <f>G2328</f>
        <v/>
      </c>
      <c r="AG114" s="524">
        <f>AF114/AF113-1</f>
        <v/>
      </c>
      <c r="AH114" s="524">
        <f>0.5*(ABS(L113-L112)+ABS(U113-U112)+ABS(AD113-AD112)+ABS(AE113-AE112))</f>
        <v/>
      </c>
      <c r="AI114" s="524">
        <f>L113*F114+U113*O114+AD113*X114+AE113*AG114</f>
        <v/>
      </c>
      <c r="AJ114" s="524">
        <f>AH114*$P$11</f>
        <v/>
      </c>
      <c r="AK114" s="524">
        <f>AI114-AJ114</f>
        <v/>
      </c>
      <c r="AL114" s="368">
        <f>AL113*(1+AK114)</f>
        <v/>
      </c>
      <c r="AM114" s="368">
        <f>MAX($AL$40:AL114)</f>
        <v/>
      </c>
      <c r="AN114" s="524">
        <f>AL114/AM114-1</f>
        <v/>
      </c>
      <c r="AO114" s="526">
        <f>AK114-AG114</f>
        <v/>
      </c>
    </row>
    <row r="115">
      <c r="C115" s="503" t="n">
        <v>42855</v>
      </c>
      <c r="D115" s="368">
        <f>D2347</f>
        <v/>
      </c>
      <c r="E115" s="368">
        <f>H2347</f>
        <v/>
      </c>
      <c r="F115" s="524">
        <f>D115/D114-1</f>
        <v/>
      </c>
      <c r="G115" s="524">
        <f>D115/D112-1</f>
        <v/>
      </c>
      <c r="H115" s="524">
        <f>D115/D109-1</f>
        <v/>
      </c>
      <c r="I115" s="524">
        <f>D115/D103-1</f>
        <v/>
      </c>
      <c r="J115" s="524">
        <f>STDEV.S(F104:F115)*SQRT(12)</f>
        <v/>
      </c>
      <c r="K115" s="368">
        <f>IF(AND(G115&gt;$P$6,H115&gt;$P$7,I115&gt;$P$8,D115&gt;E115,J115&lt;$P$10),1,0)</f>
        <v/>
      </c>
      <c r="L115" s="525">
        <f>IF(SUM(K115,T115,AC115)=0,0,K115/SUM(K115,T115,AC115))</f>
        <v/>
      </c>
      <c r="M115" s="368">
        <f>E2347</f>
        <v/>
      </c>
      <c r="N115" s="368">
        <f>I2347</f>
        <v/>
      </c>
      <c r="O115" s="524">
        <f>M115/M114-1</f>
        <v/>
      </c>
      <c r="P115" s="524">
        <f>M115/M112-1</f>
        <v/>
      </c>
      <c r="Q115" s="524">
        <f>M115/M109-1</f>
        <v/>
      </c>
      <c r="R115" s="524">
        <f>M115/M103-1</f>
        <v/>
      </c>
      <c r="S115" s="524">
        <f>STDEV.S(O104:O115)*SQRT(12)</f>
        <v/>
      </c>
      <c r="T115" s="368">
        <f>IF(AND(P115&gt;$P$6,Q115&gt;$P$7,R115&gt;$P$8,M115&gt;N115,S115&lt;$P$10),1,0)</f>
        <v/>
      </c>
      <c r="U115" s="525">
        <f>IF(SUM(K115,T115,AC115)=0,0,T115/SUM(K115,T115,AC115))</f>
        <v/>
      </c>
      <c r="V115" s="368">
        <f>F2347</f>
        <v/>
      </c>
      <c r="W115" s="368">
        <f>J2347</f>
        <v/>
      </c>
      <c r="X115" s="524">
        <f>V115/V114-1</f>
        <v/>
      </c>
      <c r="Y115" s="524">
        <f>V115/V112-1</f>
        <v/>
      </c>
      <c r="Z115" s="524">
        <f>V115/V109-1</f>
        <v/>
      </c>
      <c r="AA115" s="524">
        <f>V115/V103-1</f>
        <v/>
      </c>
      <c r="AB115" s="524">
        <f>STDEV.S(X104:X115)*SQRT(12)</f>
        <v/>
      </c>
      <c r="AC115" s="368">
        <f>IF(AND(Y115&gt;$P$6,Z115&gt;$P$7,AA115&gt;$P$8,V115&gt;W115,AB115&lt;$P$10),1,0)</f>
        <v/>
      </c>
      <c r="AD115" s="525">
        <f>IF(SUM(K115,T115,AC115)=0,0,AC115/SUM(K115,T115,AC115))</f>
        <v/>
      </c>
      <c r="AE115" s="525">
        <f>IF(SUM(K115,T115,AC115)=0,1,0)</f>
        <v/>
      </c>
      <c r="AF115" s="368">
        <f>G2347</f>
        <v/>
      </c>
      <c r="AG115" s="524">
        <f>AF115/AF114-1</f>
        <v/>
      </c>
      <c r="AH115" s="524">
        <f>0.5*(ABS(L114-L113)+ABS(U114-U113)+ABS(AD114-AD113)+ABS(AE114-AE113))</f>
        <v/>
      </c>
      <c r="AI115" s="524">
        <f>L114*F115+U114*O115+AD114*X115+AE114*AG115</f>
        <v/>
      </c>
      <c r="AJ115" s="524">
        <f>AH115*$P$11</f>
        <v/>
      </c>
      <c r="AK115" s="524">
        <f>AI115-AJ115</f>
        <v/>
      </c>
      <c r="AL115" s="368">
        <f>AL114*(1+AK115)</f>
        <v/>
      </c>
      <c r="AM115" s="368">
        <f>MAX($AL$40:AL115)</f>
        <v/>
      </c>
      <c r="AN115" s="524">
        <f>AL115/AM115-1</f>
        <v/>
      </c>
      <c r="AO115" s="526">
        <f>AK115-AG115</f>
        <v/>
      </c>
    </row>
    <row r="116">
      <c r="C116" s="503" t="n">
        <v>42886</v>
      </c>
      <c r="D116" s="368">
        <f>D2369</f>
        <v/>
      </c>
      <c r="E116" s="368">
        <f>H2369</f>
        <v/>
      </c>
      <c r="F116" s="524">
        <f>D116/D115-1</f>
        <v/>
      </c>
      <c r="G116" s="524">
        <f>D116/D113-1</f>
        <v/>
      </c>
      <c r="H116" s="524">
        <f>D116/D110-1</f>
        <v/>
      </c>
      <c r="I116" s="524">
        <f>D116/D104-1</f>
        <v/>
      </c>
      <c r="J116" s="524">
        <f>STDEV.S(F105:F116)*SQRT(12)</f>
        <v/>
      </c>
      <c r="K116" s="368">
        <f>IF(AND(G116&gt;$P$6,H116&gt;$P$7,I116&gt;$P$8,D116&gt;E116,J116&lt;$P$10),1,0)</f>
        <v/>
      </c>
      <c r="L116" s="525">
        <f>IF(SUM(K116,T116,AC116)=0,0,K116/SUM(K116,T116,AC116))</f>
        <v/>
      </c>
      <c r="M116" s="368">
        <f>E2369</f>
        <v/>
      </c>
      <c r="N116" s="368">
        <f>I2369</f>
        <v/>
      </c>
      <c r="O116" s="524">
        <f>M116/M115-1</f>
        <v/>
      </c>
      <c r="P116" s="524">
        <f>M116/M113-1</f>
        <v/>
      </c>
      <c r="Q116" s="524">
        <f>M116/M110-1</f>
        <v/>
      </c>
      <c r="R116" s="524">
        <f>M116/M104-1</f>
        <v/>
      </c>
      <c r="S116" s="524">
        <f>STDEV.S(O105:O116)*SQRT(12)</f>
        <v/>
      </c>
      <c r="T116" s="368">
        <f>IF(AND(P116&gt;$P$6,Q116&gt;$P$7,R116&gt;$P$8,M116&gt;N116,S116&lt;$P$10),1,0)</f>
        <v/>
      </c>
      <c r="U116" s="525">
        <f>IF(SUM(K116,T116,AC116)=0,0,T116/SUM(K116,T116,AC116))</f>
        <v/>
      </c>
      <c r="V116" s="368">
        <f>F2369</f>
        <v/>
      </c>
      <c r="W116" s="368">
        <f>J2369</f>
        <v/>
      </c>
      <c r="X116" s="524">
        <f>V116/V115-1</f>
        <v/>
      </c>
      <c r="Y116" s="524">
        <f>V116/V113-1</f>
        <v/>
      </c>
      <c r="Z116" s="524">
        <f>V116/V110-1</f>
        <v/>
      </c>
      <c r="AA116" s="524">
        <f>V116/V104-1</f>
        <v/>
      </c>
      <c r="AB116" s="524">
        <f>STDEV.S(X105:X116)*SQRT(12)</f>
        <v/>
      </c>
      <c r="AC116" s="368">
        <f>IF(AND(Y116&gt;$P$6,Z116&gt;$P$7,AA116&gt;$P$8,V116&gt;W116,AB116&lt;$P$10),1,0)</f>
        <v/>
      </c>
      <c r="AD116" s="525">
        <f>IF(SUM(K116,T116,AC116)=0,0,AC116/SUM(K116,T116,AC116))</f>
        <v/>
      </c>
      <c r="AE116" s="525">
        <f>IF(SUM(K116,T116,AC116)=0,1,0)</f>
        <v/>
      </c>
      <c r="AF116" s="368">
        <f>G2369</f>
        <v/>
      </c>
      <c r="AG116" s="524">
        <f>AF116/AF115-1</f>
        <v/>
      </c>
      <c r="AH116" s="524">
        <f>0.5*(ABS(L115-L114)+ABS(U115-U114)+ABS(AD115-AD114)+ABS(AE115-AE114))</f>
        <v/>
      </c>
      <c r="AI116" s="524">
        <f>L115*F116+U115*O116+AD115*X116+AE115*AG116</f>
        <v/>
      </c>
      <c r="AJ116" s="524">
        <f>AH116*$P$11</f>
        <v/>
      </c>
      <c r="AK116" s="524">
        <f>AI116-AJ116</f>
        <v/>
      </c>
      <c r="AL116" s="368">
        <f>AL115*(1+AK116)</f>
        <v/>
      </c>
      <c r="AM116" s="368">
        <f>MAX($AL$40:AL116)</f>
        <v/>
      </c>
      <c r="AN116" s="524">
        <f>AL116/AM116-1</f>
        <v/>
      </c>
      <c r="AO116" s="526">
        <f>AK116-AG116</f>
        <v/>
      </c>
    </row>
    <row r="117">
      <c r="C117" s="503" t="n">
        <v>42916</v>
      </c>
      <c r="D117" s="368">
        <f>D2391</f>
        <v/>
      </c>
      <c r="E117" s="368">
        <f>H2391</f>
        <v/>
      </c>
      <c r="F117" s="524">
        <f>D117/D116-1</f>
        <v/>
      </c>
      <c r="G117" s="524">
        <f>D117/D114-1</f>
        <v/>
      </c>
      <c r="H117" s="524">
        <f>D117/D111-1</f>
        <v/>
      </c>
      <c r="I117" s="524">
        <f>D117/D105-1</f>
        <v/>
      </c>
      <c r="J117" s="524">
        <f>STDEV.S(F106:F117)*SQRT(12)</f>
        <v/>
      </c>
      <c r="K117" s="368">
        <f>IF(AND(G117&gt;$P$6,H117&gt;$P$7,I117&gt;$P$8,D117&gt;E117,J117&lt;$P$10),1,0)</f>
        <v/>
      </c>
      <c r="L117" s="525">
        <f>IF(SUM(K117,T117,AC117)=0,0,K117/SUM(K117,T117,AC117))</f>
        <v/>
      </c>
      <c r="M117" s="368">
        <f>E2391</f>
        <v/>
      </c>
      <c r="N117" s="368">
        <f>I2391</f>
        <v/>
      </c>
      <c r="O117" s="524">
        <f>M117/M116-1</f>
        <v/>
      </c>
      <c r="P117" s="524">
        <f>M117/M114-1</f>
        <v/>
      </c>
      <c r="Q117" s="524">
        <f>M117/M111-1</f>
        <v/>
      </c>
      <c r="R117" s="524">
        <f>M117/M105-1</f>
        <v/>
      </c>
      <c r="S117" s="524">
        <f>STDEV.S(O106:O117)*SQRT(12)</f>
        <v/>
      </c>
      <c r="T117" s="368">
        <f>IF(AND(P117&gt;$P$6,Q117&gt;$P$7,R117&gt;$P$8,M117&gt;N117,S117&lt;$P$10),1,0)</f>
        <v/>
      </c>
      <c r="U117" s="525">
        <f>IF(SUM(K117,T117,AC117)=0,0,T117/SUM(K117,T117,AC117))</f>
        <v/>
      </c>
      <c r="V117" s="368">
        <f>F2391</f>
        <v/>
      </c>
      <c r="W117" s="368">
        <f>J2391</f>
        <v/>
      </c>
      <c r="X117" s="524">
        <f>V117/V116-1</f>
        <v/>
      </c>
      <c r="Y117" s="524">
        <f>V117/V114-1</f>
        <v/>
      </c>
      <c r="Z117" s="524">
        <f>V117/V111-1</f>
        <v/>
      </c>
      <c r="AA117" s="524">
        <f>V117/V105-1</f>
        <v/>
      </c>
      <c r="AB117" s="524">
        <f>STDEV.S(X106:X117)*SQRT(12)</f>
        <v/>
      </c>
      <c r="AC117" s="368">
        <f>IF(AND(Y117&gt;$P$6,Z117&gt;$P$7,AA117&gt;$P$8,V117&gt;W117,AB117&lt;$P$10),1,0)</f>
        <v/>
      </c>
      <c r="AD117" s="525">
        <f>IF(SUM(K117,T117,AC117)=0,0,AC117/SUM(K117,T117,AC117))</f>
        <v/>
      </c>
      <c r="AE117" s="525">
        <f>IF(SUM(K117,T117,AC117)=0,1,0)</f>
        <v/>
      </c>
      <c r="AF117" s="368">
        <f>G2391</f>
        <v/>
      </c>
      <c r="AG117" s="524">
        <f>AF117/AF116-1</f>
        <v/>
      </c>
      <c r="AH117" s="524">
        <f>0.5*(ABS(L116-L115)+ABS(U116-U115)+ABS(AD116-AD115)+ABS(AE116-AE115))</f>
        <v/>
      </c>
      <c r="AI117" s="524">
        <f>L116*F117+U116*O117+AD116*X117+AE116*AG117</f>
        <v/>
      </c>
      <c r="AJ117" s="524">
        <f>AH117*$P$11</f>
        <v/>
      </c>
      <c r="AK117" s="524">
        <f>AI117-AJ117</f>
        <v/>
      </c>
      <c r="AL117" s="368">
        <f>AL116*(1+AK117)</f>
        <v/>
      </c>
      <c r="AM117" s="368">
        <f>MAX($AL$40:AL117)</f>
        <v/>
      </c>
      <c r="AN117" s="524">
        <f>AL117/AM117-1</f>
        <v/>
      </c>
      <c r="AO117" s="526">
        <f>AK117-AG117</f>
        <v/>
      </c>
    </row>
    <row r="118">
      <c r="C118" s="503" t="n">
        <v>42947</v>
      </c>
      <c r="D118" s="368">
        <f>D2411</f>
        <v/>
      </c>
      <c r="E118" s="368">
        <f>H2411</f>
        <v/>
      </c>
      <c r="F118" s="524">
        <f>D118/D117-1</f>
        <v/>
      </c>
      <c r="G118" s="524">
        <f>D118/D115-1</f>
        <v/>
      </c>
      <c r="H118" s="524">
        <f>D118/D112-1</f>
        <v/>
      </c>
      <c r="I118" s="524">
        <f>D118/D106-1</f>
        <v/>
      </c>
      <c r="J118" s="524">
        <f>STDEV.S(F107:F118)*SQRT(12)</f>
        <v/>
      </c>
      <c r="K118" s="368">
        <f>IF(AND(G118&gt;$P$6,H118&gt;$P$7,I118&gt;$P$8,D118&gt;E118,J118&lt;$P$10),1,0)</f>
        <v/>
      </c>
      <c r="L118" s="525">
        <f>IF(SUM(K118,T118,AC118)=0,0,K118/SUM(K118,T118,AC118))</f>
        <v/>
      </c>
      <c r="M118" s="368">
        <f>E2411</f>
        <v/>
      </c>
      <c r="N118" s="368">
        <f>I2411</f>
        <v/>
      </c>
      <c r="O118" s="524">
        <f>M118/M117-1</f>
        <v/>
      </c>
      <c r="P118" s="524">
        <f>M118/M115-1</f>
        <v/>
      </c>
      <c r="Q118" s="524">
        <f>M118/M112-1</f>
        <v/>
      </c>
      <c r="R118" s="524">
        <f>M118/M106-1</f>
        <v/>
      </c>
      <c r="S118" s="524">
        <f>STDEV.S(O107:O118)*SQRT(12)</f>
        <v/>
      </c>
      <c r="T118" s="368">
        <f>IF(AND(P118&gt;$P$6,Q118&gt;$P$7,R118&gt;$P$8,M118&gt;N118,S118&lt;$P$10),1,0)</f>
        <v/>
      </c>
      <c r="U118" s="525">
        <f>IF(SUM(K118,T118,AC118)=0,0,T118/SUM(K118,T118,AC118))</f>
        <v/>
      </c>
      <c r="V118" s="368">
        <f>F2411</f>
        <v/>
      </c>
      <c r="W118" s="368">
        <f>J2411</f>
        <v/>
      </c>
      <c r="X118" s="524">
        <f>V118/V117-1</f>
        <v/>
      </c>
      <c r="Y118" s="524">
        <f>V118/V115-1</f>
        <v/>
      </c>
      <c r="Z118" s="524">
        <f>V118/V112-1</f>
        <v/>
      </c>
      <c r="AA118" s="524">
        <f>V118/V106-1</f>
        <v/>
      </c>
      <c r="AB118" s="524">
        <f>STDEV.S(X107:X118)*SQRT(12)</f>
        <v/>
      </c>
      <c r="AC118" s="368">
        <f>IF(AND(Y118&gt;$P$6,Z118&gt;$P$7,AA118&gt;$P$8,V118&gt;W118,AB118&lt;$P$10),1,0)</f>
        <v/>
      </c>
      <c r="AD118" s="525">
        <f>IF(SUM(K118,T118,AC118)=0,0,AC118/SUM(K118,T118,AC118))</f>
        <v/>
      </c>
      <c r="AE118" s="525">
        <f>IF(SUM(K118,T118,AC118)=0,1,0)</f>
        <v/>
      </c>
      <c r="AF118" s="368">
        <f>G2411</f>
        <v/>
      </c>
      <c r="AG118" s="524">
        <f>AF118/AF117-1</f>
        <v/>
      </c>
      <c r="AH118" s="524">
        <f>0.5*(ABS(L117-L116)+ABS(U117-U116)+ABS(AD117-AD116)+ABS(AE117-AE116))</f>
        <v/>
      </c>
      <c r="AI118" s="524">
        <f>L117*F118+U117*O118+AD117*X118+AE117*AG118</f>
        <v/>
      </c>
      <c r="AJ118" s="524">
        <f>AH118*$P$11</f>
        <v/>
      </c>
      <c r="AK118" s="524">
        <f>AI118-AJ118</f>
        <v/>
      </c>
      <c r="AL118" s="368">
        <f>AL117*(1+AK118)</f>
        <v/>
      </c>
      <c r="AM118" s="368">
        <f>MAX($AL$40:AL118)</f>
        <v/>
      </c>
      <c r="AN118" s="524">
        <f>AL118/AM118-1</f>
        <v/>
      </c>
      <c r="AO118" s="526">
        <f>AK118-AG118</f>
        <v/>
      </c>
    </row>
    <row r="119">
      <c r="C119" s="503" t="n">
        <v>42978</v>
      </c>
      <c r="D119" s="368">
        <f>D2434</f>
        <v/>
      </c>
      <c r="E119" s="368">
        <f>H2434</f>
        <v/>
      </c>
      <c r="F119" s="524">
        <f>D119/D118-1</f>
        <v/>
      </c>
      <c r="G119" s="524">
        <f>D119/D116-1</f>
        <v/>
      </c>
      <c r="H119" s="524">
        <f>D119/D113-1</f>
        <v/>
      </c>
      <c r="I119" s="524">
        <f>D119/D107-1</f>
        <v/>
      </c>
      <c r="J119" s="524">
        <f>STDEV.S(F108:F119)*SQRT(12)</f>
        <v/>
      </c>
      <c r="K119" s="368">
        <f>IF(AND(G119&gt;$P$6,H119&gt;$P$7,I119&gt;$P$8,D119&gt;E119,J119&lt;$P$10),1,0)</f>
        <v/>
      </c>
      <c r="L119" s="525">
        <f>IF(SUM(K119,T119,AC119)=0,0,K119/SUM(K119,T119,AC119))</f>
        <v/>
      </c>
      <c r="M119" s="368">
        <f>E2434</f>
        <v/>
      </c>
      <c r="N119" s="368">
        <f>I2434</f>
        <v/>
      </c>
      <c r="O119" s="524">
        <f>M119/M118-1</f>
        <v/>
      </c>
      <c r="P119" s="524">
        <f>M119/M116-1</f>
        <v/>
      </c>
      <c r="Q119" s="524">
        <f>M119/M113-1</f>
        <v/>
      </c>
      <c r="R119" s="524">
        <f>M119/M107-1</f>
        <v/>
      </c>
      <c r="S119" s="524">
        <f>STDEV.S(O108:O119)*SQRT(12)</f>
        <v/>
      </c>
      <c r="T119" s="368">
        <f>IF(AND(P119&gt;$P$6,Q119&gt;$P$7,R119&gt;$P$8,M119&gt;N119,S119&lt;$P$10),1,0)</f>
        <v/>
      </c>
      <c r="U119" s="525">
        <f>IF(SUM(K119,T119,AC119)=0,0,T119/SUM(K119,T119,AC119))</f>
        <v/>
      </c>
      <c r="V119" s="368">
        <f>F2434</f>
        <v/>
      </c>
      <c r="W119" s="368">
        <f>J2434</f>
        <v/>
      </c>
      <c r="X119" s="524">
        <f>V119/V118-1</f>
        <v/>
      </c>
      <c r="Y119" s="524">
        <f>V119/V116-1</f>
        <v/>
      </c>
      <c r="Z119" s="524">
        <f>V119/V113-1</f>
        <v/>
      </c>
      <c r="AA119" s="524">
        <f>V119/V107-1</f>
        <v/>
      </c>
      <c r="AB119" s="524">
        <f>STDEV.S(X108:X119)*SQRT(12)</f>
        <v/>
      </c>
      <c r="AC119" s="368">
        <f>IF(AND(Y119&gt;$P$6,Z119&gt;$P$7,AA119&gt;$P$8,V119&gt;W119,AB119&lt;$P$10),1,0)</f>
        <v/>
      </c>
      <c r="AD119" s="525">
        <f>IF(SUM(K119,T119,AC119)=0,0,AC119/SUM(K119,T119,AC119))</f>
        <v/>
      </c>
      <c r="AE119" s="525">
        <f>IF(SUM(K119,T119,AC119)=0,1,0)</f>
        <v/>
      </c>
      <c r="AF119" s="368">
        <f>G2434</f>
        <v/>
      </c>
      <c r="AG119" s="524">
        <f>AF119/AF118-1</f>
        <v/>
      </c>
      <c r="AH119" s="524">
        <f>0.5*(ABS(L118-L117)+ABS(U118-U117)+ABS(AD118-AD117)+ABS(AE118-AE117))</f>
        <v/>
      </c>
      <c r="AI119" s="524">
        <f>L118*F119+U118*O119+AD118*X119+AE118*AG119</f>
        <v/>
      </c>
      <c r="AJ119" s="524">
        <f>AH119*$P$11</f>
        <v/>
      </c>
      <c r="AK119" s="524">
        <f>AI119-AJ119</f>
        <v/>
      </c>
      <c r="AL119" s="368">
        <f>AL118*(1+AK119)</f>
        <v/>
      </c>
      <c r="AM119" s="368">
        <f>MAX($AL$40:AL119)</f>
        <v/>
      </c>
      <c r="AN119" s="524">
        <f>AL119/AM119-1</f>
        <v/>
      </c>
      <c r="AO119" s="526">
        <f>AK119-AG119</f>
        <v/>
      </c>
    </row>
    <row r="120">
      <c r="C120" s="503" t="n">
        <v>43008</v>
      </c>
      <c r="D120" s="368">
        <f>D2454</f>
        <v/>
      </c>
      <c r="E120" s="368">
        <f>H2454</f>
        <v/>
      </c>
      <c r="F120" s="524">
        <f>D120/D119-1</f>
        <v/>
      </c>
      <c r="G120" s="524">
        <f>D120/D117-1</f>
        <v/>
      </c>
      <c r="H120" s="524">
        <f>D120/D114-1</f>
        <v/>
      </c>
      <c r="I120" s="524">
        <f>D120/D108-1</f>
        <v/>
      </c>
      <c r="J120" s="524">
        <f>STDEV.S(F109:F120)*SQRT(12)</f>
        <v/>
      </c>
      <c r="K120" s="368">
        <f>IF(AND(G120&gt;$P$6,H120&gt;$P$7,I120&gt;$P$8,D120&gt;E120,J120&lt;$P$10),1,0)</f>
        <v/>
      </c>
      <c r="L120" s="525">
        <f>IF(SUM(K120,T120,AC120)=0,0,K120/SUM(K120,T120,AC120))</f>
        <v/>
      </c>
      <c r="M120" s="368">
        <f>E2454</f>
        <v/>
      </c>
      <c r="N120" s="368">
        <f>I2454</f>
        <v/>
      </c>
      <c r="O120" s="524">
        <f>M120/M119-1</f>
        <v/>
      </c>
      <c r="P120" s="524">
        <f>M120/M117-1</f>
        <v/>
      </c>
      <c r="Q120" s="524">
        <f>M120/M114-1</f>
        <v/>
      </c>
      <c r="R120" s="524">
        <f>M120/M108-1</f>
        <v/>
      </c>
      <c r="S120" s="524">
        <f>STDEV.S(O109:O120)*SQRT(12)</f>
        <v/>
      </c>
      <c r="T120" s="368">
        <f>IF(AND(P120&gt;$P$6,Q120&gt;$P$7,R120&gt;$P$8,M120&gt;N120,S120&lt;$P$10),1,0)</f>
        <v/>
      </c>
      <c r="U120" s="525">
        <f>IF(SUM(K120,T120,AC120)=0,0,T120/SUM(K120,T120,AC120))</f>
        <v/>
      </c>
      <c r="V120" s="368">
        <f>F2454</f>
        <v/>
      </c>
      <c r="W120" s="368">
        <f>J2454</f>
        <v/>
      </c>
      <c r="X120" s="524">
        <f>V120/V119-1</f>
        <v/>
      </c>
      <c r="Y120" s="524">
        <f>V120/V117-1</f>
        <v/>
      </c>
      <c r="Z120" s="524">
        <f>V120/V114-1</f>
        <v/>
      </c>
      <c r="AA120" s="524">
        <f>V120/V108-1</f>
        <v/>
      </c>
      <c r="AB120" s="524">
        <f>STDEV.S(X109:X120)*SQRT(12)</f>
        <v/>
      </c>
      <c r="AC120" s="368">
        <f>IF(AND(Y120&gt;$P$6,Z120&gt;$P$7,AA120&gt;$P$8,V120&gt;W120,AB120&lt;$P$10),1,0)</f>
        <v/>
      </c>
      <c r="AD120" s="525">
        <f>IF(SUM(K120,T120,AC120)=0,0,AC120/SUM(K120,T120,AC120))</f>
        <v/>
      </c>
      <c r="AE120" s="525">
        <f>IF(SUM(K120,T120,AC120)=0,1,0)</f>
        <v/>
      </c>
      <c r="AF120" s="368">
        <f>G2454</f>
        <v/>
      </c>
      <c r="AG120" s="524">
        <f>AF120/AF119-1</f>
        <v/>
      </c>
      <c r="AH120" s="524">
        <f>0.5*(ABS(L119-L118)+ABS(U119-U118)+ABS(AD119-AD118)+ABS(AE119-AE118))</f>
        <v/>
      </c>
      <c r="AI120" s="524">
        <f>L119*F120+U119*O120+AD119*X120+AE119*AG120</f>
        <v/>
      </c>
      <c r="AJ120" s="524">
        <f>AH120*$P$11</f>
        <v/>
      </c>
      <c r="AK120" s="524">
        <f>AI120-AJ120</f>
        <v/>
      </c>
      <c r="AL120" s="368">
        <f>AL119*(1+AK120)</f>
        <v/>
      </c>
      <c r="AM120" s="368">
        <f>MAX($AL$40:AL120)</f>
        <v/>
      </c>
      <c r="AN120" s="524">
        <f>AL120/AM120-1</f>
        <v/>
      </c>
      <c r="AO120" s="526">
        <f>AK120-AG120</f>
        <v/>
      </c>
    </row>
    <row r="121">
      <c r="C121" s="503" t="n">
        <v>43039</v>
      </c>
      <c r="D121" s="368">
        <f>D2476</f>
        <v/>
      </c>
      <c r="E121" s="368">
        <f>H2476</f>
        <v/>
      </c>
      <c r="F121" s="524">
        <f>D121/D120-1</f>
        <v/>
      </c>
      <c r="G121" s="524">
        <f>D121/D118-1</f>
        <v/>
      </c>
      <c r="H121" s="524">
        <f>D121/D115-1</f>
        <v/>
      </c>
      <c r="I121" s="524">
        <f>D121/D109-1</f>
        <v/>
      </c>
      <c r="J121" s="524">
        <f>STDEV.S(F110:F121)*SQRT(12)</f>
        <v/>
      </c>
      <c r="K121" s="368">
        <f>IF(AND(G121&gt;$P$6,H121&gt;$P$7,I121&gt;$P$8,D121&gt;E121,J121&lt;$P$10),1,0)</f>
        <v/>
      </c>
      <c r="L121" s="525">
        <f>IF(SUM(K121,T121,AC121)=0,0,K121/SUM(K121,T121,AC121))</f>
        <v/>
      </c>
      <c r="M121" s="368">
        <f>E2476</f>
        <v/>
      </c>
      <c r="N121" s="368">
        <f>I2476</f>
        <v/>
      </c>
      <c r="O121" s="524">
        <f>M121/M120-1</f>
        <v/>
      </c>
      <c r="P121" s="524">
        <f>M121/M118-1</f>
        <v/>
      </c>
      <c r="Q121" s="524">
        <f>M121/M115-1</f>
        <v/>
      </c>
      <c r="R121" s="524">
        <f>M121/M109-1</f>
        <v/>
      </c>
      <c r="S121" s="524">
        <f>STDEV.S(O110:O121)*SQRT(12)</f>
        <v/>
      </c>
      <c r="T121" s="368">
        <f>IF(AND(P121&gt;$P$6,Q121&gt;$P$7,R121&gt;$P$8,M121&gt;N121,S121&lt;$P$10),1,0)</f>
        <v/>
      </c>
      <c r="U121" s="525">
        <f>IF(SUM(K121,T121,AC121)=0,0,T121/SUM(K121,T121,AC121))</f>
        <v/>
      </c>
      <c r="V121" s="368">
        <f>F2476</f>
        <v/>
      </c>
      <c r="W121" s="368">
        <f>J2476</f>
        <v/>
      </c>
      <c r="X121" s="524">
        <f>V121/V120-1</f>
        <v/>
      </c>
      <c r="Y121" s="524">
        <f>V121/V118-1</f>
        <v/>
      </c>
      <c r="Z121" s="524">
        <f>V121/V115-1</f>
        <v/>
      </c>
      <c r="AA121" s="524">
        <f>V121/V109-1</f>
        <v/>
      </c>
      <c r="AB121" s="524">
        <f>STDEV.S(X110:X121)*SQRT(12)</f>
        <v/>
      </c>
      <c r="AC121" s="368">
        <f>IF(AND(Y121&gt;$P$6,Z121&gt;$P$7,AA121&gt;$P$8,V121&gt;W121,AB121&lt;$P$10),1,0)</f>
        <v/>
      </c>
      <c r="AD121" s="525">
        <f>IF(SUM(K121,T121,AC121)=0,0,AC121/SUM(K121,T121,AC121))</f>
        <v/>
      </c>
      <c r="AE121" s="525">
        <f>IF(SUM(K121,T121,AC121)=0,1,0)</f>
        <v/>
      </c>
      <c r="AF121" s="368">
        <f>G2476</f>
        <v/>
      </c>
      <c r="AG121" s="524">
        <f>AF121/AF120-1</f>
        <v/>
      </c>
      <c r="AH121" s="524">
        <f>0.5*(ABS(L120-L119)+ABS(U120-U119)+ABS(AD120-AD119)+ABS(AE120-AE119))</f>
        <v/>
      </c>
      <c r="AI121" s="524">
        <f>L120*F121+U120*O121+AD120*X121+AE120*AG121</f>
        <v/>
      </c>
      <c r="AJ121" s="524">
        <f>AH121*$P$11</f>
        <v/>
      </c>
      <c r="AK121" s="524">
        <f>AI121-AJ121</f>
        <v/>
      </c>
      <c r="AL121" s="368">
        <f>AL120*(1+AK121)</f>
        <v/>
      </c>
      <c r="AM121" s="368">
        <f>MAX($AL$40:AL121)</f>
        <v/>
      </c>
      <c r="AN121" s="524">
        <f>AL121/AM121-1</f>
        <v/>
      </c>
      <c r="AO121" s="526">
        <f>AK121-AG121</f>
        <v/>
      </c>
    </row>
    <row r="122">
      <c r="C122" s="503" t="n">
        <v>43069</v>
      </c>
      <c r="D122" s="368">
        <f>D2497</f>
        <v/>
      </c>
      <c r="E122" s="368">
        <f>H2497</f>
        <v/>
      </c>
      <c r="F122" s="524">
        <f>D122/D121-1</f>
        <v/>
      </c>
      <c r="G122" s="524">
        <f>D122/D119-1</f>
        <v/>
      </c>
      <c r="H122" s="524">
        <f>D122/D116-1</f>
        <v/>
      </c>
      <c r="I122" s="524">
        <f>D122/D110-1</f>
        <v/>
      </c>
      <c r="J122" s="524">
        <f>STDEV.S(F111:F122)*SQRT(12)</f>
        <v/>
      </c>
      <c r="K122" s="368">
        <f>IF(AND(G122&gt;$P$6,H122&gt;$P$7,I122&gt;$P$8,D122&gt;E122,J122&lt;$P$10),1,0)</f>
        <v/>
      </c>
      <c r="L122" s="525">
        <f>IF(SUM(K122,T122,AC122)=0,0,K122/SUM(K122,T122,AC122))</f>
        <v/>
      </c>
      <c r="M122" s="368">
        <f>E2497</f>
        <v/>
      </c>
      <c r="N122" s="368">
        <f>I2497</f>
        <v/>
      </c>
      <c r="O122" s="524">
        <f>M122/M121-1</f>
        <v/>
      </c>
      <c r="P122" s="524">
        <f>M122/M119-1</f>
        <v/>
      </c>
      <c r="Q122" s="524">
        <f>M122/M116-1</f>
        <v/>
      </c>
      <c r="R122" s="524">
        <f>M122/M110-1</f>
        <v/>
      </c>
      <c r="S122" s="524">
        <f>STDEV.S(O111:O122)*SQRT(12)</f>
        <v/>
      </c>
      <c r="T122" s="368">
        <f>IF(AND(P122&gt;$P$6,Q122&gt;$P$7,R122&gt;$P$8,M122&gt;N122,S122&lt;$P$10),1,0)</f>
        <v/>
      </c>
      <c r="U122" s="525">
        <f>IF(SUM(K122,T122,AC122)=0,0,T122/SUM(K122,T122,AC122))</f>
        <v/>
      </c>
      <c r="V122" s="368">
        <f>F2497</f>
        <v/>
      </c>
      <c r="W122" s="368">
        <f>J2497</f>
        <v/>
      </c>
      <c r="X122" s="524">
        <f>V122/V121-1</f>
        <v/>
      </c>
      <c r="Y122" s="524">
        <f>V122/V119-1</f>
        <v/>
      </c>
      <c r="Z122" s="524">
        <f>V122/V116-1</f>
        <v/>
      </c>
      <c r="AA122" s="524">
        <f>V122/V110-1</f>
        <v/>
      </c>
      <c r="AB122" s="524">
        <f>STDEV.S(X111:X122)*SQRT(12)</f>
        <v/>
      </c>
      <c r="AC122" s="368">
        <f>IF(AND(Y122&gt;$P$6,Z122&gt;$P$7,AA122&gt;$P$8,V122&gt;W122,AB122&lt;$P$10),1,0)</f>
        <v/>
      </c>
      <c r="AD122" s="525">
        <f>IF(SUM(K122,T122,AC122)=0,0,AC122/SUM(K122,T122,AC122))</f>
        <v/>
      </c>
      <c r="AE122" s="525">
        <f>IF(SUM(K122,T122,AC122)=0,1,0)</f>
        <v/>
      </c>
      <c r="AF122" s="368">
        <f>G2497</f>
        <v/>
      </c>
      <c r="AG122" s="524">
        <f>AF122/AF121-1</f>
        <v/>
      </c>
      <c r="AH122" s="524">
        <f>0.5*(ABS(L121-L120)+ABS(U121-U120)+ABS(AD121-AD120)+ABS(AE121-AE120))</f>
        <v/>
      </c>
      <c r="AI122" s="524">
        <f>L121*F122+U121*O122+AD121*X122+AE121*AG122</f>
        <v/>
      </c>
      <c r="AJ122" s="524">
        <f>AH122*$P$11</f>
        <v/>
      </c>
      <c r="AK122" s="524">
        <f>AI122-AJ122</f>
        <v/>
      </c>
      <c r="AL122" s="368">
        <f>AL121*(1+AK122)</f>
        <v/>
      </c>
      <c r="AM122" s="368">
        <f>MAX($AL$40:AL122)</f>
        <v/>
      </c>
      <c r="AN122" s="524">
        <f>AL122/AM122-1</f>
        <v/>
      </c>
      <c r="AO122" s="526">
        <f>AK122-AG122</f>
        <v/>
      </c>
    </row>
    <row r="123">
      <c r="C123" s="503" t="n">
        <v>43100</v>
      </c>
      <c r="D123" s="368">
        <f>D2517</f>
        <v/>
      </c>
      <c r="E123" s="368">
        <f>H2517</f>
        <v/>
      </c>
      <c r="F123" s="524">
        <f>D123/D122-1</f>
        <v/>
      </c>
      <c r="G123" s="524">
        <f>D123/D120-1</f>
        <v/>
      </c>
      <c r="H123" s="524">
        <f>D123/D117-1</f>
        <v/>
      </c>
      <c r="I123" s="524">
        <f>D123/D111-1</f>
        <v/>
      </c>
      <c r="J123" s="524">
        <f>STDEV.S(F112:F123)*SQRT(12)</f>
        <v/>
      </c>
      <c r="K123" s="368">
        <f>IF(AND(G123&gt;$P$6,H123&gt;$P$7,I123&gt;$P$8,D123&gt;E123,J123&lt;$P$10),1,0)</f>
        <v/>
      </c>
      <c r="L123" s="525">
        <f>IF(SUM(K123,T123,AC123)=0,0,K123/SUM(K123,T123,AC123))</f>
        <v/>
      </c>
      <c r="M123" s="368">
        <f>E2517</f>
        <v/>
      </c>
      <c r="N123" s="368">
        <f>I2517</f>
        <v/>
      </c>
      <c r="O123" s="524">
        <f>M123/M122-1</f>
        <v/>
      </c>
      <c r="P123" s="524">
        <f>M123/M120-1</f>
        <v/>
      </c>
      <c r="Q123" s="524">
        <f>M123/M117-1</f>
        <v/>
      </c>
      <c r="R123" s="524">
        <f>M123/M111-1</f>
        <v/>
      </c>
      <c r="S123" s="524">
        <f>STDEV.S(O112:O123)*SQRT(12)</f>
        <v/>
      </c>
      <c r="T123" s="368">
        <f>IF(AND(P123&gt;$P$6,Q123&gt;$P$7,R123&gt;$P$8,M123&gt;N123,S123&lt;$P$10),1,0)</f>
        <v/>
      </c>
      <c r="U123" s="525">
        <f>IF(SUM(K123,T123,AC123)=0,0,T123/SUM(K123,T123,AC123))</f>
        <v/>
      </c>
      <c r="V123" s="368">
        <f>F2517</f>
        <v/>
      </c>
      <c r="W123" s="368">
        <f>J2517</f>
        <v/>
      </c>
      <c r="X123" s="524">
        <f>V123/V122-1</f>
        <v/>
      </c>
      <c r="Y123" s="524">
        <f>V123/V120-1</f>
        <v/>
      </c>
      <c r="Z123" s="524">
        <f>V123/V117-1</f>
        <v/>
      </c>
      <c r="AA123" s="524">
        <f>V123/V111-1</f>
        <v/>
      </c>
      <c r="AB123" s="524">
        <f>STDEV.S(X112:X123)*SQRT(12)</f>
        <v/>
      </c>
      <c r="AC123" s="368">
        <f>IF(AND(Y123&gt;$P$6,Z123&gt;$P$7,AA123&gt;$P$8,V123&gt;W123,AB123&lt;$P$10),1,0)</f>
        <v/>
      </c>
      <c r="AD123" s="525">
        <f>IF(SUM(K123,T123,AC123)=0,0,AC123/SUM(K123,T123,AC123))</f>
        <v/>
      </c>
      <c r="AE123" s="525">
        <f>IF(SUM(K123,T123,AC123)=0,1,0)</f>
        <v/>
      </c>
      <c r="AF123" s="368">
        <f>G2517</f>
        <v/>
      </c>
      <c r="AG123" s="524">
        <f>AF123/AF122-1</f>
        <v/>
      </c>
      <c r="AH123" s="524">
        <f>0.5*(ABS(L122-L121)+ABS(U122-U121)+ABS(AD122-AD121)+ABS(AE122-AE121))</f>
        <v/>
      </c>
      <c r="AI123" s="524">
        <f>L122*F123+U122*O123+AD122*X123+AE122*AG123</f>
        <v/>
      </c>
      <c r="AJ123" s="524">
        <f>AH123*$P$11</f>
        <v/>
      </c>
      <c r="AK123" s="524">
        <f>AI123-AJ123</f>
        <v/>
      </c>
      <c r="AL123" s="368">
        <f>AL122*(1+AK123)</f>
        <v/>
      </c>
      <c r="AM123" s="368">
        <f>MAX($AL$40:AL123)</f>
        <v/>
      </c>
      <c r="AN123" s="524">
        <f>AL123/AM123-1</f>
        <v/>
      </c>
      <c r="AO123" s="526">
        <f>AK123-AG123</f>
        <v/>
      </c>
    </row>
    <row r="124">
      <c r="C124" s="503" t="n">
        <v>43131</v>
      </c>
      <c r="D124" s="368">
        <f>D2538</f>
        <v/>
      </c>
      <c r="E124" s="368">
        <f>H2538</f>
        <v/>
      </c>
      <c r="F124" s="524">
        <f>D124/D123-1</f>
        <v/>
      </c>
      <c r="G124" s="524">
        <f>D124/D121-1</f>
        <v/>
      </c>
      <c r="H124" s="524">
        <f>D124/D118-1</f>
        <v/>
      </c>
      <c r="I124" s="524">
        <f>D124/D112-1</f>
        <v/>
      </c>
      <c r="J124" s="524">
        <f>STDEV.S(F113:F124)*SQRT(12)</f>
        <v/>
      </c>
      <c r="K124" s="368">
        <f>IF(AND(G124&gt;$P$6,H124&gt;$P$7,I124&gt;$P$8,D124&gt;E124,J124&lt;$P$10),1,0)</f>
        <v/>
      </c>
      <c r="L124" s="525">
        <f>IF(SUM(K124,T124,AC124)=0,0,K124/SUM(K124,T124,AC124))</f>
        <v/>
      </c>
      <c r="M124" s="368">
        <f>E2538</f>
        <v/>
      </c>
      <c r="N124" s="368">
        <f>I2538</f>
        <v/>
      </c>
      <c r="O124" s="524">
        <f>M124/M123-1</f>
        <v/>
      </c>
      <c r="P124" s="524">
        <f>M124/M121-1</f>
        <v/>
      </c>
      <c r="Q124" s="524">
        <f>M124/M118-1</f>
        <v/>
      </c>
      <c r="R124" s="524">
        <f>M124/M112-1</f>
        <v/>
      </c>
      <c r="S124" s="524">
        <f>STDEV.S(O113:O124)*SQRT(12)</f>
        <v/>
      </c>
      <c r="T124" s="368">
        <f>IF(AND(P124&gt;$P$6,Q124&gt;$P$7,R124&gt;$P$8,M124&gt;N124,S124&lt;$P$10),1,0)</f>
        <v/>
      </c>
      <c r="U124" s="525">
        <f>IF(SUM(K124,T124,AC124)=0,0,T124/SUM(K124,T124,AC124))</f>
        <v/>
      </c>
      <c r="V124" s="368">
        <f>F2538</f>
        <v/>
      </c>
      <c r="W124" s="368">
        <f>J2538</f>
        <v/>
      </c>
      <c r="X124" s="524">
        <f>V124/V123-1</f>
        <v/>
      </c>
      <c r="Y124" s="524">
        <f>V124/V121-1</f>
        <v/>
      </c>
      <c r="Z124" s="524">
        <f>V124/V118-1</f>
        <v/>
      </c>
      <c r="AA124" s="524">
        <f>V124/V112-1</f>
        <v/>
      </c>
      <c r="AB124" s="524">
        <f>STDEV.S(X113:X124)*SQRT(12)</f>
        <v/>
      </c>
      <c r="AC124" s="368">
        <f>IF(AND(Y124&gt;$P$6,Z124&gt;$P$7,AA124&gt;$P$8,V124&gt;W124,AB124&lt;$P$10),1,0)</f>
        <v/>
      </c>
      <c r="AD124" s="525">
        <f>IF(SUM(K124,T124,AC124)=0,0,AC124/SUM(K124,T124,AC124))</f>
        <v/>
      </c>
      <c r="AE124" s="525">
        <f>IF(SUM(K124,T124,AC124)=0,1,0)</f>
        <v/>
      </c>
      <c r="AF124" s="368">
        <f>G2538</f>
        <v/>
      </c>
      <c r="AG124" s="524">
        <f>AF124/AF123-1</f>
        <v/>
      </c>
      <c r="AH124" s="524">
        <f>0.5*(ABS(L123-L122)+ABS(U123-U122)+ABS(AD123-AD122)+ABS(AE123-AE122))</f>
        <v/>
      </c>
      <c r="AI124" s="524">
        <f>L123*F124+U123*O124+AD123*X124+AE123*AG124</f>
        <v/>
      </c>
      <c r="AJ124" s="524">
        <f>AH124*$P$11</f>
        <v/>
      </c>
      <c r="AK124" s="524">
        <f>AI124-AJ124</f>
        <v/>
      </c>
      <c r="AL124" s="368">
        <f>AL123*(1+AK124)</f>
        <v/>
      </c>
      <c r="AM124" s="368">
        <f>MAX($AL$40:AL124)</f>
        <v/>
      </c>
      <c r="AN124" s="524">
        <f>AL124/AM124-1</f>
        <v/>
      </c>
      <c r="AO124" s="526">
        <f>AK124-AG124</f>
        <v/>
      </c>
    </row>
    <row r="125">
      <c r="C125" s="503" t="n">
        <v>43159</v>
      </c>
      <c r="D125" s="368">
        <f>D2557</f>
        <v/>
      </c>
      <c r="E125" s="368">
        <f>H2557</f>
        <v/>
      </c>
      <c r="F125" s="524">
        <f>D125/D124-1</f>
        <v/>
      </c>
      <c r="G125" s="524">
        <f>D125/D122-1</f>
        <v/>
      </c>
      <c r="H125" s="524">
        <f>D125/D119-1</f>
        <v/>
      </c>
      <c r="I125" s="524">
        <f>D125/D113-1</f>
        <v/>
      </c>
      <c r="J125" s="524">
        <f>STDEV.S(F114:F125)*SQRT(12)</f>
        <v/>
      </c>
      <c r="K125" s="368">
        <f>IF(AND(G125&gt;$P$6,H125&gt;$P$7,I125&gt;$P$8,D125&gt;E125,J125&lt;$P$10),1,0)</f>
        <v/>
      </c>
      <c r="L125" s="525">
        <f>IF(SUM(K125,T125,AC125)=0,0,K125/SUM(K125,T125,AC125))</f>
        <v/>
      </c>
      <c r="M125" s="368">
        <f>E2557</f>
        <v/>
      </c>
      <c r="N125" s="368">
        <f>I2557</f>
        <v/>
      </c>
      <c r="O125" s="524">
        <f>M125/M124-1</f>
        <v/>
      </c>
      <c r="P125" s="524">
        <f>M125/M122-1</f>
        <v/>
      </c>
      <c r="Q125" s="524">
        <f>M125/M119-1</f>
        <v/>
      </c>
      <c r="R125" s="524">
        <f>M125/M113-1</f>
        <v/>
      </c>
      <c r="S125" s="524">
        <f>STDEV.S(O114:O125)*SQRT(12)</f>
        <v/>
      </c>
      <c r="T125" s="368">
        <f>IF(AND(P125&gt;$P$6,Q125&gt;$P$7,R125&gt;$P$8,M125&gt;N125,S125&lt;$P$10),1,0)</f>
        <v/>
      </c>
      <c r="U125" s="525">
        <f>IF(SUM(K125,T125,AC125)=0,0,T125/SUM(K125,T125,AC125))</f>
        <v/>
      </c>
      <c r="V125" s="368">
        <f>F2557</f>
        <v/>
      </c>
      <c r="W125" s="368">
        <f>J2557</f>
        <v/>
      </c>
      <c r="X125" s="524">
        <f>V125/V124-1</f>
        <v/>
      </c>
      <c r="Y125" s="524">
        <f>V125/V122-1</f>
        <v/>
      </c>
      <c r="Z125" s="524">
        <f>V125/V119-1</f>
        <v/>
      </c>
      <c r="AA125" s="524">
        <f>V125/V113-1</f>
        <v/>
      </c>
      <c r="AB125" s="524">
        <f>STDEV.S(X114:X125)*SQRT(12)</f>
        <v/>
      </c>
      <c r="AC125" s="368">
        <f>IF(AND(Y125&gt;$P$6,Z125&gt;$P$7,AA125&gt;$P$8,V125&gt;W125,AB125&lt;$P$10),1,0)</f>
        <v/>
      </c>
      <c r="AD125" s="525">
        <f>IF(SUM(K125,T125,AC125)=0,0,AC125/SUM(K125,T125,AC125))</f>
        <v/>
      </c>
      <c r="AE125" s="525">
        <f>IF(SUM(K125,T125,AC125)=0,1,0)</f>
        <v/>
      </c>
      <c r="AF125" s="368">
        <f>G2557</f>
        <v/>
      </c>
      <c r="AG125" s="524">
        <f>AF125/AF124-1</f>
        <v/>
      </c>
      <c r="AH125" s="524">
        <f>0.5*(ABS(L124-L123)+ABS(U124-U123)+ABS(AD124-AD123)+ABS(AE124-AE123))</f>
        <v/>
      </c>
      <c r="AI125" s="524">
        <f>L124*F125+U124*O125+AD124*X125+AE124*AG125</f>
        <v/>
      </c>
      <c r="AJ125" s="524">
        <f>AH125*$P$11</f>
        <v/>
      </c>
      <c r="AK125" s="524">
        <f>AI125-AJ125</f>
        <v/>
      </c>
      <c r="AL125" s="368">
        <f>AL124*(1+AK125)</f>
        <v/>
      </c>
      <c r="AM125" s="368">
        <f>MAX($AL$40:AL125)</f>
        <v/>
      </c>
      <c r="AN125" s="524">
        <f>AL125/AM125-1</f>
        <v/>
      </c>
      <c r="AO125" s="526">
        <f>AK125-AG125</f>
        <v/>
      </c>
    </row>
    <row r="126">
      <c r="C126" s="503" t="n">
        <v>43190</v>
      </c>
      <c r="D126" s="368">
        <f>D2578</f>
        <v/>
      </c>
      <c r="E126" s="368">
        <f>H2578</f>
        <v/>
      </c>
      <c r="F126" s="524">
        <f>D126/D125-1</f>
        <v/>
      </c>
      <c r="G126" s="524">
        <f>D126/D123-1</f>
        <v/>
      </c>
      <c r="H126" s="524">
        <f>D126/D120-1</f>
        <v/>
      </c>
      <c r="I126" s="524">
        <f>D126/D114-1</f>
        <v/>
      </c>
      <c r="J126" s="524">
        <f>STDEV.S(F115:F126)*SQRT(12)</f>
        <v/>
      </c>
      <c r="K126" s="368">
        <f>IF(AND(G126&gt;$P$6,H126&gt;$P$7,I126&gt;$P$8,D126&gt;E126,J126&lt;$P$10),1,0)</f>
        <v/>
      </c>
      <c r="L126" s="525">
        <f>IF(SUM(K126,T126,AC126)=0,0,K126/SUM(K126,T126,AC126))</f>
        <v/>
      </c>
      <c r="M126" s="368">
        <f>E2578</f>
        <v/>
      </c>
      <c r="N126" s="368">
        <f>I2578</f>
        <v/>
      </c>
      <c r="O126" s="524">
        <f>M126/M125-1</f>
        <v/>
      </c>
      <c r="P126" s="524">
        <f>M126/M123-1</f>
        <v/>
      </c>
      <c r="Q126" s="524">
        <f>M126/M120-1</f>
        <v/>
      </c>
      <c r="R126" s="524">
        <f>M126/M114-1</f>
        <v/>
      </c>
      <c r="S126" s="524">
        <f>STDEV.S(O115:O126)*SQRT(12)</f>
        <v/>
      </c>
      <c r="T126" s="368">
        <f>IF(AND(P126&gt;$P$6,Q126&gt;$P$7,R126&gt;$P$8,M126&gt;N126,S126&lt;$P$10),1,0)</f>
        <v/>
      </c>
      <c r="U126" s="525">
        <f>IF(SUM(K126,T126,AC126)=0,0,T126/SUM(K126,T126,AC126))</f>
        <v/>
      </c>
      <c r="V126" s="368">
        <f>F2578</f>
        <v/>
      </c>
      <c r="W126" s="368">
        <f>J2578</f>
        <v/>
      </c>
      <c r="X126" s="524">
        <f>V126/V125-1</f>
        <v/>
      </c>
      <c r="Y126" s="524">
        <f>V126/V123-1</f>
        <v/>
      </c>
      <c r="Z126" s="524">
        <f>V126/V120-1</f>
        <v/>
      </c>
      <c r="AA126" s="524">
        <f>V126/V114-1</f>
        <v/>
      </c>
      <c r="AB126" s="524">
        <f>STDEV.S(X115:X126)*SQRT(12)</f>
        <v/>
      </c>
      <c r="AC126" s="368">
        <f>IF(AND(Y126&gt;$P$6,Z126&gt;$P$7,AA126&gt;$P$8,V126&gt;W126,AB126&lt;$P$10),1,0)</f>
        <v/>
      </c>
      <c r="AD126" s="525">
        <f>IF(SUM(K126,T126,AC126)=0,0,AC126/SUM(K126,T126,AC126))</f>
        <v/>
      </c>
      <c r="AE126" s="525">
        <f>IF(SUM(K126,T126,AC126)=0,1,0)</f>
        <v/>
      </c>
      <c r="AF126" s="368">
        <f>G2578</f>
        <v/>
      </c>
      <c r="AG126" s="524">
        <f>AF126/AF125-1</f>
        <v/>
      </c>
      <c r="AH126" s="524">
        <f>0.5*(ABS(L125-L124)+ABS(U125-U124)+ABS(AD125-AD124)+ABS(AE125-AE124))</f>
        <v/>
      </c>
      <c r="AI126" s="524">
        <f>L125*F126+U125*O126+AD125*X126+AE125*AG126</f>
        <v/>
      </c>
      <c r="AJ126" s="524">
        <f>AH126*$P$11</f>
        <v/>
      </c>
      <c r="AK126" s="524">
        <f>AI126-AJ126</f>
        <v/>
      </c>
      <c r="AL126" s="368">
        <f>AL125*(1+AK126)</f>
        <v/>
      </c>
      <c r="AM126" s="368">
        <f>MAX($AL$40:AL126)</f>
        <v/>
      </c>
      <c r="AN126" s="524">
        <f>AL126/AM126-1</f>
        <v/>
      </c>
      <c r="AO126" s="526">
        <f>AK126-AG126</f>
        <v/>
      </c>
    </row>
    <row r="127">
      <c r="C127" s="503" t="n">
        <v>43220</v>
      </c>
      <c r="D127" s="368">
        <f>D2599</f>
        <v/>
      </c>
      <c r="E127" s="368">
        <f>H2599</f>
        <v/>
      </c>
      <c r="F127" s="524">
        <f>D127/D126-1</f>
        <v/>
      </c>
      <c r="G127" s="524">
        <f>D127/D124-1</f>
        <v/>
      </c>
      <c r="H127" s="524">
        <f>D127/D121-1</f>
        <v/>
      </c>
      <c r="I127" s="524">
        <f>D127/D115-1</f>
        <v/>
      </c>
      <c r="J127" s="524">
        <f>STDEV.S(F116:F127)*SQRT(12)</f>
        <v/>
      </c>
      <c r="K127" s="368">
        <f>IF(AND(G127&gt;$P$6,H127&gt;$P$7,I127&gt;$P$8,D127&gt;E127,J127&lt;$P$10),1,0)</f>
        <v/>
      </c>
      <c r="L127" s="525">
        <f>IF(SUM(K127,T127,AC127)=0,0,K127/SUM(K127,T127,AC127))</f>
        <v/>
      </c>
      <c r="M127" s="368">
        <f>E2599</f>
        <v/>
      </c>
      <c r="N127" s="368">
        <f>I2599</f>
        <v/>
      </c>
      <c r="O127" s="524">
        <f>M127/M126-1</f>
        <v/>
      </c>
      <c r="P127" s="524">
        <f>M127/M124-1</f>
        <v/>
      </c>
      <c r="Q127" s="524">
        <f>M127/M121-1</f>
        <v/>
      </c>
      <c r="R127" s="524">
        <f>M127/M115-1</f>
        <v/>
      </c>
      <c r="S127" s="524">
        <f>STDEV.S(O116:O127)*SQRT(12)</f>
        <v/>
      </c>
      <c r="T127" s="368">
        <f>IF(AND(P127&gt;$P$6,Q127&gt;$P$7,R127&gt;$P$8,M127&gt;N127,S127&lt;$P$10),1,0)</f>
        <v/>
      </c>
      <c r="U127" s="525">
        <f>IF(SUM(K127,T127,AC127)=0,0,T127/SUM(K127,T127,AC127))</f>
        <v/>
      </c>
      <c r="V127" s="368">
        <f>F2599</f>
        <v/>
      </c>
      <c r="W127" s="368">
        <f>J2599</f>
        <v/>
      </c>
      <c r="X127" s="524">
        <f>V127/V126-1</f>
        <v/>
      </c>
      <c r="Y127" s="524">
        <f>V127/V124-1</f>
        <v/>
      </c>
      <c r="Z127" s="524">
        <f>V127/V121-1</f>
        <v/>
      </c>
      <c r="AA127" s="524">
        <f>V127/V115-1</f>
        <v/>
      </c>
      <c r="AB127" s="524">
        <f>STDEV.S(X116:X127)*SQRT(12)</f>
        <v/>
      </c>
      <c r="AC127" s="368">
        <f>IF(AND(Y127&gt;$P$6,Z127&gt;$P$7,AA127&gt;$P$8,V127&gt;W127,AB127&lt;$P$10),1,0)</f>
        <v/>
      </c>
      <c r="AD127" s="525">
        <f>IF(SUM(K127,T127,AC127)=0,0,AC127/SUM(K127,T127,AC127))</f>
        <v/>
      </c>
      <c r="AE127" s="525">
        <f>IF(SUM(K127,T127,AC127)=0,1,0)</f>
        <v/>
      </c>
      <c r="AF127" s="368">
        <f>G2599</f>
        <v/>
      </c>
      <c r="AG127" s="524">
        <f>AF127/AF126-1</f>
        <v/>
      </c>
      <c r="AH127" s="524">
        <f>0.5*(ABS(L126-L125)+ABS(U126-U125)+ABS(AD126-AD125)+ABS(AE126-AE125))</f>
        <v/>
      </c>
      <c r="AI127" s="524">
        <f>L126*F127+U126*O127+AD126*X127+AE126*AG127</f>
        <v/>
      </c>
      <c r="AJ127" s="524">
        <f>AH127*$P$11</f>
        <v/>
      </c>
      <c r="AK127" s="524">
        <f>AI127-AJ127</f>
        <v/>
      </c>
      <c r="AL127" s="368">
        <f>AL126*(1+AK127)</f>
        <v/>
      </c>
      <c r="AM127" s="368">
        <f>MAX($AL$40:AL127)</f>
        <v/>
      </c>
      <c r="AN127" s="524">
        <f>AL127/AM127-1</f>
        <v/>
      </c>
      <c r="AO127" s="526">
        <f>AK127-AG127</f>
        <v/>
      </c>
    </row>
    <row r="128">
      <c r="C128" s="503" t="n">
        <v>43251</v>
      </c>
      <c r="D128" s="368">
        <f>D2621</f>
        <v/>
      </c>
      <c r="E128" s="368">
        <f>H2621</f>
        <v/>
      </c>
      <c r="F128" s="524">
        <f>D128/D127-1</f>
        <v/>
      </c>
      <c r="G128" s="524">
        <f>D128/D125-1</f>
        <v/>
      </c>
      <c r="H128" s="524">
        <f>D128/D122-1</f>
        <v/>
      </c>
      <c r="I128" s="524">
        <f>D128/D116-1</f>
        <v/>
      </c>
      <c r="J128" s="524">
        <f>STDEV.S(F117:F128)*SQRT(12)</f>
        <v/>
      </c>
      <c r="K128" s="368">
        <f>IF(AND(G128&gt;$P$6,H128&gt;$P$7,I128&gt;$P$8,D128&gt;E128,J128&lt;$P$10),1,0)</f>
        <v/>
      </c>
      <c r="L128" s="525">
        <f>IF(SUM(K128,T128,AC128)=0,0,K128/SUM(K128,T128,AC128))</f>
        <v/>
      </c>
      <c r="M128" s="368">
        <f>E2621</f>
        <v/>
      </c>
      <c r="N128" s="368">
        <f>I2621</f>
        <v/>
      </c>
      <c r="O128" s="524">
        <f>M128/M127-1</f>
        <v/>
      </c>
      <c r="P128" s="524">
        <f>M128/M125-1</f>
        <v/>
      </c>
      <c r="Q128" s="524">
        <f>M128/M122-1</f>
        <v/>
      </c>
      <c r="R128" s="524">
        <f>M128/M116-1</f>
        <v/>
      </c>
      <c r="S128" s="524">
        <f>STDEV.S(O117:O128)*SQRT(12)</f>
        <v/>
      </c>
      <c r="T128" s="368">
        <f>IF(AND(P128&gt;$P$6,Q128&gt;$P$7,R128&gt;$P$8,M128&gt;N128,S128&lt;$P$10),1,0)</f>
        <v/>
      </c>
      <c r="U128" s="525">
        <f>IF(SUM(K128,T128,AC128)=0,0,T128/SUM(K128,T128,AC128))</f>
        <v/>
      </c>
      <c r="V128" s="368">
        <f>F2621</f>
        <v/>
      </c>
      <c r="W128" s="368">
        <f>J2621</f>
        <v/>
      </c>
      <c r="X128" s="524">
        <f>V128/V127-1</f>
        <v/>
      </c>
      <c r="Y128" s="524">
        <f>V128/V125-1</f>
        <v/>
      </c>
      <c r="Z128" s="524">
        <f>V128/V122-1</f>
        <v/>
      </c>
      <c r="AA128" s="524">
        <f>V128/V116-1</f>
        <v/>
      </c>
      <c r="AB128" s="524">
        <f>STDEV.S(X117:X128)*SQRT(12)</f>
        <v/>
      </c>
      <c r="AC128" s="368">
        <f>IF(AND(Y128&gt;$P$6,Z128&gt;$P$7,AA128&gt;$P$8,V128&gt;W128,AB128&lt;$P$10),1,0)</f>
        <v/>
      </c>
      <c r="AD128" s="525">
        <f>IF(SUM(K128,T128,AC128)=0,0,AC128/SUM(K128,T128,AC128))</f>
        <v/>
      </c>
      <c r="AE128" s="525">
        <f>IF(SUM(K128,T128,AC128)=0,1,0)</f>
        <v/>
      </c>
      <c r="AF128" s="368">
        <f>G2621</f>
        <v/>
      </c>
      <c r="AG128" s="524">
        <f>AF128/AF127-1</f>
        <v/>
      </c>
      <c r="AH128" s="524">
        <f>0.5*(ABS(L127-L126)+ABS(U127-U126)+ABS(AD127-AD126)+ABS(AE127-AE126))</f>
        <v/>
      </c>
      <c r="AI128" s="524">
        <f>L127*F128+U127*O128+AD127*X128+AE127*AG128</f>
        <v/>
      </c>
      <c r="AJ128" s="524">
        <f>AH128*$P$11</f>
        <v/>
      </c>
      <c r="AK128" s="524">
        <f>AI128-AJ128</f>
        <v/>
      </c>
      <c r="AL128" s="368">
        <f>AL127*(1+AK128)</f>
        <v/>
      </c>
      <c r="AM128" s="368">
        <f>MAX($AL$40:AL128)</f>
        <v/>
      </c>
      <c r="AN128" s="524">
        <f>AL128/AM128-1</f>
        <v/>
      </c>
      <c r="AO128" s="526">
        <f>AK128-AG128</f>
        <v/>
      </c>
    </row>
    <row r="129">
      <c r="C129" s="503" t="n">
        <v>43281</v>
      </c>
      <c r="D129" s="368">
        <f>D2642</f>
        <v/>
      </c>
      <c r="E129" s="368">
        <f>H2642</f>
        <v/>
      </c>
      <c r="F129" s="524">
        <f>D129/D128-1</f>
        <v/>
      </c>
      <c r="G129" s="524">
        <f>D129/D126-1</f>
        <v/>
      </c>
      <c r="H129" s="524">
        <f>D129/D123-1</f>
        <v/>
      </c>
      <c r="I129" s="524">
        <f>D129/D117-1</f>
        <v/>
      </c>
      <c r="J129" s="524">
        <f>STDEV.S(F118:F129)*SQRT(12)</f>
        <v/>
      </c>
      <c r="K129" s="368">
        <f>IF(AND(G129&gt;$P$6,H129&gt;$P$7,I129&gt;$P$8,D129&gt;E129,J129&lt;$P$10),1,0)</f>
        <v/>
      </c>
      <c r="L129" s="525">
        <f>IF(SUM(K129,T129,AC129)=0,0,K129/SUM(K129,T129,AC129))</f>
        <v/>
      </c>
      <c r="M129" s="368">
        <f>E2642</f>
        <v/>
      </c>
      <c r="N129" s="368">
        <f>I2642</f>
        <v/>
      </c>
      <c r="O129" s="524">
        <f>M129/M128-1</f>
        <v/>
      </c>
      <c r="P129" s="524">
        <f>M129/M126-1</f>
        <v/>
      </c>
      <c r="Q129" s="524">
        <f>M129/M123-1</f>
        <v/>
      </c>
      <c r="R129" s="524">
        <f>M129/M117-1</f>
        <v/>
      </c>
      <c r="S129" s="524">
        <f>STDEV.S(O118:O129)*SQRT(12)</f>
        <v/>
      </c>
      <c r="T129" s="368">
        <f>IF(AND(P129&gt;$P$6,Q129&gt;$P$7,R129&gt;$P$8,M129&gt;N129,S129&lt;$P$10),1,0)</f>
        <v/>
      </c>
      <c r="U129" s="525">
        <f>IF(SUM(K129,T129,AC129)=0,0,T129/SUM(K129,T129,AC129))</f>
        <v/>
      </c>
      <c r="V129" s="368">
        <f>F2642</f>
        <v/>
      </c>
      <c r="W129" s="368">
        <f>J2642</f>
        <v/>
      </c>
      <c r="X129" s="524">
        <f>V129/V128-1</f>
        <v/>
      </c>
      <c r="Y129" s="524">
        <f>V129/V126-1</f>
        <v/>
      </c>
      <c r="Z129" s="524">
        <f>V129/V123-1</f>
        <v/>
      </c>
      <c r="AA129" s="524">
        <f>V129/V117-1</f>
        <v/>
      </c>
      <c r="AB129" s="524">
        <f>STDEV.S(X118:X129)*SQRT(12)</f>
        <v/>
      </c>
      <c r="AC129" s="368">
        <f>IF(AND(Y129&gt;$P$6,Z129&gt;$P$7,AA129&gt;$P$8,V129&gt;W129,AB129&lt;$P$10),1,0)</f>
        <v/>
      </c>
      <c r="AD129" s="525">
        <f>IF(SUM(K129,T129,AC129)=0,0,AC129/SUM(K129,T129,AC129))</f>
        <v/>
      </c>
      <c r="AE129" s="525">
        <f>IF(SUM(K129,T129,AC129)=0,1,0)</f>
        <v/>
      </c>
      <c r="AF129" s="368">
        <f>G2642</f>
        <v/>
      </c>
      <c r="AG129" s="524">
        <f>AF129/AF128-1</f>
        <v/>
      </c>
      <c r="AH129" s="524">
        <f>0.5*(ABS(L128-L127)+ABS(U128-U127)+ABS(AD128-AD127)+ABS(AE128-AE127))</f>
        <v/>
      </c>
      <c r="AI129" s="524">
        <f>L128*F129+U128*O129+AD128*X129+AE128*AG129</f>
        <v/>
      </c>
      <c r="AJ129" s="524">
        <f>AH129*$P$11</f>
        <v/>
      </c>
      <c r="AK129" s="524">
        <f>AI129-AJ129</f>
        <v/>
      </c>
      <c r="AL129" s="368">
        <f>AL128*(1+AK129)</f>
        <v/>
      </c>
      <c r="AM129" s="368">
        <f>MAX($AL$40:AL129)</f>
        <v/>
      </c>
      <c r="AN129" s="524">
        <f>AL129/AM129-1</f>
        <v/>
      </c>
      <c r="AO129" s="526">
        <f>AK129-AG129</f>
        <v/>
      </c>
    </row>
    <row r="130">
      <c r="C130" s="503" t="n">
        <v>43312</v>
      </c>
      <c r="D130" s="368">
        <f>D2663</f>
        <v/>
      </c>
      <c r="E130" s="368">
        <f>H2663</f>
        <v/>
      </c>
      <c r="F130" s="524">
        <f>D130/D129-1</f>
        <v/>
      </c>
      <c r="G130" s="524">
        <f>D130/D127-1</f>
        <v/>
      </c>
      <c r="H130" s="524">
        <f>D130/D124-1</f>
        <v/>
      </c>
      <c r="I130" s="524">
        <f>D130/D118-1</f>
        <v/>
      </c>
      <c r="J130" s="524">
        <f>STDEV.S(F119:F130)*SQRT(12)</f>
        <v/>
      </c>
      <c r="K130" s="368">
        <f>IF(AND(G130&gt;$P$6,H130&gt;$P$7,I130&gt;$P$8,D130&gt;E130,J130&lt;$P$10),1,0)</f>
        <v/>
      </c>
      <c r="L130" s="525">
        <f>IF(SUM(K130,T130,AC130)=0,0,K130/SUM(K130,T130,AC130))</f>
        <v/>
      </c>
      <c r="M130" s="368">
        <f>E2663</f>
        <v/>
      </c>
      <c r="N130" s="368">
        <f>I2663</f>
        <v/>
      </c>
      <c r="O130" s="524">
        <f>M130/M129-1</f>
        <v/>
      </c>
      <c r="P130" s="524">
        <f>M130/M127-1</f>
        <v/>
      </c>
      <c r="Q130" s="524">
        <f>M130/M124-1</f>
        <v/>
      </c>
      <c r="R130" s="524">
        <f>M130/M118-1</f>
        <v/>
      </c>
      <c r="S130" s="524">
        <f>STDEV.S(O119:O130)*SQRT(12)</f>
        <v/>
      </c>
      <c r="T130" s="368">
        <f>IF(AND(P130&gt;$P$6,Q130&gt;$P$7,R130&gt;$P$8,M130&gt;N130,S130&lt;$P$10),1,0)</f>
        <v/>
      </c>
      <c r="U130" s="525">
        <f>IF(SUM(K130,T130,AC130)=0,0,T130/SUM(K130,T130,AC130))</f>
        <v/>
      </c>
      <c r="V130" s="368">
        <f>F2663</f>
        <v/>
      </c>
      <c r="W130" s="368">
        <f>J2663</f>
        <v/>
      </c>
      <c r="X130" s="524">
        <f>V130/V129-1</f>
        <v/>
      </c>
      <c r="Y130" s="524">
        <f>V130/V127-1</f>
        <v/>
      </c>
      <c r="Z130" s="524">
        <f>V130/V124-1</f>
        <v/>
      </c>
      <c r="AA130" s="524">
        <f>V130/V118-1</f>
        <v/>
      </c>
      <c r="AB130" s="524">
        <f>STDEV.S(X119:X130)*SQRT(12)</f>
        <v/>
      </c>
      <c r="AC130" s="368">
        <f>IF(AND(Y130&gt;$P$6,Z130&gt;$P$7,AA130&gt;$P$8,V130&gt;W130,AB130&lt;$P$10),1,0)</f>
        <v/>
      </c>
      <c r="AD130" s="525">
        <f>IF(SUM(K130,T130,AC130)=0,0,AC130/SUM(K130,T130,AC130))</f>
        <v/>
      </c>
      <c r="AE130" s="525">
        <f>IF(SUM(K130,T130,AC130)=0,1,0)</f>
        <v/>
      </c>
      <c r="AF130" s="368">
        <f>G2663</f>
        <v/>
      </c>
      <c r="AG130" s="524">
        <f>AF130/AF129-1</f>
        <v/>
      </c>
      <c r="AH130" s="524">
        <f>0.5*(ABS(L129-L128)+ABS(U129-U128)+ABS(AD129-AD128)+ABS(AE129-AE128))</f>
        <v/>
      </c>
      <c r="AI130" s="524">
        <f>L129*F130+U129*O130+AD129*X130+AE129*AG130</f>
        <v/>
      </c>
      <c r="AJ130" s="524">
        <f>AH130*$P$11</f>
        <v/>
      </c>
      <c r="AK130" s="524">
        <f>AI130-AJ130</f>
        <v/>
      </c>
      <c r="AL130" s="368">
        <f>AL129*(1+AK130)</f>
        <v/>
      </c>
      <c r="AM130" s="368">
        <f>MAX($AL$40:AL130)</f>
        <v/>
      </c>
      <c r="AN130" s="524">
        <f>AL130/AM130-1</f>
        <v/>
      </c>
      <c r="AO130" s="526">
        <f>AK130-AG130</f>
        <v/>
      </c>
    </row>
    <row r="131">
      <c r="C131" s="503" t="n">
        <v>43343</v>
      </c>
      <c r="D131" s="368">
        <f>D2686</f>
        <v/>
      </c>
      <c r="E131" s="368">
        <f>H2686</f>
        <v/>
      </c>
      <c r="F131" s="524">
        <f>D131/D130-1</f>
        <v/>
      </c>
      <c r="G131" s="524">
        <f>D131/D128-1</f>
        <v/>
      </c>
      <c r="H131" s="524">
        <f>D131/D125-1</f>
        <v/>
      </c>
      <c r="I131" s="524">
        <f>D131/D119-1</f>
        <v/>
      </c>
      <c r="J131" s="524">
        <f>STDEV.S(F120:F131)*SQRT(12)</f>
        <v/>
      </c>
      <c r="K131" s="368">
        <f>IF(AND(G131&gt;$P$6,H131&gt;$P$7,I131&gt;$P$8,D131&gt;E131,J131&lt;$P$10),1,0)</f>
        <v/>
      </c>
      <c r="L131" s="525">
        <f>IF(SUM(K131,T131,AC131)=0,0,K131/SUM(K131,T131,AC131))</f>
        <v/>
      </c>
      <c r="M131" s="368">
        <f>E2686</f>
        <v/>
      </c>
      <c r="N131" s="368">
        <f>I2686</f>
        <v/>
      </c>
      <c r="O131" s="524">
        <f>M131/M130-1</f>
        <v/>
      </c>
      <c r="P131" s="524">
        <f>M131/M128-1</f>
        <v/>
      </c>
      <c r="Q131" s="524">
        <f>M131/M125-1</f>
        <v/>
      </c>
      <c r="R131" s="524">
        <f>M131/M119-1</f>
        <v/>
      </c>
      <c r="S131" s="524">
        <f>STDEV.S(O120:O131)*SQRT(12)</f>
        <v/>
      </c>
      <c r="T131" s="368">
        <f>IF(AND(P131&gt;$P$6,Q131&gt;$P$7,R131&gt;$P$8,M131&gt;N131,S131&lt;$P$10),1,0)</f>
        <v/>
      </c>
      <c r="U131" s="525">
        <f>IF(SUM(K131,T131,AC131)=0,0,T131/SUM(K131,T131,AC131))</f>
        <v/>
      </c>
      <c r="V131" s="368">
        <f>F2686</f>
        <v/>
      </c>
      <c r="W131" s="368">
        <f>J2686</f>
        <v/>
      </c>
      <c r="X131" s="524">
        <f>V131/V130-1</f>
        <v/>
      </c>
      <c r="Y131" s="524">
        <f>V131/V128-1</f>
        <v/>
      </c>
      <c r="Z131" s="524">
        <f>V131/V125-1</f>
        <v/>
      </c>
      <c r="AA131" s="524">
        <f>V131/V119-1</f>
        <v/>
      </c>
      <c r="AB131" s="524">
        <f>STDEV.S(X120:X131)*SQRT(12)</f>
        <v/>
      </c>
      <c r="AC131" s="368">
        <f>IF(AND(Y131&gt;$P$6,Z131&gt;$P$7,AA131&gt;$P$8,V131&gt;W131,AB131&lt;$P$10),1,0)</f>
        <v/>
      </c>
      <c r="AD131" s="525">
        <f>IF(SUM(K131,T131,AC131)=0,0,AC131/SUM(K131,T131,AC131))</f>
        <v/>
      </c>
      <c r="AE131" s="525">
        <f>IF(SUM(K131,T131,AC131)=0,1,0)</f>
        <v/>
      </c>
      <c r="AF131" s="368">
        <f>G2686</f>
        <v/>
      </c>
      <c r="AG131" s="524">
        <f>AF131/AF130-1</f>
        <v/>
      </c>
      <c r="AH131" s="524">
        <f>0.5*(ABS(L130-L129)+ABS(U130-U129)+ABS(AD130-AD129)+ABS(AE130-AE129))</f>
        <v/>
      </c>
      <c r="AI131" s="524">
        <f>L130*F131+U130*O131+AD130*X131+AE130*AG131</f>
        <v/>
      </c>
      <c r="AJ131" s="524">
        <f>AH131*$P$11</f>
        <v/>
      </c>
      <c r="AK131" s="524">
        <f>AI131-AJ131</f>
        <v/>
      </c>
      <c r="AL131" s="368">
        <f>AL130*(1+AK131)</f>
        <v/>
      </c>
      <c r="AM131" s="368">
        <f>MAX($AL$40:AL131)</f>
        <v/>
      </c>
      <c r="AN131" s="524">
        <f>AL131/AM131-1</f>
        <v/>
      </c>
      <c r="AO131" s="526">
        <f>AK131-AG131</f>
        <v/>
      </c>
    </row>
    <row r="132">
      <c r="C132" s="503" t="n">
        <v>43373</v>
      </c>
      <c r="D132" s="368">
        <f>D2705</f>
        <v/>
      </c>
      <c r="E132" s="368">
        <f>H2705</f>
        <v/>
      </c>
      <c r="F132" s="524">
        <f>D132/D131-1</f>
        <v/>
      </c>
      <c r="G132" s="524">
        <f>D132/D129-1</f>
        <v/>
      </c>
      <c r="H132" s="524">
        <f>D132/D126-1</f>
        <v/>
      </c>
      <c r="I132" s="524">
        <f>D132/D120-1</f>
        <v/>
      </c>
      <c r="J132" s="524">
        <f>STDEV.S(F121:F132)*SQRT(12)</f>
        <v/>
      </c>
      <c r="K132" s="368">
        <f>IF(AND(G132&gt;$P$6,H132&gt;$P$7,I132&gt;$P$8,D132&gt;E132,J132&lt;$P$10),1,0)</f>
        <v/>
      </c>
      <c r="L132" s="525">
        <f>IF(SUM(K132,T132,AC132)=0,0,K132/SUM(K132,T132,AC132))</f>
        <v/>
      </c>
      <c r="M132" s="368">
        <f>E2705</f>
        <v/>
      </c>
      <c r="N132" s="368">
        <f>I2705</f>
        <v/>
      </c>
      <c r="O132" s="524">
        <f>M132/M131-1</f>
        <v/>
      </c>
      <c r="P132" s="524">
        <f>M132/M129-1</f>
        <v/>
      </c>
      <c r="Q132" s="524">
        <f>M132/M126-1</f>
        <v/>
      </c>
      <c r="R132" s="524">
        <f>M132/M120-1</f>
        <v/>
      </c>
      <c r="S132" s="524">
        <f>STDEV.S(O121:O132)*SQRT(12)</f>
        <v/>
      </c>
      <c r="T132" s="368">
        <f>IF(AND(P132&gt;$P$6,Q132&gt;$P$7,R132&gt;$P$8,M132&gt;N132,S132&lt;$P$10),1,0)</f>
        <v/>
      </c>
      <c r="U132" s="525">
        <f>IF(SUM(K132,T132,AC132)=0,0,T132/SUM(K132,T132,AC132))</f>
        <v/>
      </c>
      <c r="V132" s="368">
        <f>F2705</f>
        <v/>
      </c>
      <c r="W132" s="368">
        <f>J2705</f>
        <v/>
      </c>
      <c r="X132" s="524">
        <f>V132/V131-1</f>
        <v/>
      </c>
      <c r="Y132" s="524">
        <f>V132/V129-1</f>
        <v/>
      </c>
      <c r="Z132" s="524">
        <f>V132/V126-1</f>
        <v/>
      </c>
      <c r="AA132" s="524">
        <f>V132/V120-1</f>
        <v/>
      </c>
      <c r="AB132" s="524">
        <f>STDEV.S(X121:X132)*SQRT(12)</f>
        <v/>
      </c>
      <c r="AC132" s="368">
        <f>IF(AND(Y132&gt;$P$6,Z132&gt;$P$7,AA132&gt;$P$8,V132&gt;W132,AB132&lt;$P$10),1,0)</f>
        <v/>
      </c>
      <c r="AD132" s="525">
        <f>IF(SUM(K132,T132,AC132)=0,0,AC132/SUM(K132,T132,AC132))</f>
        <v/>
      </c>
      <c r="AE132" s="525">
        <f>IF(SUM(K132,T132,AC132)=0,1,0)</f>
        <v/>
      </c>
      <c r="AF132" s="368">
        <f>G2705</f>
        <v/>
      </c>
      <c r="AG132" s="524">
        <f>AF132/AF131-1</f>
        <v/>
      </c>
      <c r="AH132" s="524">
        <f>0.5*(ABS(L131-L130)+ABS(U131-U130)+ABS(AD131-AD130)+ABS(AE131-AE130))</f>
        <v/>
      </c>
      <c r="AI132" s="524">
        <f>L131*F132+U131*O132+AD131*X132+AE131*AG132</f>
        <v/>
      </c>
      <c r="AJ132" s="524">
        <f>AH132*$P$11</f>
        <v/>
      </c>
      <c r="AK132" s="524">
        <f>AI132-AJ132</f>
        <v/>
      </c>
      <c r="AL132" s="368">
        <f>AL131*(1+AK132)</f>
        <v/>
      </c>
      <c r="AM132" s="368">
        <f>MAX($AL$40:AL132)</f>
        <v/>
      </c>
      <c r="AN132" s="524">
        <f>AL132/AM132-1</f>
        <v/>
      </c>
      <c r="AO132" s="526">
        <f>AK132-AG132</f>
        <v/>
      </c>
    </row>
    <row r="133">
      <c r="C133" s="503" t="n">
        <v>43404</v>
      </c>
      <c r="D133" s="368">
        <f>D2728</f>
        <v/>
      </c>
      <c r="E133" s="368">
        <f>H2728</f>
        <v/>
      </c>
      <c r="F133" s="524">
        <f>D133/D132-1</f>
        <v/>
      </c>
      <c r="G133" s="524">
        <f>D133/D130-1</f>
        <v/>
      </c>
      <c r="H133" s="524">
        <f>D133/D127-1</f>
        <v/>
      </c>
      <c r="I133" s="524">
        <f>D133/D121-1</f>
        <v/>
      </c>
      <c r="J133" s="524">
        <f>STDEV.S(F122:F133)*SQRT(12)</f>
        <v/>
      </c>
      <c r="K133" s="368">
        <f>IF(AND(G133&gt;$P$6,H133&gt;$P$7,I133&gt;$P$8,D133&gt;E133,J133&lt;$P$10),1,0)</f>
        <v/>
      </c>
      <c r="L133" s="525">
        <f>IF(SUM(K133,T133,AC133)=0,0,K133/SUM(K133,T133,AC133))</f>
        <v/>
      </c>
      <c r="M133" s="368">
        <f>E2728</f>
        <v/>
      </c>
      <c r="N133" s="368">
        <f>I2728</f>
        <v/>
      </c>
      <c r="O133" s="524">
        <f>M133/M132-1</f>
        <v/>
      </c>
      <c r="P133" s="524">
        <f>M133/M130-1</f>
        <v/>
      </c>
      <c r="Q133" s="524">
        <f>M133/M127-1</f>
        <v/>
      </c>
      <c r="R133" s="524">
        <f>M133/M121-1</f>
        <v/>
      </c>
      <c r="S133" s="524">
        <f>STDEV.S(O122:O133)*SQRT(12)</f>
        <v/>
      </c>
      <c r="T133" s="368">
        <f>IF(AND(P133&gt;$P$6,Q133&gt;$P$7,R133&gt;$P$8,M133&gt;N133,S133&lt;$P$10),1,0)</f>
        <v/>
      </c>
      <c r="U133" s="525">
        <f>IF(SUM(K133,T133,AC133)=0,0,T133/SUM(K133,T133,AC133))</f>
        <v/>
      </c>
      <c r="V133" s="368">
        <f>F2728</f>
        <v/>
      </c>
      <c r="W133" s="368">
        <f>J2728</f>
        <v/>
      </c>
      <c r="X133" s="524">
        <f>V133/V132-1</f>
        <v/>
      </c>
      <c r="Y133" s="524">
        <f>V133/V130-1</f>
        <v/>
      </c>
      <c r="Z133" s="524">
        <f>V133/V127-1</f>
        <v/>
      </c>
      <c r="AA133" s="524">
        <f>V133/V121-1</f>
        <v/>
      </c>
      <c r="AB133" s="524">
        <f>STDEV.S(X122:X133)*SQRT(12)</f>
        <v/>
      </c>
      <c r="AC133" s="368">
        <f>IF(AND(Y133&gt;$P$6,Z133&gt;$P$7,AA133&gt;$P$8,V133&gt;W133,AB133&lt;$P$10),1,0)</f>
        <v/>
      </c>
      <c r="AD133" s="525">
        <f>IF(SUM(K133,T133,AC133)=0,0,AC133/SUM(K133,T133,AC133))</f>
        <v/>
      </c>
      <c r="AE133" s="525">
        <f>IF(SUM(K133,T133,AC133)=0,1,0)</f>
        <v/>
      </c>
      <c r="AF133" s="368">
        <f>G2728</f>
        <v/>
      </c>
      <c r="AG133" s="524">
        <f>AF133/AF132-1</f>
        <v/>
      </c>
      <c r="AH133" s="524">
        <f>0.5*(ABS(L132-L131)+ABS(U132-U131)+ABS(AD132-AD131)+ABS(AE132-AE131))</f>
        <v/>
      </c>
      <c r="AI133" s="524">
        <f>L132*F133+U132*O133+AD132*X133+AE132*AG133</f>
        <v/>
      </c>
      <c r="AJ133" s="524">
        <f>AH133*$P$11</f>
        <v/>
      </c>
      <c r="AK133" s="524">
        <f>AI133-AJ133</f>
        <v/>
      </c>
      <c r="AL133" s="368">
        <f>AL132*(1+AK133)</f>
        <v/>
      </c>
      <c r="AM133" s="368">
        <f>MAX($AL$40:AL133)</f>
        <v/>
      </c>
      <c r="AN133" s="524">
        <f>AL133/AM133-1</f>
        <v/>
      </c>
      <c r="AO133" s="526">
        <f>AK133-AG133</f>
        <v/>
      </c>
    </row>
    <row r="134">
      <c r="C134" s="503" t="n">
        <v>43434</v>
      </c>
      <c r="D134" s="368">
        <f>D2749</f>
        <v/>
      </c>
      <c r="E134" s="368">
        <f>H2749</f>
        <v/>
      </c>
      <c r="F134" s="524">
        <f>D134/D133-1</f>
        <v/>
      </c>
      <c r="G134" s="524">
        <f>D134/D131-1</f>
        <v/>
      </c>
      <c r="H134" s="524">
        <f>D134/D128-1</f>
        <v/>
      </c>
      <c r="I134" s="524">
        <f>D134/D122-1</f>
        <v/>
      </c>
      <c r="J134" s="524">
        <f>STDEV.S(F123:F134)*SQRT(12)</f>
        <v/>
      </c>
      <c r="K134" s="368">
        <f>IF(AND(G134&gt;$P$6,H134&gt;$P$7,I134&gt;$P$8,D134&gt;E134,J134&lt;$P$10),1,0)</f>
        <v/>
      </c>
      <c r="L134" s="525">
        <f>IF(SUM(K134,T134,AC134)=0,0,K134/SUM(K134,T134,AC134))</f>
        <v/>
      </c>
      <c r="M134" s="368">
        <f>E2749</f>
        <v/>
      </c>
      <c r="N134" s="368">
        <f>I2749</f>
        <v/>
      </c>
      <c r="O134" s="524">
        <f>M134/M133-1</f>
        <v/>
      </c>
      <c r="P134" s="524">
        <f>M134/M131-1</f>
        <v/>
      </c>
      <c r="Q134" s="524">
        <f>M134/M128-1</f>
        <v/>
      </c>
      <c r="R134" s="524">
        <f>M134/M122-1</f>
        <v/>
      </c>
      <c r="S134" s="524">
        <f>STDEV.S(O123:O134)*SQRT(12)</f>
        <v/>
      </c>
      <c r="T134" s="368">
        <f>IF(AND(P134&gt;$P$6,Q134&gt;$P$7,R134&gt;$P$8,M134&gt;N134,S134&lt;$P$10),1,0)</f>
        <v/>
      </c>
      <c r="U134" s="525">
        <f>IF(SUM(K134,T134,AC134)=0,0,T134/SUM(K134,T134,AC134))</f>
        <v/>
      </c>
      <c r="V134" s="368">
        <f>F2749</f>
        <v/>
      </c>
      <c r="W134" s="368">
        <f>J2749</f>
        <v/>
      </c>
      <c r="X134" s="524">
        <f>V134/V133-1</f>
        <v/>
      </c>
      <c r="Y134" s="524">
        <f>V134/V131-1</f>
        <v/>
      </c>
      <c r="Z134" s="524">
        <f>V134/V128-1</f>
        <v/>
      </c>
      <c r="AA134" s="524">
        <f>V134/V122-1</f>
        <v/>
      </c>
      <c r="AB134" s="524">
        <f>STDEV.S(X123:X134)*SQRT(12)</f>
        <v/>
      </c>
      <c r="AC134" s="368">
        <f>IF(AND(Y134&gt;$P$6,Z134&gt;$P$7,AA134&gt;$P$8,V134&gt;W134,AB134&lt;$P$10),1,0)</f>
        <v/>
      </c>
      <c r="AD134" s="525">
        <f>IF(SUM(K134,T134,AC134)=0,0,AC134/SUM(K134,T134,AC134))</f>
        <v/>
      </c>
      <c r="AE134" s="525">
        <f>IF(SUM(K134,T134,AC134)=0,1,0)</f>
        <v/>
      </c>
      <c r="AF134" s="368">
        <f>G2749</f>
        <v/>
      </c>
      <c r="AG134" s="524">
        <f>AF134/AF133-1</f>
        <v/>
      </c>
      <c r="AH134" s="524">
        <f>0.5*(ABS(L133-L132)+ABS(U133-U132)+ABS(AD133-AD132)+ABS(AE133-AE132))</f>
        <v/>
      </c>
      <c r="AI134" s="524">
        <f>L133*F134+U133*O134+AD133*X134+AE133*AG134</f>
        <v/>
      </c>
      <c r="AJ134" s="524">
        <f>AH134*$P$11</f>
        <v/>
      </c>
      <c r="AK134" s="524">
        <f>AI134-AJ134</f>
        <v/>
      </c>
      <c r="AL134" s="368">
        <f>AL133*(1+AK134)</f>
        <v/>
      </c>
      <c r="AM134" s="368">
        <f>MAX($AL$40:AL134)</f>
        <v/>
      </c>
      <c r="AN134" s="524">
        <f>AL134/AM134-1</f>
        <v/>
      </c>
      <c r="AO134" s="526">
        <f>AK134-AG134</f>
        <v/>
      </c>
    </row>
    <row r="135">
      <c r="C135" s="503" t="n">
        <v>43465</v>
      </c>
      <c r="D135" s="368">
        <f>D2768</f>
        <v/>
      </c>
      <c r="E135" s="368">
        <f>H2768</f>
        <v/>
      </c>
      <c r="F135" s="524">
        <f>D135/D134-1</f>
        <v/>
      </c>
      <c r="G135" s="524">
        <f>D135/D132-1</f>
        <v/>
      </c>
      <c r="H135" s="524">
        <f>D135/D129-1</f>
        <v/>
      </c>
      <c r="I135" s="524">
        <f>D135/D123-1</f>
        <v/>
      </c>
      <c r="J135" s="524">
        <f>STDEV.S(F124:F135)*SQRT(12)</f>
        <v/>
      </c>
      <c r="K135" s="368">
        <f>IF(AND(G135&gt;$P$6,H135&gt;$P$7,I135&gt;$P$8,D135&gt;E135,J135&lt;$P$10),1,0)</f>
        <v/>
      </c>
      <c r="L135" s="525">
        <f>IF(SUM(K135,T135,AC135)=0,0,K135/SUM(K135,T135,AC135))</f>
        <v/>
      </c>
      <c r="M135" s="368">
        <f>E2768</f>
        <v/>
      </c>
      <c r="N135" s="368">
        <f>I2768</f>
        <v/>
      </c>
      <c r="O135" s="524">
        <f>M135/M134-1</f>
        <v/>
      </c>
      <c r="P135" s="524">
        <f>M135/M132-1</f>
        <v/>
      </c>
      <c r="Q135" s="524">
        <f>M135/M129-1</f>
        <v/>
      </c>
      <c r="R135" s="524">
        <f>M135/M123-1</f>
        <v/>
      </c>
      <c r="S135" s="524">
        <f>STDEV.S(O124:O135)*SQRT(12)</f>
        <v/>
      </c>
      <c r="T135" s="368">
        <f>IF(AND(P135&gt;$P$6,Q135&gt;$P$7,R135&gt;$P$8,M135&gt;N135,S135&lt;$P$10),1,0)</f>
        <v/>
      </c>
      <c r="U135" s="525">
        <f>IF(SUM(K135,T135,AC135)=0,0,T135/SUM(K135,T135,AC135))</f>
        <v/>
      </c>
      <c r="V135" s="368">
        <f>F2768</f>
        <v/>
      </c>
      <c r="W135" s="368">
        <f>J2768</f>
        <v/>
      </c>
      <c r="X135" s="524">
        <f>V135/V134-1</f>
        <v/>
      </c>
      <c r="Y135" s="524">
        <f>V135/V132-1</f>
        <v/>
      </c>
      <c r="Z135" s="524">
        <f>V135/V129-1</f>
        <v/>
      </c>
      <c r="AA135" s="524">
        <f>V135/V123-1</f>
        <v/>
      </c>
      <c r="AB135" s="524">
        <f>STDEV.S(X124:X135)*SQRT(12)</f>
        <v/>
      </c>
      <c r="AC135" s="368">
        <f>IF(AND(Y135&gt;$P$6,Z135&gt;$P$7,AA135&gt;$P$8,V135&gt;W135,AB135&lt;$P$10),1,0)</f>
        <v/>
      </c>
      <c r="AD135" s="525">
        <f>IF(SUM(K135,T135,AC135)=0,0,AC135/SUM(K135,T135,AC135))</f>
        <v/>
      </c>
      <c r="AE135" s="525">
        <f>IF(SUM(K135,T135,AC135)=0,1,0)</f>
        <v/>
      </c>
      <c r="AF135" s="368">
        <f>G2768</f>
        <v/>
      </c>
      <c r="AG135" s="524">
        <f>AF135/AF134-1</f>
        <v/>
      </c>
      <c r="AH135" s="524">
        <f>0.5*(ABS(L134-L133)+ABS(U134-U133)+ABS(AD134-AD133)+ABS(AE134-AE133))</f>
        <v/>
      </c>
      <c r="AI135" s="524">
        <f>L134*F135+U134*O135+AD134*X135+AE134*AG135</f>
        <v/>
      </c>
      <c r="AJ135" s="524">
        <f>AH135*$P$11</f>
        <v/>
      </c>
      <c r="AK135" s="524">
        <f>AI135-AJ135</f>
        <v/>
      </c>
      <c r="AL135" s="368">
        <f>AL134*(1+AK135)</f>
        <v/>
      </c>
      <c r="AM135" s="368">
        <f>MAX($AL$40:AL135)</f>
        <v/>
      </c>
      <c r="AN135" s="524">
        <f>AL135/AM135-1</f>
        <v/>
      </c>
      <c r="AO135" s="526">
        <f>AK135-AG135</f>
        <v/>
      </c>
    </row>
    <row r="136">
      <c r="C136" s="503" t="n">
        <v>43496</v>
      </c>
      <c r="D136" s="368">
        <f>D2789</f>
        <v/>
      </c>
      <c r="E136" s="368">
        <f>H2789</f>
        <v/>
      </c>
      <c r="F136" s="524">
        <f>D136/D135-1</f>
        <v/>
      </c>
      <c r="G136" s="524">
        <f>D136/D133-1</f>
        <v/>
      </c>
      <c r="H136" s="524">
        <f>D136/D130-1</f>
        <v/>
      </c>
      <c r="I136" s="524">
        <f>D136/D124-1</f>
        <v/>
      </c>
      <c r="J136" s="524">
        <f>STDEV.S(F125:F136)*SQRT(12)</f>
        <v/>
      </c>
      <c r="K136" s="368">
        <f>IF(AND(G136&gt;$P$6,H136&gt;$P$7,I136&gt;$P$8,D136&gt;E136,J136&lt;$P$10),1,0)</f>
        <v/>
      </c>
      <c r="L136" s="525">
        <f>IF(SUM(K136,T136,AC136)=0,0,K136/SUM(K136,T136,AC136))</f>
        <v/>
      </c>
      <c r="M136" s="368">
        <f>E2789</f>
        <v/>
      </c>
      <c r="N136" s="368">
        <f>I2789</f>
        <v/>
      </c>
      <c r="O136" s="524">
        <f>M136/M135-1</f>
        <v/>
      </c>
      <c r="P136" s="524">
        <f>M136/M133-1</f>
        <v/>
      </c>
      <c r="Q136" s="524">
        <f>M136/M130-1</f>
        <v/>
      </c>
      <c r="R136" s="524">
        <f>M136/M124-1</f>
        <v/>
      </c>
      <c r="S136" s="524">
        <f>STDEV.S(O125:O136)*SQRT(12)</f>
        <v/>
      </c>
      <c r="T136" s="368">
        <f>IF(AND(P136&gt;$P$6,Q136&gt;$P$7,R136&gt;$P$8,M136&gt;N136,S136&lt;$P$10),1,0)</f>
        <v/>
      </c>
      <c r="U136" s="525">
        <f>IF(SUM(K136,T136,AC136)=0,0,T136/SUM(K136,T136,AC136))</f>
        <v/>
      </c>
      <c r="V136" s="368">
        <f>F2789</f>
        <v/>
      </c>
      <c r="W136" s="368">
        <f>J2789</f>
        <v/>
      </c>
      <c r="X136" s="524">
        <f>V136/V135-1</f>
        <v/>
      </c>
      <c r="Y136" s="524">
        <f>V136/V133-1</f>
        <v/>
      </c>
      <c r="Z136" s="524">
        <f>V136/V130-1</f>
        <v/>
      </c>
      <c r="AA136" s="524">
        <f>V136/V124-1</f>
        <v/>
      </c>
      <c r="AB136" s="524">
        <f>STDEV.S(X125:X136)*SQRT(12)</f>
        <v/>
      </c>
      <c r="AC136" s="368">
        <f>IF(AND(Y136&gt;$P$6,Z136&gt;$P$7,AA136&gt;$P$8,V136&gt;W136,AB136&lt;$P$10),1,0)</f>
        <v/>
      </c>
      <c r="AD136" s="525">
        <f>IF(SUM(K136,T136,AC136)=0,0,AC136/SUM(K136,T136,AC136))</f>
        <v/>
      </c>
      <c r="AE136" s="525">
        <f>IF(SUM(K136,T136,AC136)=0,1,0)</f>
        <v/>
      </c>
      <c r="AF136" s="368">
        <f>G2789</f>
        <v/>
      </c>
      <c r="AG136" s="524">
        <f>AF136/AF135-1</f>
        <v/>
      </c>
      <c r="AH136" s="524">
        <f>0.5*(ABS(L135-L134)+ABS(U135-U134)+ABS(AD135-AD134)+ABS(AE135-AE134))</f>
        <v/>
      </c>
      <c r="AI136" s="524">
        <f>L135*F136+U135*O136+AD135*X136+AE135*AG136</f>
        <v/>
      </c>
      <c r="AJ136" s="524">
        <f>AH136*$P$11</f>
        <v/>
      </c>
      <c r="AK136" s="524">
        <f>AI136-AJ136</f>
        <v/>
      </c>
      <c r="AL136" s="368">
        <f>AL135*(1+AK136)</f>
        <v/>
      </c>
      <c r="AM136" s="368">
        <f>MAX($AL$40:AL136)</f>
        <v/>
      </c>
      <c r="AN136" s="524">
        <f>AL136/AM136-1</f>
        <v/>
      </c>
      <c r="AO136" s="526">
        <f>AK136-AG136</f>
        <v/>
      </c>
    </row>
    <row r="137">
      <c r="C137" s="503" t="n">
        <v>43524</v>
      </c>
      <c r="D137" s="368">
        <f>D2808</f>
        <v/>
      </c>
      <c r="E137" s="368">
        <f>H2808</f>
        <v/>
      </c>
      <c r="F137" s="524">
        <f>D137/D136-1</f>
        <v/>
      </c>
      <c r="G137" s="524">
        <f>D137/D134-1</f>
        <v/>
      </c>
      <c r="H137" s="524">
        <f>D137/D131-1</f>
        <v/>
      </c>
      <c r="I137" s="524">
        <f>D137/D125-1</f>
        <v/>
      </c>
      <c r="J137" s="524">
        <f>STDEV.S(F126:F137)*SQRT(12)</f>
        <v/>
      </c>
      <c r="K137" s="368">
        <f>IF(AND(G137&gt;$P$6,H137&gt;$P$7,I137&gt;$P$8,D137&gt;E137,J137&lt;$P$10),1,0)</f>
        <v/>
      </c>
      <c r="L137" s="525">
        <f>IF(SUM(K137,T137,AC137)=0,0,K137/SUM(K137,T137,AC137))</f>
        <v/>
      </c>
      <c r="M137" s="368">
        <f>E2808</f>
        <v/>
      </c>
      <c r="N137" s="368">
        <f>I2808</f>
        <v/>
      </c>
      <c r="O137" s="524">
        <f>M137/M136-1</f>
        <v/>
      </c>
      <c r="P137" s="524">
        <f>M137/M134-1</f>
        <v/>
      </c>
      <c r="Q137" s="524">
        <f>M137/M131-1</f>
        <v/>
      </c>
      <c r="R137" s="524">
        <f>M137/M125-1</f>
        <v/>
      </c>
      <c r="S137" s="524">
        <f>STDEV.S(O126:O137)*SQRT(12)</f>
        <v/>
      </c>
      <c r="T137" s="368">
        <f>IF(AND(P137&gt;$P$6,Q137&gt;$P$7,R137&gt;$P$8,M137&gt;N137,S137&lt;$P$10),1,0)</f>
        <v/>
      </c>
      <c r="U137" s="525">
        <f>IF(SUM(K137,T137,AC137)=0,0,T137/SUM(K137,T137,AC137))</f>
        <v/>
      </c>
      <c r="V137" s="368">
        <f>F2808</f>
        <v/>
      </c>
      <c r="W137" s="368">
        <f>J2808</f>
        <v/>
      </c>
      <c r="X137" s="524">
        <f>V137/V136-1</f>
        <v/>
      </c>
      <c r="Y137" s="524">
        <f>V137/V134-1</f>
        <v/>
      </c>
      <c r="Z137" s="524">
        <f>V137/V131-1</f>
        <v/>
      </c>
      <c r="AA137" s="524">
        <f>V137/V125-1</f>
        <v/>
      </c>
      <c r="AB137" s="524">
        <f>STDEV.S(X126:X137)*SQRT(12)</f>
        <v/>
      </c>
      <c r="AC137" s="368">
        <f>IF(AND(Y137&gt;$P$6,Z137&gt;$P$7,AA137&gt;$P$8,V137&gt;W137,AB137&lt;$P$10),1,0)</f>
        <v/>
      </c>
      <c r="AD137" s="525">
        <f>IF(SUM(K137,T137,AC137)=0,0,AC137/SUM(K137,T137,AC137))</f>
        <v/>
      </c>
      <c r="AE137" s="525">
        <f>IF(SUM(K137,T137,AC137)=0,1,0)</f>
        <v/>
      </c>
      <c r="AF137" s="368">
        <f>G2808</f>
        <v/>
      </c>
      <c r="AG137" s="524">
        <f>AF137/AF136-1</f>
        <v/>
      </c>
      <c r="AH137" s="524">
        <f>0.5*(ABS(L136-L135)+ABS(U136-U135)+ABS(AD136-AD135)+ABS(AE136-AE135))</f>
        <v/>
      </c>
      <c r="AI137" s="524">
        <f>L136*F137+U136*O137+AD136*X137+AE136*AG137</f>
        <v/>
      </c>
      <c r="AJ137" s="524">
        <f>AH137*$P$11</f>
        <v/>
      </c>
      <c r="AK137" s="524">
        <f>AI137-AJ137</f>
        <v/>
      </c>
      <c r="AL137" s="368">
        <f>AL136*(1+AK137)</f>
        <v/>
      </c>
      <c r="AM137" s="368">
        <f>MAX($AL$40:AL137)</f>
        <v/>
      </c>
      <c r="AN137" s="524">
        <f>AL137/AM137-1</f>
        <v/>
      </c>
      <c r="AO137" s="526">
        <f>AK137-AG137</f>
        <v/>
      </c>
    </row>
    <row r="138">
      <c r="C138" s="503" t="n">
        <v>43555</v>
      </c>
      <c r="D138" s="368">
        <f>D2829</f>
        <v/>
      </c>
      <c r="E138" s="368">
        <f>H2829</f>
        <v/>
      </c>
      <c r="F138" s="524">
        <f>D138/D137-1</f>
        <v/>
      </c>
      <c r="G138" s="524">
        <f>D138/D135-1</f>
        <v/>
      </c>
      <c r="H138" s="524">
        <f>D138/D132-1</f>
        <v/>
      </c>
      <c r="I138" s="524">
        <f>D138/D126-1</f>
        <v/>
      </c>
      <c r="J138" s="524">
        <f>STDEV.S(F127:F138)*SQRT(12)</f>
        <v/>
      </c>
      <c r="K138" s="368">
        <f>IF(AND(G138&gt;$P$6,H138&gt;$P$7,I138&gt;$P$8,D138&gt;E138,J138&lt;$P$10),1,0)</f>
        <v/>
      </c>
      <c r="L138" s="525">
        <f>IF(SUM(K138,T138,AC138)=0,0,K138/SUM(K138,T138,AC138))</f>
        <v/>
      </c>
      <c r="M138" s="368">
        <f>E2829</f>
        <v/>
      </c>
      <c r="N138" s="368">
        <f>I2829</f>
        <v/>
      </c>
      <c r="O138" s="524">
        <f>M138/M137-1</f>
        <v/>
      </c>
      <c r="P138" s="524">
        <f>M138/M135-1</f>
        <v/>
      </c>
      <c r="Q138" s="524">
        <f>M138/M132-1</f>
        <v/>
      </c>
      <c r="R138" s="524">
        <f>M138/M126-1</f>
        <v/>
      </c>
      <c r="S138" s="524">
        <f>STDEV.S(O127:O138)*SQRT(12)</f>
        <v/>
      </c>
      <c r="T138" s="368">
        <f>IF(AND(P138&gt;$P$6,Q138&gt;$P$7,R138&gt;$P$8,M138&gt;N138,S138&lt;$P$10),1,0)</f>
        <v/>
      </c>
      <c r="U138" s="525">
        <f>IF(SUM(K138,T138,AC138)=0,0,T138/SUM(K138,T138,AC138))</f>
        <v/>
      </c>
      <c r="V138" s="368">
        <f>F2829</f>
        <v/>
      </c>
      <c r="W138" s="368">
        <f>J2829</f>
        <v/>
      </c>
      <c r="X138" s="524">
        <f>V138/V137-1</f>
        <v/>
      </c>
      <c r="Y138" s="524">
        <f>V138/V135-1</f>
        <v/>
      </c>
      <c r="Z138" s="524">
        <f>V138/V132-1</f>
        <v/>
      </c>
      <c r="AA138" s="524">
        <f>V138/V126-1</f>
        <v/>
      </c>
      <c r="AB138" s="524">
        <f>STDEV.S(X127:X138)*SQRT(12)</f>
        <v/>
      </c>
      <c r="AC138" s="368">
        <f>IF(AND(Y138&gt;$P$6,Z138&gt;$P$7,AA138&gt;$P$8,V138&gt;W138,AB138&lt;$P$10),1,0)</f>
        <v/>
      </c>
      <c r="AD138" s="525">
        <f>IF(SUM(K138,T138,AC138)=0,0,AC138/SUM(K138,T138,AC138))</f>
        <v/>
      </c>
      <c r="AE138" s="525">
        <f>IF(SUM(K138,T138,AC138)=0,1,0)</f>
        <v/>
      </c>
      <c r="AF138" s="368">
        <f>G2829</f>
        <v/>
      </c>
      <c r="AG138" s="524">
        <f>AF138/AF137-1</f>
        <v/>
      </c>
      <c r="AH138" s="524">
        <f>0.5*(ABS(L137-L136)+ABS(U137-U136)+ABS(AD137-AD136)+ABS(AE137-AE136))</f>
        <v/>
      </c>
      <c r="AI138" s="524">
        <f>L137*F138+U137*O138+AD137*X138+AE137*AG138</f>
        <v/>
      </c>
      <c r="AJ138" s="524">
        <f>AH138*$P$11</f>
        <v/>
      </c>
      <c r="AK138" s="524">
        <f>AI138-AJ138</f>
        <v/>
      </c>
      <c r="AL138" s="368">
        <f>AL137*(1+AK138)</f>
        <v/>
      </c>
      <c r="AM138" s="368">
        <f>MAX($AL$40:AL138)</f>
        <v/>
      </c>
      <c r="AN138" s="524">
        <f>AL138/AM138-1</f>
        <v/>
      </c>
      <c r="AO138" s="526">
        <f>AK138-AG138</f>
        <v/>
      </c>
    </row>
    <row r="139">
      <c r="C139" s="503" t="n">
        <v>43585</v>
      </c>
      <c r="D139" s="368">
        <f>D2850</f>
        <v/>
      </c>
      <c r="E139" s="368">
        <f>H2850</f>
        <v/>
      </c>
      <c r="F139" s="524">
        <f>D139/D138-1</f>
        <v/>
      </c>
      <c r="G139" s="524">
        <f>D139/D136-1</f>
        <v/>
      </c>
      <c r="H139" s="524">
        <f>D139/D133-1</f>
        <v/>
      </c>
      <c r="I139" s="524">
        <f>D139/D127-1</f>
        <v/>
      </c>
      <c r="J139" s="524">
        <f>STDEV.S(F128:F139)*SQRT(12)</f>
        <v/>
      </c>
      <c r="K139" s="368">
        <f>IF(AND(G139&gt;$P$6,H139&gt;$P$7,I139&gt;$P$8,D139&gt;E139,J139&lt;$P$10),1,0)</f>
        <v/>
      </c>
      <c r="L139" s="525">
        <f>IF(SUM(K139,T139,AC139)=0,0,K139/SUM(K139,T139,AC139))</f>
        <v/>
      </c>
      <c r="M139" s="368">
        <f>E2850</f>
        <v/>
      </c>
      <c r="N139" s="368">
        <f>I2850</f>
        <v/>
      </c>
      <c r="O139" s="524">
        <f>M139/M138-1</f>
        <v/>
      </c>
      <c r="P139" s="524">
        <f>M139/M136-1</f>
        <v/>
      </c>
      <c r="Q139" s="524">
        <f>M139/M133-1</f>
        <v/>
      </c>
      <c r="R139" s="524">
        <f>M139/M127-1</f>
        <v/>
      </c>
      <c r="S139" s="524">
        <f>STDEV.S(O128:O139)*SQRT(12)</f>
        <v/>
      </c>
      <c r="T139" s="368">
        <f>IF(AND(P139&gt;$P$6,Q139&gt;$P$7,R139&gt;$P$8,M139&gt;N139,S139&lt;$P$10),1,0)</f>
        <v/>
      </c>
      <c r="U139" s="525">
        <f>IF(SUM(K139,T139,AC139)=0,0,T139/SUM(K139,T139,AC139))</f>
        <v/>
      </c>
      <c r="V139" s="368">
        <f>F2850</f>
        <v/>
      </c>
      <c r="W139" s="368">
        <f>J2850</f>
        <v/>
      </c>
      <c r="X139" s="524">
        <f>V139/V138-1</f>
        <v/>
      </c>
      <c r="Y139" s="524">
        <f>V139/V136-1</f>
        <v/>
      </c>
      <c r="Z139" s="524">
        <f>V139/V133-1</f>
        <v/>
      </c>
      <c r="AA139" s="524">
        <f>V139/V127-1</f>
        <v/>
      </c>
      <c r="AB139" s="524">
        <f>STDEV.S(X128:X139)*SQRT(12)</f>
        <v/>
      </c>
      <c r="AC139" s="368">
        <f>IF(AND(Y139&gt;$P$6,Z139&gt;$P$7,AA139&gt;$P$8,V139&gt;W139,AB139&lt;$P$10),1,0)</f>
        <v/>
      </c>
      <c r="AD139" s="525">
        <f>IF(SUM(K139,T139,AC139)=0,0,AC139/SUM(K139,T139,AC139))</f>
        <v/>
      </c>
      <c r="AE139" s="525">
        <f>IF(SUM(K139,T139,AC139)=0,1,0)</f>
        <v/>
      </c>
      <c r="AF139" s="368">
        <f>G2850</f>
        <v/>
      </c>
      <c r="AG139" s="524">
        <f>AF139/AF138-1</f>
        <v/>
      </c>
      <c r="AH139" s="524">
        <f>0.5*(ABS(L138-L137)+ABS(U138-U137)+ABS(AD138-AD137)+ABS(AE138-AE137))</f>
        <v/>
      </c>
      <c r="AI139" s="524">
        <f>L138*F139+U138*O139+AD138*X139+AE138*AG139</f>
        <v/>
      </c>
      <c r="AJ139" s="524">
        <f>AH139*$P$11</f>
        <v/>
      </c>
      <c r="AK139" s="524">
        <f>AI139-AJ139</f>
        <v/>
      </c>
      <c r="AL139" s="368">
        <f>AL138*(1+AK139)</f>
        <v/>
      </c>
      <c r="AM139" s="368">
        <f>MAX($AL$40:AL139)</f>
        <v/>
      </c>
      <c r="AN139" s="524">
        <f>AL139/AM139-1</f>
        <v/>
      </c>
      <c r="AO139" s="526">
        <f>AK139-AG139</f>
        <v/>
      </c>
    </row>
    <row r="140">
      <c r="C140" s="503" t="n">
        <v>43616</v>
      </c>
      <c r="D140" s="368">
        <f>D2872</f>
        <v/>
      </c>
      <c r="E140" s="368">
        <f>H2872</f>
        <v/>
      </c>
      <c r="F140" s="524">
        <f>D140/D139-1</f>
        <v/>
      </c>
      <c r="G140" s="524">
        <f>D140/D137-1</f>
        <v/>
      </c>
      <c r="H140" s="524">
        <f>D140/D134-1</f>
        <v/>
      </c>
      <c r="I140" s="524">
        <f>D140/D128-1</f>
        <v/>
      </c>
      <c r="J140" s="524">
        <f>STDEV.S(F129:F140)*SQRT(12)</f>
        <v/>
      </c>
      <c r="K140" s="368">
        <f>IF(AND(G140&gt;$P$6,H140&gt;$P$7,I140&gt;$P$8,D140&gt;E140,J140&lt;$P$10),1,0)</f>
        <v/>
      </c>
      <c r="L140" s="525">
        <f>IF(SUM(K140,T140,AC140)=0,0,K140/SUM(K140,T140,AC140))</f>
        <v/>
      </c>
      <c r="M140" s="368">
        <f>E2872</f>
        <v/>
      </c>
      <c r="N140" s="368">
        <f>I2872</f>
        <v/>
      </c>
      <c r="O140" s="524">
        <f>M140/M139-1</f>
        <v/>
      </c>
      <c r="P140" s="524">
        <f>M140/M137-1</f>
        <v/>
      </c>
      <c r="Q140" s="524">
        <f>M140/M134-1</f>
        <v/>
      </c>
      <c r="R140" s="524">
        <f>M140/M128-1</f>
        <v/>
      </c>
      <c r="S140" s="524">
        <f>STDEV.S(O129:O140)*SQRT(12)</f>
        <v/>
      </c>
      <c r="T140" s="368">
        <f>IF(AND(P140&gt;$P$6,Q140&gt;$P$7,R140&gt;$P$8,M140&gt;N140,S140&lt;$P$10),1,0)</f>
        <v/>
      </c>
      <c r="U140" s="525">
        <f>IF(SUM(K140,T140,AC140)=0,0,T140/SUM(K140,T140,AC140))</f>
        <v/>
      </c>
      <c r="V140" s="368">
        <f>F2872</f>
        <v/>
      </c>
      <c r="W140" s="368">
        <f>J2872</f>
        <v/>
      </c>
      <c r="X140" s="524">
        <f>V140/V139-1</f>
        <v/>
      </c>
      <c r="Y140" s="524">
        <f>V140/V137-1</f>
        <v/>
      </c>
      <c r="Z140" s="524">
        <f>V140/V134-1</f>
        <v/>
      </c>
      <c r="AA140" s="524">
        <f>V140/V128-1</f>
        <v/>
      </c>
      <c r="AB140" s="524">
        <f>STDEV.S(X129:X140)*SQRT(12)</f>
        <v/>
      </c>
      <c r="AC140" s="368">
        <f>IF(AND(Y140&gt;$P$6,Z140&gt;$P$7,AA140&gt;$P$8,V140&gt;W140,AB140&lt;$P$10),1,0)</f>
        <v/>
      </c>
      <c r="AD140" s="525">
        <f>IF(SUM(K140,T140,AC140)=0,0,AC140/SUM(K140,T140,AC140))</f>
        <v/>
      </c>
      <c r="AE140" s="525">
        <f>IF(SUM(K140,T140,AC140)=0,1,0)</f>
        <v/>
      </c>
      <c r="AF140" s="368">
        <f>G2872</f>
        <v/>
      </c>
      <c r="AG140" s="524">
        <f>AF140/AF139-1</f>
        <v/>
      </c>
      <c r="AH140" s="524">
        <f>0.5*(ABS(L139-L138)+ABS(U139-U138)+ABS(AD139-AD138)+ABS(AE139-AE138))</f>
        <v/>
      </c>
      <c r="AI140" s="524">
        <f>L139*F140+U139*O140+AD139*X140+AE139*AG140</f>
        <v/>
      </c>
      <c r="AJ140" s="524">
        <f>AH140*$P$11</f>
        <v/>
      </c>
      <c r="AK140" s="524">
        <f>AI140-AJ140</f>
        <v/>
      </c>
      <c r="AL140" s="368">
        <f>AL139*(1+AK140)</f>
        <v/>
      </c>
      <c r="AM140" s="368">
        <f>MAX($AL$40:AL140)</f>
        <v/>
      </c>
      <c r="AN140" s="524">
        <f>AL140/AM140-1</f>
        <v/>
      </c>
      <c r="AO140" s="526">
        <f>AK140-AG140</f>
        <v/>
      </c>
    </row>
    <row r="141">
      <c r="C141" s="503" t="n">
        <v>43646</v>
      </c>
      <c r="D141" s="368">
        <f>D2892</f>
        <v/>
      </c>
      <c r="E141" s="368">
        <f>H2892</f>
        <v/>
      </c>
      <c r="F141" s="524">
        <f>D141/D140-1</f>
        <v/>
      </c>
      <c r="G141" s="524">
        <f>D141/D138-1</f>
        <v/>
      </c>
      <c r="H141" s="524">
        <f>D141/D135-1</f>
        <v/>
      </c>
      <c r="I141" s="524">
        <f>D141/D129-1</f>
        <v/>
      </c>
      <c r="J141" s="524">
        <f>STDEV.S(F130:F141)*SQRT(12)</f>
        <v/>
      </c>
      <c r="K141" s="368">
        <f>IF(AND(G141&gt;$P$6,H141&gt;$P$7,I141&gt;$P$8,D141&gt;E141,J141&lt;$P$10),1,0)</f>
        <v/>
      </c>
      <c r="L141" s="525">
        <f>IF(SUM(K141,T141,AC141)=0,0,K141/SUM(K141,T141,AC141))</f>
        <v/>
      </c>
      <c r="M141" s="368">
        <f>E2892</f>
        <v/>
      </c>
      <c r="N141" s="368">
        <f>I2892</f>
        <v/>
      </c>
      <c r="O141" s="524">
        <f>M141/M140-1</f>
        <v/>
      </c>
      <c r="P141" s="524">
        <f>M141/M138-1</f>
        <v/>
      </c>
      <c r="Q141" s="524">
        <f>M141/M135-1</f>
        <v/>
      </c>
      <c r="R141" s="524">
        <f>M141/M129-1</f>
        <v/>
      </c>
      <c r="S141" s="524">
        <f>STDEV.S(O130:O141)*SQRT(12)</f>
        <v/>
      </c>
      <c r="T141" s="368">
        <f>IF(AND(P141&gt;$P$6,Q141&gt;$P$7,R141&gt;$P$8,M141&gt;N141,S141&lt;$P$10),1,0)</f>
        <v/>
      </c>
      <c r="U141" s="525">
        <f>IF(SUM(K141,T141,AC141)=0,0,T141/SUM(K141,T141,AC141))</f>
        <v/>
      </c>
      <c r="V141" s="368">
        <f>F2892</f>
        <v/>
      </c>
      <c r="W141" s="368">
        <f>J2892</f>
        <v/>
      </c>
      <c r="X141" s="524">
        <f>V141/V140-1</f>
        <v/>
      </c>
      <c r="Y141" s="524">
        <f>V141/V138-1</f>
        <v/>
      </c>
      <c r="Z141" s="524">
        <f>V141/V135-1</f>
        <v/>
      </c>
      <c r="AA141" s="524">
        <f>V141/V129-1</f>
        <v/>
      </c>
      <c r="AB141" s="524">
        <f>STDEV.S(X130:X141)*SQRT(12)</f>
        <v/>
      </c>
      <c r="AC141" s="368">
        <f>IF(AND(Y141&gt;$P$6,Z141&gt;$P$7,AA141&gt;$P$8,V141&gt;W141,AB141&lt;$P$10),1,0)</f>
        <v/>
      </c>
      <c r="AD141" s="525">
        <f>IF(SUM(K141,T141,AC141)=0,0,AC141/SUM(K141,T141,AC141))</f>
        <v/>
      </c>
      <c r="AE141" s="525">
        <f>IF(SUM(K141,T141,AC141)=0,1,0)</f>
        <v/>
      </c>
      <c r="AF141" s="368">
        <f>G2892</f>
        <v/>
      </c>
      <c r="AG141" s="524">
        <f>AF141/AF140-1</f>
        <v/>
      </c>
      <c r="AH141" s="524">
        <f>0.5*(ABS(L140-L139)+ABS(U140-U139)+ABS(AD140-AD139)+ABS(AE140-AE139))</f>
        <v/>
      </c>
      <c r="AI141" s="524">
        <f>L140*F141+U140*O141+AD140*X141+AE140*AG141</f>
        <v/>
      </c>
      <c r="AJ141" s="524">
        <f>AH141*$P$11</f>
        <v/>
      </c>
      <c r="AK141" s="524">
        <f>AI141-AJ141</f>
        <v/>
      </c>
      <c r="AL141" s="368">
        <f>AL140*(1+AK141)</f>
        <v/>
      </c>
      <c r="AM141" s="368">
        <f>MAX($AL$40:AL141)</f>
        <v/>
      </c>
      <c r="AN141" s="524">
        <f>AL141/AM141-1</f>
        <v/>
      </c>
      <c r="AO141" s="526">
        <f>AK141-AG141</f>
        <v/>
      </c>
    </row>
    <row r="142">
      <c r="C142" s="503" t="n">
        <v>43677</v>
      </c>
      <c r="D142" s="368">
        <f>D2914</f>
        <v/>
      </c>
      <c r="E142" s="368">
        <f>H2914</f>
        <v/>
      </c>
      <c r="F142" s="524">
        <f>D142/D141-1</f>
        <v/>
      </c>
      <c r="G142" s="524">
        <f>D142/D139-1</f>
        <v/>
      </c>
      <c r="H142" s="524">
        <f>D142/D136-1</f>
        <v/>
      </c>
      <c r="I142" s="524">
        <f>D142/D130-1</f>
        <v/>
      </c>
      <c r="J142" s="524">
        <f>STDEV.S(F131:F142)*SQRT(12)</f>
        <v/>
      </c>
      <c r="K142" s="368">
        <f>IF(AND(G142&gt;$P$6,H142&gt;$P$7,I142&gt;$P$8,D142&gt;E142,J142&lt;$P$10),1,0)</f>
        <v/>
      </c>
      <c r="L142" s="525">
        <f>IF(SUM(K142,T142,AC142)=0,0,K142/SUM(K142,T142,AC142))</f>
        <v/>
      </c>
      <c r="M142" s="368">
        <f>E2914</f>
        <v/>
      </c>
      <c r="N142" s="368">
        <f>I2914</f>
        <v/>
      </c>
      <c r="O142" s="524">
        <f>M142/M141-1</f>
        <v/>
      </c>
      <c r="P142" s="524">
        <f>M142/M139-1</f>
        <v/>
      </c>
      <c r="Q142" s="524">
        <f>M142/M136-1</f>
        <v/>
      </c>
      <c r="R142" s="524">
        <f>M142/M130-1</f>
        <v/>
      </c>
      <c r="S142" s="524">
        <f>STDEV.S(O131:O142)*SQRT(12)</f>
        <v/>
      </c>
      <c r="T142" s="368">
        <f>IF(AND(P142&gt;$P$6,Q142&gt;$P$7,R142&gt;$P$8,M142&gt;N142,S142&lt;$P$10),1,0)</f>
        <v/>
      </c>
      <c r="U142" s="525">
        <f>IF(SUM(K142,T142,AC142)=0,0,T142/SUM(K142,T142,AC142))</f>
        <v/>
      </c>
      <c r="V142" s="368">
        <f>F2914</f>
        <v/>
      </c>
      <c r="W142" s="368">
        <f>J2914</f>
        <v/>
      </c>
      <c r="X142" s="524">
        <f>V142/V141-1</f>
        <v/>
      </c>
      <c r="Y142" s="524">
        <f>V142/V139-1</f>
        <v/>
      </c>
      <c r="Z142" s="524">
        <f>V142/V136-1</f>
        <v/>
      </c>
      <c r="AA142" s="524">
        <f>V142/V130-1</f>
        <v/>
      </c>
      <c r="AB142" s="524">
        <f>STDEV.S(X131:X142)*SQRT(12)</f>
        <v/>
      </c>
      <c r="AC142" s="368">
        <f>IF(AND(Y142&gt;$P$6,Z142&gt;$P$7,AA142&gt;$P$8,V142&gt;W142,AB142&lt;$P$10),1,0)</f>
        <v/>
      </c>
      <c r="AD142" s="525">
        <f>IF(SUM(K142,T142,AC142)=0,0,AC142/SUM(K142,T142,AC142))</f>
        <v/>
      </c>
      <c r="AE142" s="525">
        <f>IF(SUM(K142,T142,AC142)=0,1,0)</f>
        <v/>
      </c>
      <c r="AF142" s="368">
        <f>G2914</f>
        <v/>
      </c>
      <c r="AG142" s="524">
        <f>AF142/AF141-1</f>
        <v/>
      </c>
      <c r="AH142" s="524">
        <f>0.5*(ABS(L141-L140)+ABS(U141-U140)+ABS(AD141-AD140)+ABS(AE141-AE140))</f>
        <v/>
      </c>
      <c r="AI142" s="524">
        <f>L141*F142+U141*O142+AD141*X142+AE141*AG142</f>
        <v/>
      </c>
      <c r="AJ142" s="524">
        <f>AH142*$P$11</f>
        <v/>
      </c>
      <c r="AK142" s="524">
        <f>AI142-AJ142</f>
        <v/>
      </c>
      <c r="AL142" s="368">
        <f>AL141*(1+AK142)</f>
        <v/>
      </c>
      <c r="AM142" s="368">
        <f>MAX($AL$40:AL142)</f>
        <v/>
      </c>
      <c r="AN142" s="524">
        <f>AL142/AM142-1</f>
        <v/>
      </c>
      <c r="AO142" s="526">
        <f>AK142-AG142</f>
        <v/>
      </c>
    </row>
    <row r="143">
      <c r="C143" s="503" t="n">
        <v>43708</v>
      </c>
      <c r="D143" s="368">
        <f>D2936</f>
        <v/>
      </c>
      <c r="E143" s="368">
        <f>H2936</f>
        <v/>
      </c>
      <c r="F143" s="524">
        <f>D143/D142-1</f>
        <v/>
      </c>
      <c r="G143" s="524">
        <f>D143/D140-1</f>
        <v/>
      </c>
      <c r="H143" s="524">
        <f>D143/D137-1</f>
        <v/>
      </c>
      <c r="I143" s="524">
        <f>D143/D131-1</f>
        <v/>
      </c>
      <c r="J143" s="524">
        <f>STDEV.S(F132:F143)*SQRT(12)</f>
        <v/>
      </c>
      <c r="K143" s="368">
        <f>IF(AND(G143&gt;$P$6,H143&gt;$P$7,I143&gt;$P$8,D143&gt;E143,J143&lt;$P$10),1,0)</f>
        <v/>
      </c>
      <c r="L143" s="525">
        <f>IF(SUM(K143,T143,AC143)=0,0,K143/SUM(K143,T143,AC143))</f>
        <v/>
      </c>
      <c r="M143" s="368">
        <f>E2936</f>
        <v/>
      </c>
      <c r="N143" s="368">
        <f>I2936</f>
        <v/>
      </c>
      <c r="O143" s="524">
        <f>M143/M142-1</f>
        <v/>
      </c>
      <c r="P143" s="524">
        <f>M143/M140-1</f>
        <v/>
      </c>
      <c r="Q143" s="524">
        <f>M143/M137-1</f>
        <v/>
      </c>
      <c r="R143" s="524">
        <f>M143/M131-1</f>
        <v/>
      </c>
      <c r="S143" s="524">
        <f>STDEV.S(O132:O143)*SQRT(12)</f>
        <v/>
      </c>
      <c r="T143" s="368">
        <f>IF(AND(P143&gt;$P$6,Q143&gt;$P$7,R143&gt;$P$8,M143&gt;N143,S143&lt;$P$10),1,0)</f>
        <v/>
      </c>
      <c r="U143" s="525">
        <f>IF(SUM(K143,T143,AC143)=0,0,T143/SUM(K143,T143,AC143))</f>
        <v/>
      </c>
      <c r="V143" s="368">
        <f>F2936</f>
        <v/>
      </c>
      <c r="W143" s="368">
        <f>J2936</f>
        <v/>
      </c>
      <c r="X143" s="524">
        <f>V143/V142-1</f>
        <v/>
      </c>
      <c r="Y143" s="524">
        <f>V143/V140-1</f>
        <v/>
      </c>
      <c r="Z143" s="524">
        <f>V143/V137-1</f>
        <v/>
      </c>
      <c r="AA143" s="524">
        <f>V143/V131-1</f>
        <v/>
      </c>
      <c r="AB143" s="524">
        <f>STDEV.S(X132:X143)*SQRT(12)</f>
        <v/>
      </c>
      <c r="AC143" s="368">
        <f>IF(AND(Y143&gt;$P$6,Z143&gt;$P$7,AA143&gt;$P$8,V143&gt;W143,AB143&lt;$P$10),1,0)</f>
        <v/>
      </c>
      <c r="AD143" s="525">
        <f>IF(SUM(K143,T143,AC143)=0,0,AC143/SUM(K143,T143,AC143))</f>
        <v/>
      </c>
      <c r="AE143" s="525">
        <f>IF(SUM(K143,T143,AC143)=0,1,0)</f>
        <v/>
      </c>
      <c r="AF143" s="368">
        <f>G2936</f>
        <v/>
      </c>
      <c r="AG143" s="524">
        <f>AF143/AF142-1</f>
        <v/>
      </c>
      <c r="AH143" s="524">
        <f>0.5*(ABS(L142-L141)+ABS(U142-U141)+ABS(AD142-AD141)+ABS(AE142-AE141))</f>
        <v/>
      </c>
      <c r="AI143" s="524">
        <f>L142*F143+U142*O143+AD142*X143+AE142*AG143</f>
        <v/>
      </c>
      <c r="AJ143" s="524">
        <f>AH143*$P$11</f>
        <v/>
      </c>
      <c r="AK143" s="524">
        <f>AI143-AJ143</f>
        <v/>
      </c>
      <c r="AL143" s="368">
        <f>AL142*(1+AK143)</f>
        <v/>
      </c>
      <c r="AM143" s="368">
        <f>MAX($AL$40:AL143)</f>
        <v/>
      </c>
      <c r="AN143" s="524">
        <f>AL143/AM143-1</f>
        <v/>
      </c>
      <c r="AO143" s="526">
        <f>AK143-AG143</f>
        <v/>
      </c>
    </row>
    <row r="144">
      <c r="C144" s="503" t="n">
        <v>43738</v>
      </c>
      <c r="D144" s="368">
        <f>D2956</f>
        <v/>
      </c>
      <c r="E144" s="368">
        <f>H2956</f>
        <v/>
      </c>
      <c r="F144" s="524">
        <f>D144/D143-1</f>
        <v/>
      </c>
      <c r="G144" s="524">
        <f>D144/D141-1</f>
        <v/>
      </c>
      <c r="H144" s="524">
        <f>D144/D138-1</f>
        <v/>
      </c>
      <c r="I144" s="524">
        <f>D144/D132-1</f>
        <v/>
      </c>
      <c r="J144" s="524">
        <f>STDEV.S(F133:F144)*SQRT(12)</f>
        <v/>
      </c>
      <c r="K144" s="368">
        <f>IF(AND(G144&gt;$P$6,H144&gt;$P$7,I144&gt;$P$8,D144&gt;E144,J144&lt;$P$10),1,0)</f>
        <v/>
      </c>
      <c r="L144" s="525">
        <f>IF(SUM(K144,T144,AC144)=0,0,K144/SUM(K144,T144,AC144))</f>
        <v/>
      </c>
      <c r="M144" s="368">
        <f>E2956</f>
        <v/>
      </c>
      <c r="N144" s="368">
        <f>I2956</f>
        <v/>
      </c>
      <c r="O144" s="524">
        <f>M144/M143-1</f>
        <v/>
      </c>
      <c r="P144" s="524">
        <f>M144/M141-1</f>
        <v/>
      </c>
      <c r="Q144" s="524">
        <f>M144/M138-1</f>
        <v/>
      </c>
      <c r="R144" s="524">
        <f>M144/M132-1</f>
        <v/>
      </c>
      <c r="S144" s="524">
        <f>STDEV.S(O133:O144)*SQRT(12)</f>
        <v/>
      </c>
      <c r="T144" s="368">
        <f>IF(AND(P144&gt;$P$6,Q144&gt;$P$7,R144&gt;$P$8,M144&gt;N144,S144&lt;$P$10),1,0)</f>
        <v/>
      </c>
      <c r="U144" s="525">
        <f>IF(SUM(K144,T144,AC144)=0,0,T144/SUM(K144,T144,AC144))</f>
        <v/>
      </c>
      <c r="V144" s="368">
        <f>F2956</f>
        <v/>
      </c>
      <c r="W144" s="368">
        <f>J2956</f>
        <v/>
      </c>
      <c r="X144" s="524">
        <f>V144/V143-1</f>
        <v/>
      </c>
      <c r="Y144" s="524">
        <f>V144/V141-1</f>
        <v/>
      </c>
      <c r="Z144" s="524">
        <f>V144/V138-1</f>
        <v/>
      </c>
      <c r="AA144" s="524">
        <f>V144/V132-1</f>
        <v/>
      </c>
      <c r="AB144" s="524">
        <f>STDEV.S(X133:X144)*SQRT(12)</f>
        <v/>
      </c>
      <c r="AC144" s="368">
        <f>IF(AND(Y144&gt;$P$6,Z144&gt;$P$7,AA144&gt;$P$8,V144&gt;W144,AB144&lt;$P$10),1,0)</f>
        <v/>
      </c>
      <c r="AD144" s="525">
        <f>IF(SUM(K144,T144,AC144)=0,0,AC144/SUM(K144,T144,AC144))</f>
        <v/>
      </c>
      <c r="AE144" s="525">
        <f>IF(SUM(K144,T144,AC144)=0,1,0)</f>
        <v/>
      </c>
      <c r="AF144" s="368">
        <f>G2956</f>
        <v/>
      </c>
      <c r="AG144" s="524">
        <f>AF144/AF143-1</f>
        <v/>
      </c>
      <c r="AH144" s="524">
        <f>0.5*(ABS(L143-L142)+ABS(U143-U142)+ABS(AD143-AD142)+ABS(AE143-AE142))</f>
        <v/>
      </c>
      <c r="AI144" s="524">
        <f>L143*F144+U143*O144+AD143*X144+AE143*AG144</f>
        <v/>
      </c>
      <c r="AJ144" s="524">
        <f>AH144*$P$11</f>
        <v/>
      </c>
      <c r="AK144" s="524">
        <f>AI144-AJ144</f>
        <v/>
      </c>
      <c r="AL144" s="368">
        <f>AL143*(1+AK144)</f>
        <v/>
      </c>
      <c r="AM144" s="368">
        <f>MAX($AL$40:AL144)</f>
        <v/>
      </c>
      <c r="AN144" s="524">
        <f>AL144/AM144-1</f>
        <v/>
      </c>
      <c r="AO144" s="526">
        <f>AK144-AG144</f>
        <v/>
      </c>
    </row>
    <row r="145">
      <c r="C145" s="503" t="n">
        <v>43769</v>
      </c>
      <c r="D145" s="368">
        <f>D2979</f>
        <v/>
      </c>
      <c r="E145" s="368">
        <f>H2979</f>
        <v/>
      </c>
      <c r="F145" s="524">
        <f>D145/D144-1</f>
        <v/>
      </c>
      <c r="G145" s="524">
        <f>D145/D142-1</f>
        <v/>
      </c>
      <c r="H145" s="524">
        <f>D145/D139-1</f>
        <v/>
      </c>
      <c r="I145" s="524">
        <f>D145/D133-1</f>
        <v/>
      </c>
      <c r="J145" s="524">
        <f>STDEV.S(F134:F145)*SQRT(12)</f>
        <v/>
      </c>
      <c r="K145" s="368">
        <f>IF(AND(G145&gt;$P$6,H145&gt;$P$7,I145&gt;$P$8,D145&gt;E145,J145&lt;$P$10),1,0)</f>
        <v/>
      </c>
      <c r="L145" s="525">
        <f>IF(SUM(K145,T145,AC145)=0,0,K145/SUM(K145,T145,AC145))</f>
        <v/>
      </c>
      <c r="M145" s="368">
        <f>E2979</f>
        <v/>
      </c>
      <c r="N145" s="368">
        <f>I2979</f>
        <v/>
      </c>
      <c r="O145" s="524">
        <f>M145/M144-1</f>
        <v/>
      </c>
      <c r="P145" s="524">
        <f>M145/M142-1</f>
        <v/>
      </c>
      <c r="Q145" s="524">
        <f>M145/M139-1</f>
        <v/>
      </c>
      <c r="R145" s="524">
        <f>M145/M133-1</f>
        <v/>
      </c>
      <c r="S145" s="524">
        <f>STDEV.S(O134:O145)*SQRT(12)</f>
        <v/>
      </c>
      <c r="T145" s="368">
        <f>IF(AND(P145&gt;$P$6,Q145&gt;$P$7,R145&gt;$P$8,M145&gt;N145,S145&lt;$P$10),1,0)</f>
        <v/>
      </c>
      <c r="U145" s="525">
        <f>IF(SUM(K145,T145,AC145)=0,0,T145/SUM(K145,T145,AC145))</f>
        <v/>
      </c>
      <c r="V145" s="368">
        <f>F2979</f>
        <v/>
      </c>
      <c r="W145" s="368">
        <f>J2979</f>
        <v/>
      </c>
      <c r="X145" s="524">
        <f>V145/V144-1</f>
        <v/>
      </c>
      <c r="Y145" s="524">
        <f>V145/V142-1</f>
        <v/>
      </c>
      <c r="Z145" s="524">
        <f>V145/V139-1</f>
        <v/>
      </c>
      <c r="AA145" s="524">
        <f>V145/V133-1</f>
        <v/>
      </c>
      <c r="AB145" s="524">
        <f>STDEV.S(X134:X145)*SQRT(12)</f>
        <v/>
      </c>
      <c r="AC145" s="368">
        <f>IF(AND(Y145&gt;$P$6,Z145&gt;$P$7,AA145&gt;$P$8,V145&gt;W145,AB145&lt;$P$10),1,0)</f>
        <v/>
      </c>
      <c r="AD145" s="525">
        <f>IF(SUM(K145,T145,AC145)=0,0,AC145/SUM(K145,T145,AC145))</f>
        <v/>
      </c>
      <c r="AE145" s="525">
        <f>IF(SUM(K145,T145,AC145)=0,1,0)</f>
        <v/>
      </c>
      <c r="AF145" s="368">
        <f>G2979</f>
        <v/>
      </c>
      <c r="AG145" s="524">
        <f>AF145/AF144-1</f>
        <v/>
      </c>
      <c r="AH145" s="524">
        <f>0.5*(ABS(L144-L143)+ABS(U144-U143)+ABS(AD144-AD143)+ABS(AE144-AE143))</f>
        <v/>
      </c>
      <c r="AI145" s="524">
        <f>L144*F145+U144*O145+AD144*X145+AE144*AG145</f>
        <v/>
      </c>
      <c r="AJ145" s="524">
        <f>AH145*$P$11</f>
        <v/>
      </c>
      <c r="AK145" s="524">
        <f>AI145-AJ145</f>
        <v/>
      </c>
      <c r="AL145" s="368">
        <f>AL144*(1+AK145)</f>
        <v/>
      </c>
      <c r="AM145" s="368">
        <f>MAX($AL$40:AL145)</f>
        <v/>
      </c>
      <c r="AN145" s="524">
        <f>AL145/AM145-1</f>
        <v/>
      </c>
      <c r="AO145" s="526">
        <f>AK145-AG145</f>
        <v/>
      </c>
    </row>
    <row r="146">
      <c r="C146" s="503" t="n">
        <v>43799</v>
      </c>
      <c r="D146" s="368">
        <f>D2999</f>
        <v/>
      </c>
      <c r="E146" s="368">
        <f>H2999</f>
        <v/>
      </c>
      <c r="F146" s="524">
        <f>D146/D145-1</f>
        <v/>
      </c>
      <c r="G146" s="524">
        <f>D146/D143-1</f>
        <v/>
      </c>
      <c r="H146" s="524">
        <f>D146/D140-1</f>
        <v/>
      </c>
      <c r="I146" s="524">
        <f>D146/D134-1</f>
        <v/>
      </c>
      <c r="J146" s="524">
        <f>STDEV.S(F135:F146)*SQRT(12)</f>
        <v/>
      </c>
      <c r="K146" s="368">
        <f>IF(AND(G146&gt;$P$6,H146&gt;$P$7,I146&gt;$P$8,D146&gt;E146,J146&lt;$P$10),1,0)</f>
        <v/>
      </c>
      <c r="L146" s="525">
        <f>IF(SUM(K146,T146,AC146)=0,0,K146/SUM(K146,T146,AC146))</f>
        <v/>
      </c>
      <c r="M146" s="368">
        <f>E2999</f>
        <v/>
      </c>
      <c r="N146" s="368">
        <f>I2999</f>
        <v/>
      </c>
      <c r="O146" s="524">
        <f>M146/M145-1</f>
        <v/>
      </c>
      <c r="P146" s="524">
        <f>M146/M143-1</f>
        <v/>
      </c>
      <c r="Q146" s="524">
        <f>M146/M140-1</f>
        <v/>
      </c>
      <c r="R146" s="524">
        <f>M146/M134-1</f>
        <v/>
      </c>
      <c r="S146" s="524">
        <f>STDEV.S(O135:O146)*SQRT(12)</f>
        <v/>
      </c>
      <c r="T146" s="368">
        <f>IF(AND(P146&gt;$P$6,Q146&gt;$P$7,R146&gt;$P$8,M146&gt;N146,S146&lt;$P$10),1,0)</f>
        <v/>
      </c>
      <c r="U146" s="525">
        <f>IF(SUM(K146,T146,AC146)=0,0,T146/SUM(K146,T146,AC146))</f>
        <v/>
      </c>
      <c r="V146" s="368">
        <f>F2999</f>
        <v/>
      </c>
      <c r="W146" s="368">
        <f>J2999</f>
        <v/>
      </c>
      <c r="X146" s="524">
        <f>V146/V145-1</f>
        <v/>
      </c>
      <c r="Y146" s="524">
        <f>V146/V143-1</f>
        <v/>
      </c>
      <c r="Z146" s="524">
        <f>V146/V140-1</f>
        <v/>
      </c>
      <c r="AA146" s="524">
        <f>V146/V134-1</f>
        <v/>
      </c>
      <c r="AB146" s="524">
        <f>STDEV.S(X135:X146)*SQRT(12)</f>
        <v/>
      </c>
      <c r="AC146" s="368">
        <f>IF(AND(Y146&gt;$P$6,Z146&gt;$P$7,AA146&gt;$P$8,V146&gt;W146,AB146&lt;$P$10),1,0)</f>
        <v/>
      </c>
      <c r="AD146" s="525">
        <f>IF(SUM(K146,T146,AC146)=0,0,AC146/SUM(K146,T146,AC146))</f>
        <v/>
      </c>
      <c r="AE146" s="525">
        <f>IF(SUM(K146,T146,AC146)=0,1,0)</f>
        <v/>
      </c>
      <c r="AF146" s="368">
        <f>G2999</f>
        <v/>
      </c>
      <c r="AG146" s="524">
        <f>AF146/AF145-1</f>
        <v/>
      </c>
      <c r="AH146" s="524">
        <f>0.5*(ABS(L145-L144)+ABS(U145-U144)+ABS(AD145-AD144)+ABS(AE145-AE144))</f>
        <v/>
      </c>
      <c r="AI146" s="524">
        <f>L145*F146+U145*O146+AD145*X146+AE145*AG146</f>
        <v/>
      </c>
      <c r="AJ146" s="524">
        <f>AH146*$P$11</f>
        <v/>
      </c>
      <c r="AK146" s="524">
        <f>AI146-AJ146</f>
        <v/>
      </c>
      <c r="AL146" s="368">
        <f>AL145*(1+AK146)</f>
        <v/>
      </c>
      <c r="AM146" s="368">
        <f>MAX($AL$40:AL146)</f>
        <v/>
      </c>
      <c r="AN146" s="524">
        <f>AL146/AM146-1</f>
        <v/>
      </c>
      <c r="AO146" s="526">
        <f>AK146-AG146</f>
        <v/>
      </c>
    </row>
    <row r="147">
      <c r="C147" s="503" t="n">
        <v>43830</v>
      </c>
      <c r="D147" s="368">
        <f>D3020</f>
        <v/>
      </c>
      <c r="E147" s="368">
        <f>H3020</f>
        <v/>
      </c>
      <c r="F147" s="524">
        <f>D147/D146-1</f>
        <v/>
      </c>
      <c r="G147" s="524">
        <f>D147/D144-1</f>
        <v/>
      </c>
      <c r="H147" s="524">
        <f>D147/D141-1</f>
        <v/>
      </c>
      <c r="I147" s="524">
        <f>D147/D135-1</f>
        <v/>
      </c>
      <c r="J147" s="524">
        <f>STDEV.S(F136:F147)*SQRT(12)</f>
        <v/>
      </c>
      <c r="K147" s="368">
        <f>IF(AND(G147&gt;$P$6,H147&gt;$P$7,I147&gt;$P$8,D147&gt;E147,J147&lt;$P$10),1,0)</f>
        <v/>
      </c>
      <c r="L147" s="525">
        <f>IF(SUM(K147,T147,AC147)=0,0,K147/SUM(K147,T147,AC147))</f>
        <v/>
      </c>
      <c r="M147" s="368">
        <f>E3020</f>
        <v/>
      </c>
      <c r="N147" s="368">
        <f>I3020</f>
        <v/>
      </c>
      <c r="O147" s="524">
        <f>M147/M146-1</f>
        <v/>
      </c>
      <c r="P147" s="524">
        <f>M147/M144-1</f>
        <v/>
      </c>
      <c r="Q147" s="524">
        <f>M147/M141-1</f>
        <v/>
      </c>
      <c r="R147" s="524">
        <f>M147/M135-1</f>
        <v/>
      </c>
      <c r="S147" s="524">
        <f>STDEV.S(O136:O147)*SQRT(12)</f>
        <v/>
      </c>
      <c r="T147" s="368">
        <f>IF(AND(P147&gt;$P$6,Q147&gt;$P$7,R147&gt;$P$8,M147&gt;N147,S147&lt;$P$10),1,0)</f>
        <v/>
      </c>
      <c r="U147" s="525">
        <f>IF(SUM(K147,T147,AC147)=0,0,T147/SUM(K147,T147,AC147))</f>
        <v/>
      </c>
      <c r="V147" s="368">
        <f>F3020</f>
        <v/>
      </c>
      <c r="W147" s="368">
        <f>J3020</f>
        <v/>
      </c>
      <c r="X147" s="524">
        <f>V147/V146-1</f>
        <v/>
      </c>
      <c r="Y147" s="524">
        <f>V147/V144-1</f>
        <v/>
      </c>
      <c r="Z147" s="524">
        <f>V147/V141-1</f>
        <v/>
      </c>
      <c r="AA147" s="524">
        <f>V147/V135-1</f>
        <v/>
      </c>
      <c r="AB147" s="524">
        <f>STDEV.S(X136:X147)*SQRT(12)</f>
        <v/>
      </c>
      <c r="AC147" s="368">
        <f>IF(AND(Y147&gt;$P$6,Z147&gt;$P$7,AA147&gt;$P$8,V147&gt;W147,AB147&lt;$P$10),1,0)</f>
        <v/>
      </c>
      <c r="AD147" s="525">
        <f>IF(SUM(K147,T147,AC147)=0,0,AC147/SUM(K147,T147,AC147))</f>
        <v/>
      </c>
      <c r="AE147" s="525">
        <f>IF(SUM(K147,T147,AC147)=0,1,0)</f>
        <v/>
      </c>
      <c r="AF147" s="368">
        <f>G3020</f>
        <v/>
      </c>
      <c r="AG147" s="524">
        <f>AF147/AF146-1</f>
        <v/>
      </c>
      <c r="AH147" s="524">
        <f>0.5*(ABS(L146-L145)+ABS(U146-U145)+ABS(AD146-AD145)+ABS(AE146-AE145))</f>
        <v/>
      </c>
      <c r="AI147" s="524">
        <f>L146*F147+U146*O147+AD146*X147+AE146*AG147</f>
        <v/>
      </c>
      <c r="AJ147" s="524">
        <f>AH147*$P$11</f>
        <v/>
      </c>
      <c r="AK147" s="524">
        <f>AI147-AJ147</f>
        <v/>
      </c>
      <c r="AL147" s="368">
        <f>AL146*(1+AK147)</f>
        <v/>
      </c>
      <c r="AM147" s="368">
        <f>MAX($AL$40:AL147)</f>
        <v/>
      </c>
      <c r="AN147" s="524">
        <f>AL147/AM147-1</f>
        <v/>
      </c>
      <c r="AO147" s="526">
        <f>AK147-AG147</f>
        <v/>
      </c>
    </row>
    <row r="148">
      <c r="C148" s="503" t="n">
        <v>43861</v>
      </c>
      <c r="D148" s="368">
        <f>D3041</f>
        <v/>
      </c>
      <c r="E148" s="368">
        <f>H3041</f>
        <v/>
      </c>
      <c r="F148" s="524">
        <f>D148/D147-1</f>
        <v/>
      </c>
      <c r="G148" s="524">
        <f>D148/D145-1</f>
        <v/>
      </c>
      <c r="H148" s="524">
        <f>D148/D142-1</f>
        <v/>
      </c>
      <c r="I148" s="524">
        <f>D148/D136-1</f>
        <v/>
      </c>
      <c r="J148" s="524">
        <f>STDEV.S(F137:F148)*SQRT(12)</f>
        <v/>
      </c>
      <c r="K148" s="368">
        <f>IF(AND(G148&gt;$P$6,H148&gt;$P$7,I148&gt;$P$8,D148&gt;E148,J148&lt;$P$10),1,0)</f>
        <v/>
      </c>
      <c r="L148" s="525">
        <f>IF(SUM(K148,T148,AC148)=0,0,K148/SUM(K148,T148,AC148))</f>
        <v/>
      </c>
      <c r="M148" s="368">
        <f>E3041</f>
        <v/>
      </c>
      <c r="N148" s="368">
        <f>I3041</f>
        <v/>
      </c>
      <c r="O148" s="524">
        <f>M148/M147-1</f>
        <v/>
      </c>
      <c r="P148" s="524">
        <f>M148/M145-1</f>
        <v/>
      </c>
      <c r="Q148" s="524">
        <f>M148/M142-1</f>
        <v/>
      </c>
      <c r="R148" s="524">
        <f>M148/M136-1</f>
        <v/>
      </c>
      <c r="S148" s="524">
        <f>STDEV.S(O137:O148)*SQRT(12)</f>
        <v/>
      </c>
      <c r="T148" s="368">
        <f>IF(AND(P148&gt;$P$6,Q148&gt;$P$7,R148&gt;$P$8,M148&gt;N148,S148&lt;$P$10),1,0)</f>
        <v/>
      </c>
      <c r="U148" s="525">
        <f>IF(SUM(K148,T148,AC148)=0,0,T148/SUM(K148,T148,AC148))</f>
        <v/>
      </c>
      <c r="V148" s="368">
        <f>F3041</f>
        <v/>
      </c>
      <c r="W148" s="368">
        <f>J3041</f>
        <v/>
      </c>
      <c r="X148" s="524">
        <f>V148/V147-1</f>
        <v/>
      </c>
      <c r="Y148" s="524">
        <f>V148/V145-1</f>
        <v/>
      </c>
      <c r="Z148" s="524">
        <f>V148/V142-1</f>
        <v/>
      </c>
      <c r="AA148" s="524">
        <f>V148/V136-1</f>
        <v/>
      </c>
      <c r="AB148" s="524">
        <f>STDEV.S(X137:X148)*SQRT(12)</f>
        <v/>
      </c>
      <c r="AC148" s="368">
        <f>IF(AND(Y148&gt;$P$6,Z148&gt;$P$7,AA148&gt;$P$8,V148&gt;W148,AB148&lt;$P$10),1,0)</f>
        <v/>
      </c>
      <c r="AD148" s="525">
        <f>IF(SUM(K148,T148,AC148)=0,0,AC148/SUM(K148,T148,AC148))</f>
        <v/>
      </c>
      <c r="AE148" s="525">
        <f>IF(SUM(K148,T148,AC148)=0,1,0)</f>
        <v/>
      </c>
      <c r="AF148" s="368">
        <f>G3041</f>
        <v/>
      </c>
      <c r="AG148" s="524">
        <f>AF148/AF147-1</f>
        <v/>
      </c>
      <c r="AH148" s="524">
        <f>0.5*(ABS(L147-L146)+ABS(U147-U146)+ABS(AD147-AD146)+ABS(AE147-AE146))</f>
        <v/>
      </c>
      <c r="AI148" s="524">
        <f>L147*F148+U147*O148+AD147*X148+AE147*AG148</f>
        <v/>
      </c>
      <c r="AJ148" s="524">
        <f>AH148*$P$11</f>
        <v/>
      </c>
      <c r="AK148" s="524">
        <f>AI148-AJ148</f>
        <v/>
      </c>
      <c r="AL148" s="368">
        <f>AL147*(1+AK148)</f>
        <v/>
      </c>
      <c r="AM148" s="368">
        <f>MAX($AL$40:AL148)</f>
        <v/>
      </c>
      <c r="AN148" s="524">
        <f>AL148/AM148-1</f>
        <v/>
      </c>
      <c r="AO148" s="526">
        <f>AK148-AG148</f>
        <v/>
      </c>
    </row>
    <row r="149">
      <c r="C149" s="503" t="n">
        <v>43890</v>
      </c>
      <c r="D149" s="368">
        <f>D3060</f>
        <v/>
      </c>
      <c r="E149" s="368">
        <f>H3060</f>
        <v/>
      </c>
      <c r="F149" s="524">
        <f>D149/D148-1</f>
        <v/>
      </c>
      <c r="G149" s="524">
        <f>D149/D146-1</f>
        <v/>
      </c>
      <c r="H149" s="524">
        <f>D149/D143-1</f>
        <v/>
      </c>
      <c r="I149" s="524">
        <f>D149/D137-1</f>
        <v/>
      </c>
      <c r="J149" s="524">
        <f>STDEV.S(F138:F149)*SQRT(12)</f>
        <v/>
      </c>
      <c r="K149" s="368">
        <f>IF(AND(G149&gt;$P$6,H149&gt;$P$7,I149&gt;$P$8,D149&gt;E149,J149&lt;$P$10),1,0)</f>
        <v/>
      </c>
      <c r="L149" s="525">
        <f>IF(SUM(K149,T149,AC149)=0,0,K149/SUM(K149,T149,AC149))</f>
        <v/>
      </c>
      <c r="M149" s="368">
        <f>E3060</f>
        <v/>
      </c>
      <c r="N149" s="368">
        <f>I3060</f>
        <v/>
      </c>
      <c r="O149" s="524">
        <f>M149/M148-1</f>
        <v/>
      </c>
      <c r="P149" s="524">
        <f>M149/M146-1</f>
        <v/>
      </c>
      <c r="Q149" s="524">
        <f>M149/M143-1</f>
        <v/>
      </c>
      <c r="R149" s="524">
        <f>M149/M137-1</f>
        <v/>
      </c>
      <c r="S149" s="524">
        <f>STDEV.S(O138:O149)*SQRT(12)</f>
        <v/>
      </c>
      <c r="T149" s="368">
        <f>IF(AND(P149&gt;$P$6,Q149&gt;$P$7,R149&gt;$P$8,M149&gt;N149,S149&lt;$P$10),1,0)</f>
        <v/>
      </c>
      <c r="U149" s="525">
        <f>IF(SUM(K149,T149,AC149)=0,0,T149/SUM(K149,T149,AC149))</f>
        <v/>
      </c>
      <c r="V149" s="368">
        <f>F3060</f>
        <v/>
      </c>
      <c r="W149" s="368">
        <f>J3060</f>
        <v/>
      </c>
      <c r="X149" s="524">
        <f>V149/V148-1</f>
        <v/>
      </c>
      <c r="Y149" s="524">
        <f>V149/V146-1</f>
        <v/>
      </c>
      <c r="Z149" s="524">
        <f>V149/V143-1</f>
        <v/>
      </c>
      <c r="AA149" s="524">
        <f>V149/V137-1</f>
        <v/>
      </c>
      <c r="AB149" s="524">
        <f>STDEV.S(X138:X149)*SQRT(12)</f>
        <v/>
      </c>
      <c r="AC149" s="368">
        <f>IF(AND(Y149&gt;$P$6,Z149&gt;$P$7,AA149&gt;$P$8,V149&gt;W149,AB149&lt;$P$10),1,0)</f>
        <v/>
      </c>
      <c r="AD149" s="525">
        <f>IF(SUM(K149,T149,AC149)=0,0,AC149/SUM(K149,T149,AC149))</f>
        <v/>
      </c>
      <c r="AE149" s="525">
        <f>IF(SUM(K149,T149,AC149)=0,1,0)</f>
        <v/>
      </c>
      <c r="AF149" s="368">
        <f>G3060</f>
        <v/>
      </c>
      <c r="AG149" s="524">
        <f>AF149/AF148-1</f>
        <v/>
      </c>
      <c r="AH149" s="524">
        <f>0.5*(ABS(L148-L147)+ABS(U148-U147)+ABS(AD148-AD147)+ABS(AE148-AE147))</f>
        <v/>
      </c>
      <c r="AI149" s="524">
        <f>L148*F149+U148*O149+AD148*X149+AE148*AG149</f>
        <v/>
      </c>
      <c r="AJ149" s="524">
        <f>AH149*$P$11</f>
        <v/>
      </c>
      <c r="AK149" s="524">
        <f>AI149-AJ149</f>
        <v/>
      </c>
      <c r="AL149" s="368">
        <f>AL148*(1+AK149)</f>
        <v/>
      </c>
      <c r="AM149" s="368">
        <f>MAX($AL$40:AL149)</f>
        <v/>
      </c>
      <c r="AN149" s="524">
        <f>AL149/AM149-1</f>
        <v/>
      </c>
      <c r="AO149" s="526">
        <f>AK149-AG149</f>
        <v/>
      </c>
    </row>
    <row r="150">
      <c r="C150" s="503" t="n">
        <v>43921</v>
      </c>
      <c r="D150" s="368">
        <f>D3082</f>
        <v/>
      </c>
      <c r="E150" s="368">
        <f>H3082</f>
        <v/>
      </c>
      <c r="F150" s="524">
        <f>D150/D149-1</f>
        <v/>
      </c>
      <c r="G150" s="524">
        <f>D150/D147-1</f>
        <v/>
      </c>
      <c r="H150" s="524">
        <f>D150/D144-1</f>
        <v/>
      </c>
      <c r="I150" s="524">
        <f>D150/D138-1</f>
        <v/>
      </c>
      <c r="J150" s="524">
        <f>STDEV.S(F139:F150)*SQRT(12)</f>
        <v/>
      </c>
      <c r="K150" s="368">
        <f>IF(AND(G150&gt;$P$6,H150&gt;$P$7,I150&gt;$P$8,D150&gt;E150,J150&lt;$P$10),1,0)</f>
        <v/>
      </c>
      <c r="L150" s="525">
        <f>IF(SUM(K150,T150,AC150)=0,0,K150/SUM(K150,T150,AC150))</f>
        <v/>
      </c>
      <c r="M150" s="368">
        <f>E3082</f>
        <v/>
      </c>
      <c r="N150" s="368">
        <f>I3082</f>
        <v/>
      </c>
      <c r="O150" s="524">
        <f>M150/M149-1</f>
        <v/>
      </c>
      <c r="P150" s="524">
        <f>M150/M147-1</f>
        <v/>
      </c>
      <c r="Q150" s="524">
        <f>M150/M144-1</f>
        <v/>
      </c>
      <c r="R150" s="524">
        <f>M150/M138-1</f>
        <v/>
      </c>
      <c r="S150" s="524">
        <f>STDEV.S(O139:O150)*SQRT(12)</f>
        <v/>
      </c>
      <c r="T150" s="368">
        <f>IF(AND(P150&gt;$P$6,Q150&gt;$P$7,R150&gt;$P$8,M150&gt;N150,S150&lt;$P$10),1,0)</f>
        <v/>
      </c>
      <c r="U150" s="525">
        <f>IF(SUM(K150,T150,AC150)=0,0,T150/SUM(K150,T150,AC150))</f>
        <v/>
      </c>
      <c r="V150" s="368">
        <f>F3082</f>
        <v/>
      </c>
      <c r="W150" s="368">
        <f>J3082</f>
        <v/>
      </c>
      <c r="X150" s="524">
        <f>V150/V149-1</f>
        <v/>
      </c>
      <c r="Y150" s="524">
        <f>V150/V147-1</f>
        <v/>
      </c>
      <c r="Z150" s="524">
        <f>V150/V144-1</f>
        <v/>
      </c>
      <c r="AA150" s="524">
        <f>V150/V138-1</f>
        <v/>
      </c>
      <c r="AB150" s="524">
        <f>STDEV.S(X139:X150)*SQRT(12)</f>
        <v/>
      </c>
      <c r="AC150" s="368">
        <f>IF(AND(Y150&gt;$P$6,Z150&gt;$P$7,AA150&gt;$P$8,V150&gt;W150,AB150&lt;$P$10),1,0)</f>
        <v/>
      </c>
      <c r="AD150" s="525">
        <f>IF(SUM(K150,T150,AC150)=0,0,AC150/SUM(K150,T150,AC150))</f>
        <v/>
      </c>
      <c r="AE150" s="525">
        <f>IF(SUM(K150,T150,AC150)=0,1,0)</f>
        <v/>
      </c>
      <c r="AF150" s="368">
        <f>G3082</f>
        <v/>
      </c>
      <c r="AG150" s="524">
        <f>AF150/AF149-1</f>
        <v/>
      </c>
      <c r="AH150" s="524">
        <f>0.5*(ABS(L149-L148)+ABS(U149-U148)+ABS(AD149-AD148)+ABS(AE149-AE148))</f>
        <v/>
      </c>
      <c r="AI150" s="524">
        <f>L149*F150+U149*O150+AD149*X150+AE149*AG150</f>
        <v/>
      </c>
      <c r="AJ150" s="524">
        <f>AH150*$P$11</f>
        <v/>
      </c>
      <c r="AK150" s="524">
        <f>AI150-AJ150</f>
        <v/>
      </c>
      <c r="AL150" s="368">
        <f>AL149*(1+AK150)</f>
        <v/>
      </c>
      <c r="AM150" s="368">
        <f>MAX($AL$40:AL150)</f>
        <v/>
      </c>
      <c r="AN150" s="524">
        <f>AL150/AM150-1</f>
        <v/>
      </c>
      <c r="AO150" s="526">
        <f>AK150-AG150</f>
        <v/>
      </c>
    </row>
    <row r="151">
      <c r="C151" s="503" t="n">
        <v>43951</v>
      </c>
      <c r="D151" s="368">
        <f>D3103</f>
        <v/>
      </c>
      <c r="E151" s="368">
        <f>H3103</f>
        <v/>
      </c>
      <c r="F151" s="524">
        <f>D151/D150-1</f>
        <v/>
      </c>
      <c r="G151" s="524">
        <f>D151/D148-1</f>
        <v/>
      </c>
      <c r="H151" s="524">
        <f>D151/D145-1</f>
        <v/>
      </c>
      <c r="I151" s="524">
        <f>D151/D139-1</f>
        <v/>
      </c>
      <c r="J151" s="524">
        <f>STDEV.S(F140:F151)*SQRT(12)</f>
        <v/>
      </c>
      <c r="K151" s="368">
        <f>IF(AND(G151&gt;$P$6,H151&gt;$P$7,I151&gt;$P$8,D151&gt;E151,J151&lt;$P$10),1,0)</f>
        <v/>
      </c>
      <c r="L151" s="525">
        <f>IF(SUM(K151,T151,AC151)=0,0,K151/SUM(K151,T151,AC151))</f>
        <v/>
      </c>
      <c r="M151" s="368">
        <f>E3103</f>
        <v/>
      </c>
      <c r="N151" s="368">
        <f>I3103</f>
        <v/>
      </c>
      <c r="O151" s="524">
        <f>M151/M150-1</f>
        <v/>
      </c>
      <c r="P151" s="524">
        <f>M151/M148-1</f>
        <v/>
      </c>
      <c r="Q151" s="524">
        <f>M151/M145-1</f>
        <v/>
      </c>
      <c r="R151" s="524">
        <f>M151/M139-1</f>
        <v/>
      </c>
      <c r="S151" s="524">
        <f>STDEV.S(O140:O151)*SQRT(12)</f>
        <v/>
      </c>
      <c r="T151" s="368">
        <f>IF(AND(P151&gt;$P$6,Q151&gt;$P$7,R151&gt;$P$8,M151&gt;N151,S151&lt;$P$10),1,0)</f>
        <v/>
      </c>
      <c r="U151" s="525">
        <f>IF(SUM(K151,T151,AC151)=0,0,T151/SUM(K151,T151,AC151))</f>
        <v/>
      </c>
      <c r="V151" s="368">
        <f>F3103</f>
        <v/>
      </c>
      <c r="W151" s="368">
        <f>J3103</f>
        <v/>
      </c>
      <c r="X151" s="524">
        <f>V151/V150-1</f>
        <v/>
      </c>
      <c r="Y151" s="524">
        <f>V151/V148-1</f>
        <v/>
      </c>
      <c r="Z151" s="524">
        <f>V151/V145-1</f>
        <v/>
      </c>
      <c r="AA151" s="524">
        <f>V151/V139-1</f>
        <v/>
      </c>
      <c r="AB151" s="524">
        <f>STDEV.S(X140:X151)*SQRT(12)</f>
        <v/>
      </c>
      <c r="AC151" s="368">
        <f>IF(AND(Y151&gt;$P$6,Z151&gt;$P$7,AA151&gt;$P$8,V151&gt;W151,AB151&lt;$P$10),1,0)</f>
        <v/>
      </c>
      <c r="AD151" s="525">
        <f>IF(SUM(K151,T151,AC151)=0,0,AC151/SUM(K151,T151,AC151))</f>
        <v/>
      </c>
      <c r="AE151" s="525">
        <f>IF(SUM(K151,T151,AC151)=0,1,0)</f>
        <v/>
      </c>
      <c r="AF151" s="368">
        <f>G3103</f>
        <v/>
      </c>
      <c r="AG151" s="524">
        <f>AF151/AF150-1</f>
        <v/>
      </c>
      <c r="AH151" s="524">
        <f>0.5*(ABS(L150-L149)+ABS(U150-U149)+ABS(AD150-AD149)+ABS(AE150-AE149))</f>
        <v/>
      </c>
      <c r="AI151" s="524">
        <f>L150*F151+U150*O151+AD150*X151+AE150*AG151</f>
        <v/>
      </c>
      <c r="AJ151" s="524">
        <f>AH151*$P$11</f>
        <v/>
      </c>
      <c r="AK151" s="524">
        <f>AI151-AJ151</f>
        <v/>
      </c>
      <c r="AL151" s="368">
        <f>AL150*(1+AK151)</f>
        <v/>
      </c>
      <c r="AM151" s="368">
        <f>MAX($AL$40:AL151)</f>
        <v/>
      </c>
      <c r="AN151" s="524">
        <f>AL151/AM151-1</f>
        <v/>
      </c>
      <c r="AO151" s="526">
        <f>AK151-AG151</f>
        <v/>
      </c>
    </row>
    <row r="152">
      <c r="C152" s="503" t="n">
        <v>43982</v>
      </c>
      <c r="D152" s="368">
        <f>D3123</f>
        <v/>
      </c>
      <c r="E152" s="368">
        <f>H3123</f>
        <v/>
      </c>
      <c r="F152" s="524">
        <f>D152/D151-1</f>
        <v/>
      </c>
      <c r="G152" s="524">
        <f>D152/D149-1</f>
        <v/>
      </c>
      <c r="H152" s="524">
        <f>D152/D146-1</f>
        <v/>
      </c>
      <c r="I152" s="524">
        <f>D152/D140-1</f>
        <v/>
      </c>
      <c r="J152" s="524">
        <f>STDEV.S(F141:F152)*SQRT(12)</f>
        <v/>
      </c>
      <c r="K152" s="368">
        <f>IF(AND(G152&gt;$P$6,H152&gt;$P$7,I152&gt;$P$8,D152&gt;E152,J152&lt;$P$10),1,0)</f>
        <v/>
      </c>
      <c r="L152" s="525">
        <f>IF(SUM(K152,T152,AC152)=0,0,K152/SUM(K152,T152,AC152))</f>
        <v/>
      </c>
      <c r="M152" s="368">
        <f>E3123</f>
        <v/>
      </c>
      <c r="N152" s="368">
        <f>I3123</f>
        <v/>
      </c>
      <c r="O152" s="524">
        <f>M152/M151-1</f>
        <v/>
      </c>
      <c r="P152" s="524">
        <f>M152/M149-1</f>
        <v/>
      </c>
      <c r="Q152" s="524">
        <f>M152/M146-1</f>
        <v/>
      </c>
      <c r="R152" s="524">
        <f>M152/M140-1</f>
        <v/>
      </c>
      <c r="S152" s="524">
        <f>STDEV.S(O141:O152)*SQRT(12)</f>
        <v/>
      </c>
      <c r="T152" s="368">
        <f>IF(AND(P152&gt;$P$6,Q152&gt;$P$7,R152&gt;$P$8,M152&gt;N152,S152&lt;$P$10),1,0)</f>
        <v/>
      </c>
      <c r="U152" s="525">
        <f>IF(SUM(K152,T152,AC152)=0,0,T152/SUM(K152,T152,AC152))</f>
        <v/>
      </c>
      <c r="V152" s="368">
        <f>F3123</f>
        <v/>
      </c>
      <c r="W152" s="368">
        <f>J3123</f>
        <v/>
      </c>
      <c r="X152" s="524">
        <f>V152/V151-1</f>
        <v/>
      </c>
      <c r="Y152" s="524">
        <f>V152/V149-1</f>
        <v/>
      </c>
      <c r="Z152" s="524">
        <f>V152/V146-1</f>
        <v/>
      </c>
      <c r="AA152" s="524">
        <f>V152/V140-1</f>
        <v/>
      </c>
      <c r="AB152" s="524">
        <f>STDEV.S(X141:X152)*SQRT(12)</f>
        <v/>
      </c>
      <c r="AC152" s="368">
        <f>IF(AND(Y152&gt;$P$6,Z152&gt;$P$7,AA152&gt;$P$8,V152&gt;W152,AB152&lt;$P$10),1,0)</f>
        <v/>
      </c>
      <c r="AD152" s="525">
        <f>IF(SUM(K152,T152,AC152)=0,0,AC152/SUM(K152,T152,AC152))</f>
        <v/>
      </c>
      <c r="AE152" s="525">
        <f>IF(SUM(K152,T152,AC152)=0,1,0)</f>
        <v/>
      </c>
      <c r="AF152" s="368">
        <f>G3123</f>
        <v/>
      </c>
      <c r="AG152" s="524">
        <f>AF152/AF151-1</f>
        <v/>
      </c>
      <c r="AH152" s="524">
        <f>0.5*(ABS(L151-L150)+ABS(U151-U150)+ABS(AD151-AD150)+ABS(AE151-AE150))</f>
        <v/>
      </c>
      <c r="AI152" s="524">
        <f>L151*F152+U151*O152+AD151*X152+AE151*AG152</f>
        <v/>
      </c>
      <c r="AJ152" s="524">
        <f>AH152*$P$11</f>
        <v/>
      </c>
      <c r="AK152" s="524">
        <f>AI152-AJ152</f>
        <v/>
      </c>
      <c r="AL152" s="368">
        <f>AL151*(1+AK152)</f>
        <v/>
      </c>
      <c r="AM152" s="368">
        <f>MAX($AL$40:AL152)</f>
        <v/>
      </c>
      <c r="AN152" s="524">
        <f>AL152/AM152-1</f>
        <v/>
      </c>
      <c r="AO152" s="526">
        <f>AK152-AG152</f>
        <v/>
      </c>
    </row>
    <row r="153">
      <c r="C153" s="503" t="n">
        <v>44012</v>
      </c>
      <c r="D153" s="368">
        <f>D3145</f>
        <v/>
      </c>
      <c r="E153" s="368">
        <f>H3145</f>
        <v/>
      </c>
      <c r="F153" s="524">
        <f>D153/D152-1</f>
        <v/>
      </c>
      <c r="G153" s="524">
        <f>D153/D150-1</f>
        <v/>
      </c>
      <c r="H153" s="524">
        <f>D153/D147-1</f>
        <v/>
      </c>
      <c r="I153" s="524">
        <f>D153/D141-1</f>
        <v/>
      </c>
      <c r="J153" s="524">
        <f>STDEV.S(F142:F153)*SQRT(12)</f>
        <v/>
      </c>
      <c r="K153" s="368">
        <f>IF(AND(G153&gt;$P$6,H153&gt;$P$7,I153&gt;$P$8,D153&gt;E153,J153&lt;$P$10),1,0)</f>
        <v/>
      </c>
      <c r="L153" s="525">
        <f>IF(SUM(K153,T153,AC153)=0,0,K153/SUM(K153,T153,AC153))</f>
        <v/>
      </c>
      <c r="M153" s="368">
        <f>E3145</f>
        <v/>
      </c>
      <c r="N153" s="368">
        <f>I3145</f>
        <v/>
      </c>
      <c r="O153" s="524">
        <f>M153/M152-1</f>
        <v/>
      </c>
      <c r="P153" s="524">
        <f>M153/M150-1</f>
        <v/>
      </c>
      <c r="Q153" s="524">
        <f>M153/M147-1</f>
        <v/>
      </c>
      <c r="R153" s="524">
        <f>M153/M141-1</f>
        <v/>
      </c>
      <c r="S153" s="524">
        <f>STDEV.S(O142:O153)*SQRT(12)</f>
        <v/>
      </c>
      <c r="T153" s="368">
        <f>IF(AND(P153&gt;$P$6,Q153&gt;$P$7,R153&gt;$P$8,M153&gt;N153,S153&lt;$P$10),1,0)</f>
        <v/>
      </c>
      <c r="U153" s="525">
        <f>IF(SUM(K153,T153,AC153)=0,0,T153/SUM(K153,T153,AC153))</f>
        <v/>
      </c>
      <c r="V153" s="368">
        <f>F3145</f>
        <v/>
      </c>
      <c r="W153" s="368">
        <f>J3145</f>
        <v/>
      </c>
      <c r="X153" s="524">
        <f>V153/V152-1</f>
        <v/>
      </c>
      <c r="Y153" s="524">
        <f>V153/V150-1</f>
        <v/>
      </c>
      <c r="Z153" s="524">
        <f>V153/V147-1</f>
        <v/>
      </c>
      <c r="AA153" s="524">
        <f>V153/V141-1</f>
        <v/>
      </c>
      <c r="AB153" s="524">
        <f>STDEV.S(X142:X153)*SQRT(12)</f>
        <v/>
      </c>
      <c r="AC153" s="368">
        <f>IF(AND(Y153&gt;$P$6,Z153&gt;$P$7,AA153&gt;$P$8,V153&gt;W153,AB153&lt;$P$10),1,0)</f>
        <v/>
      </c>
      <c r="AD153" s="525">
        <f>IF(SUM(K153,T153,AC153)=0,0,AC153/SUM(K153,T153,AC153))</f>
        <v/>
      </c>
      <c r="AE153" s="525">
        <f>IF(SUM(K153,T153,AC153)=0,1,0)</f>
        <v/>
      </c>
      <c r="AF153" s="368">
        <f>G3145</f>
        <v/>
      </c>
      <c r="AG153" s="524">
        <f>AF153/AF152-1</f>
        <v/>
      </c>
      <c r="AH153" s="524">
        <f>0.5*(ABS(L152-L151)+ABS(U152-U151)+ABS(AD152-AD151)+ABS(AE152-AE151))</f>
        <v/>
      </c>
      <c r="AI153" s="524">
        <f>L152*F153+U152*O153+AD152*X153+AE152*AG153</f>
        <v/>
      </c>
      <c r="AJ153" s="524">
        <f>AH153*$P$11</f>
        <v/>
      </c>
      <c r="AK153" s="524">
        <f>AI153-AJ153</f>
        <v/>
      </c>
      <c r="AL153" s="368">
        <f>AL152*(1+AK153)</f>
        <v/>
      </c>
      <c r="AM153" s="368">
        <f>MAX($AL$40:AL153)</f>
        <v/>
      </c>
      <c r="AN153" s="524">
        <f>AL153/AM153-1</f>
        <v/>
      </c>
      <c r="AO153" s="526">
        <f>AK153-AG153</f>
        <v/>
      </c>
    </row>
    <row r="154">
      <c r="C154" s="503" t="n">
        <v>44043</v>
      </c>
      <c r="D154" s="368">
        <f>D3167</f>
        <v/>
      </c>
      <c r="E154" s="368">
        <f>H3167</f>
        <v/>
      </c>
      <c r="F154" s="524">
        <f>D154/D153-1</f>
        <v/>
      </c>
      <c r="G154" s="524">
        <f>D154/D151-1</f>
        <v/>
      </c>
      <c r="H154" s="524">
        <f>D154/D148-1</f>
        <v/>
      </c>
      <c r="I154" s="524">
        <f>D154/D142-1</f>
        <v/>
      </c>
      <c r="J154" s="524">
        <f>STDEV.S(F143:F154)*SQRT(12)</f>
        <v/>
      </c>
      <c r="K154" s="368">
        <f>IF(AND(G154&gt;$P$6,H154&gt;$P$7,I154&gt;$P$8,D154&gt;E154,J154&lt;$P$10),1,0)</f>
        <v/>
      </c>
      <c r="L154" s="525">
        <f>IF(SUM(K154,T154,AC154)=0,0,K154/SUM(K154,T154,AC154))</f>
        <v/>
      </c>
      <c r="M154" s="368">
        <f>E3167</f>
        <v/>
      </c>
      <c r="N154" s="368">
        <f>I3167</f>
        <v/>
      </c>
      <c r="O154" s="524">
        <f>M154/M153-1</f>
        <v/>
      </c>
      <c r="P154" s="524">
        <f>M154/M151-1</f>
        <v/>
      </c>
      <c r="Q154" s="524">
        <f>M154/M148-1</f>
        <v/>
      </c>
      <c r="R154" s="524">
        <f>M154/M142-1</f>
        <v/>
      </c>
      <c r="S154" s="524">
        <f>STDEV.S(O143:O154)*SQRT(12)</f>
        <v/>
      </c>
      <c r="T154" s="368">
        <f>IF(AND(P154&gt;$P$6,Q154&gt;$P$7,R154&gt;$P$8,M154&gt;N154,S154&lt;$P$10),1,0)</f>
        <v/>
      </c>
      <c r="U154" s="525">
        <f>IF(SUM(K154,T154,AC154)=0,0,T154/SUM(K154,T154,AC154))</f>
        <v/>
      </c>
      <c r="V154" s="368">
        <f>F3167</f>
        <v/>
      </c>
      <c r="W154" s="368">
        <f>J3167</f>
        <v/>
      </c>
      <c r="X154" s="524">
        <f>V154/V153-1</f>
        <v/>
      </c>
      <c r="Y154" s="524">
        <f>V154/V151-1</f>
        <v/>
      </c>
      <c r="Z154" s="524">
        <f>V154/V148-1</f>
        <v/>
      </c>
      <c r="AA154" s="524">
        <f>V154/V142-1</f>
        <v/>
      </c>
      <c r="AB154" s="524">
        <f>STDEV.S(X143:X154)*SQRT(12)</f>
        <v/>
      </c>
      <c r="AC154" s="368">
        <f>IF(AND(Y154&gt;$P$6,Z154&gt;$P$7,AA154&gt;$P$8,V154&gt;W154,AB154&lt;$P$10),1,0)</f>
        <v/>
      </c>
      <c r="AD154" s="525">
        <f>IF(SUM(K154,T154,AC154)=0,0,AC154/SUM(K154,T154,AC154))</f>
        <v/>
      </c>
      <c r="AE154" s="525">
        <f>IF(SUM(K154,T154,AC154)=0,1,0)</f>
        <v/>
      </c>
      <c r="AF154" s="368">
        <f>G3167</f>
        <v/>
      </c>
      <c r="AG154" s="524">
        <f>AF154/AF153-1</f>
        <v/>
      </c>
      <c r="AH154" s="524">
        <f>0.5*(ABS(L153-L152)+ABS(U153-U152)+ABS(AD153-AD152)+ABS(AE153-AE152))</f>
        <v/>
      </c>
      <c r="AI154" s="524">
        <f>L153*F154+U153*O154+AD153*X154+AE153*AG154</f>
        <v/>
      </c>
      <c r="AJ154" s="524">
        <f>AH154*$P$11</f>
        <v/>
      </c>
      <c r="AK154" s="524">
        <f>AI154-AJ154</f>
        <v/>
      </c>
      <c r="AL154" s="368">
        <f>AL153*(1+AK154)</f>
        <v/>
      </c>
      <c r="AM154" s="368">
        <f>MAX($AL$40:AL154)</f>
        <v/>
      </c>
      <c r="AN154" s="524">
        <f>AL154/AM154-1</f>
        <v/>
      </c>
      <c r="AO154" s="526">
        <f>AK154-AG154</f>
        <v/>
      </c>
    </row>
    <row r="155">
      <c r="C155" s="503" t="n">
        <v>44074</v>
      </c>
      <c r="D155" s="368">
        <f>D3188</f>
        <v/>
      </c>
      <c r="E155" s="368">
        <f>H3188</f>
        <v/>
      </c>
      <c r="F155" s="524">
        <f>D155/D154-1</f>
        <v/>
      </c>
      <c r="G155" s="524">
        <f>D155/D152-1</f>
        <v/>
      </c>
      <c r="H155" s="524">
        <f>D155/D149-1</f>
        <v/>
      </c>
      <c r="I155" s="524">
        <f>D155/D143-1</f>
        <v/>
      </c>
      <c r="J155" s="524">
        <f>STDEV.S(F144:F155)*SQRT(12)</f>
        <v/>
      </c>
      <c r="K155" s="368">
        <f>IF(AND(G155&gt;$P$6,H155&gt;$P$7,I155&gt;$P$8,D155&gt;E155,J155&lt;$P$10),1,0)</f>
        <v/>
      </c>
      <c r="L155" s="525">
        <f>IF(SUM(K155,T155,AC155)=0,0,K155/SUM(K155,T155,AC155))</f>
        <v/>
      </c>
      <c r="M155" s="368">
        <f>E3188</f>
        <v/>
      </c>
      <c r="N155" s="368">
        <f>I3188</f>
        <v/>
      </c>
      <c r="O155" s="524">
        <f>M155/M154-1</f>
        <v/>
      </c>
      <c r="P155" s="524">
        <f>M155/M152-1</f>
        <v/>
      </c>
      <c r="Q155" s="524">
        <f>M155/M149-1</f>
        <v/>
      </c>
      <c r="R155" s="524">
        <f>M155/M143-1</f>
        <v/>
      </c>
      <c r="S155" s="524">
        <f>STDEV.S(O144:O155)*SQRT(12)</f>
        <v/>
      </c>
      <c r="T155" s="368">
        <f>IF(AND(P155&gt;$P$6,Q155&gt;$P$7,R155&gt;$P$8,M155&gt;N155,S155&lt;$P$10),1,0)</f>
        <v/>
      </c>
      <c r="U155" s="525">
        <f>IF(SUM(K155,T155,AC155)=0,0,T155/SUM(K155,T155,AC155))</f>
        <v/>
      </c>
      <c r="V155" s="368">
        <f>F3188</f>
        <v/>
      </c>
      <c r="W155" s="368">
        <f>J3188</f>
        <v/>
      </c>
      <c r="X155" s="524">
        <f>V155/V154-1</f>
        <v/>
      </c>
      <c r="Y155" s="524">
        <f>V155/V152-1</f>
        <v/>
      </c>
      <c r="Z155" s="524">
        <f>V155/V149-1</f>
        <v/>
      </c>
      <c r="AA155" s="524">
        <f>V155/V143-1</f>
        <v/>
      </c>
      <c r="AB155" s="524">
        <f>STDEV.S(X144:X155)*SQRT(12)</f>
        <v/>
      </c>
      <c r="AC155" s="368">
        <f>IF(AND(Y155&gt;$P$6,Z155&gt;$P$7,AA155&gt;$P$8,V155&gt;W155,AB155&lt;$P$10),1,0)</f>
        <v/>
      </c>
      <c r="AD155" s="525">
        <f>IF(SUM(K155,T155,AC155)=0,0,AC155/SUM(K155,T155,AC155))</f>
        <v/>
      </c>
      <c r="AE155" s="525">
        <f>IF(SUM(K155,T155,AC155)=0,1,0)</f>
        <v/>
      </c>
      <c r="AF155" s="368">
        <f>G3188</f>
        <v/>
      </c>
      <c r="AG155" s="524">
        <f>AF155/AF154-1</f>
        <v/>
      </c>
      <c r="AH155" s="524">
        <f>0.5*(ABS(L154-L153)+ABS(U154-U153)+ABS(AD154-AD153)+ABS(AE154-AE153))</f>
        <v/>
      </c>
      <c r="AI155" s="524">
        <f>L154*F155+U154*O155+AD154*X155+AE154*AG155</f>
        <v/>
      </c>
      <c r="AJ155" s="524">
        <f>AH155*$P$11</f>
        <v/>
      </c>
      <c r="AK155" s="524">
        <f>AI155-AJ155</f>
        <v/>
      </c>
      <c r="AL155" s="368">
        <f>AL154*(1+AK155)</f>
        <v/>
      </c>
      <c r="AM155" s="368">
        <f>MAX($AL$40:AL155)</f>
        <v/>
      </c>
      <c r="AN155" s="524">
        <f>AL155/AM155-1</f>
        <v/>
      </c>
      <c r="AO155" s="526">
        <f>AK155-AG155</f>
        <v/>
      </c>
    </row>
    <row r="156">
      <c r="C156" s="503" t="n">
        <v>44104</v>
      </c>
      <c r="D156" s="368">
        <f>D3209</f>
        <v/>
      </c>
      <c r="E156" s="368">
        <f>H3209</f>
        <v/>
      </c>
      <c r="F156" s="524">
        <f>D156/D155-1</f>
        <v/>
      </c>
      <c r="G156" s="524">
        <f>D156/D153-1</f>
        <v/>
      </c>
      <c r="H156" s="524">
        <f>D156/D150-1</f>
        <v/>
      </c>
      <c r="I156" s="524">
        <f>D156/D144-1</f>
        <v/>
      </c>
      <c r="J156" s="524">
        <f>STDEV.S(F145:F156)*SQRT(12)</f>
        <v/>
      </c>
      <c r="K156" s="368">
        <f>IF(AND(G156&gt;$P$6,H156&gt;$P$7,I156&gt;$P$8,D156&gt;E156,J156&lt;$P$10),1,0)</f>
        <v/>
      </c>
      <c r="L156" s="525">
        <f>IF(SUM(K156,T156,AC156)=0,0,K156/SUM(K156,T156,AC156))</f>
        <v/>
      </c>
      <c r="M156" s="368">
        <f>E3209</f>
        <v/>
      </c>
      <c r="N156" s="368">
        <f>I3209</f>
        <v/>
      </c>
      <c r="O156" s="524">
        <f>M156/M155-1</f>
        <v/>
      </c>
      <c r="P156" s="524">
        <f>M156/M153-1</f>
        <v/>
      </c>
      <c r="Q156" s="524">
        <f>M156/M150-1</f>
        <v/>
      </c>
      <c r="R156" s="524">
        <f>M156/M144-1</f>
        <v/>
      </c>
      <c r="S156" s="524">
        <f>STDEV.S(O145:O156)*SQRT(12)</f>
        <v/>
      </c>
      <c r="T156" s="368">
        <f>IF(AND(P156&gt;$P$6,Q156&gt;$P$7,R156&gt;$P$8,M156&gt;N156,S156&lt;$P$10),1,0)</f>
        <v/>
      </c>
      <c r="U156" s="525">
        <f>IF(SUM(K156,T156,AC156)=0,0,T156/SUM(K156,T156,AC156))</f>
        <v/>
      </c>
      <c r="V156" s="368">
        <f>F3209</f>
        <v/>
      </c>
      <c r="W156" s="368">
        <f>J3209</f>
        <v/>
      </c>
      <c r="X156" s="524">
        <f>V156/V155-1</f>
        <v/>
      </c>
      <c r="Y156" s="524">
        <f>V156/V153-1</f>
        <v/>
      </c>
      <c r="Z156" s="524">
        <f>V156/V150-1</f>
        <v/>
      </c>
      <c r="AA156" s="524">
        <f>V156/V144-1</f>
        <v/>
      </c>
      <c r="AB156" s="524">
        <f>STDEV.S(X145:X156)*SQRT(12)</f>
        <v/>
      </c>
      <c r="AC156" s="368">
        <f>IF(AND(Y156&gt;$P$6,Z156&gt;$P$7,AA156&gt;$P$8,V156&gt;W156,AB156&lt;$P$10),1,0)</f>
        <v/>
      </c>
      <c r="AD156" s="525">
        <f>IF(SUM(K156,T156,AC156)=0,0,AC156/SUM(K156,T156,AC156))</f>
        <v/>
      </c>
      <c r="AE156" s="525">
        <f>IF(SUM(K156,T156,AC156)=0,1,0)</f>
        <v/>
      </c>
      <c r="AF156" s="368">
        <f>G3209</f>
        <v/>
      </c>
      <c r="AG156" s="524">
        <f>AF156/AF155-1</f>
        <v/>
      </c>
      <c r="AH156" s="524">
        <f>0.5*(ABS(L155-L154)+ABS(U155-U154)+ABS(AD155-AD154)+ABS(AE155-AE154))</f>
        <v/>
      </c>
      <c r="AI156" s="524">
        <f>L155*F156+U155*O156+AD155*X156+AE155*AG156</f>
        <v/>
      </c>
      <c r="AJ156" s="524">
        <f>AH156*$P$11</f>
        <v/>
      </c>
      <c r="AK156" s="524">
        <f>AI156-AJ156</f>
        <v/>
      </c>
      <c r="AL156" s="368">
        <f>AL155*(1+AK156)</f>
        <v/>
      </c>
      <c r="AM156" s="368">
        <f>MAX($AL$40:AL156)</f>
        <v/>
      </c>
      <c r="AN156" s="524">
        <f>AL156/AM156-1</f>
        <v/>
      </c>
      <c r="AO156" s="526">
        <f>AK156-AG156</f>
        <v/>
      </c>
    </row>
    <row r="157">
      <c r="C157" s="503" t="n">
        <v>44135</v>
      </c>
      <c r="D157" s="368">
        <f>D3231</f>
        <v/>
      </c>
      <c r="E157" s="368">
        <f>H3231</f>
        <v/>
      </c>
      <c r="F157" s="524">
        <f>D157/D156-1</f>
        <v/>
      </c>
      <c r="G157" s="524">
        <f>D157/D154-1</f>
        <v/>
      </c>
      <c r="H157" s="524">
        <f>D157/D151-1</f>
        <v/>
      </c>
      <c r="I157" s="524">
        <f>D157/D145-1</f>
        <v/>
      </c>
      <c r="J157" s="524">
        <f>STDEV.S(F146:F157)*SQRT(12)</f>
        <v/>
      </c>
      <c r="K157" s="368">
        <f>IF(AND(G157&gt;$P$6,H157&gt;$P$7,I157&gt;$P$8,D157&gt;E157,J157&lt;$P$10),1,0)</f>
        <v/>
      </c>
      <c r="L157" s="525">
        <f>IF(SUM(K157,T157,AC157)=0,0,K157/SUM(K157,T157,AC157))</f>
        <v/>
      </c>
      <c r="M157" s="368">
        <f>E3231</f>
        <v/>
      </c>
      <c r="N157" s="368">
        <f>I3231</f>
        <v/>
      </c>
      <c r="O157" s="524">
        <f>M157/M156-1</f>
        <v/>
      </c>
      <c r="P157" s="524">
        <f>M157/M154-1</f>
        <v/>
      </c>
      <c r="Q157" s="524">
        <f>M157/M151-1</f>
        <v/>
      </c>
      <c r="R157" s="524">
        <f>M157/M145-1</f>
        <v/>
      </c>
      <c r="S157" s="524">
        <f>STDEV.S(O146:O157)*SQRT(12)</f>
        <v/>
      </c>
      <c r="T157" s="368">
        <f>IF(AND(P157&gt;$P$6,Q157&gt;$P$7,R157&gt;$P$8,M157&gt;N157,S157&lt;$P$10),1,0)</f>
        <v/>
      </c>
      <c r="U157" s="525">
        <f>IF(SUM(K157,T157,AC157)=0,0,T157/SUM(K157,T157,AC157))</f>
        <v/>
      </c>
      <c r="V157" s="368">
        <f>F3231</f>
        <v/>
      </c>
      <c r="W157" s="368">
        <f>J3231</f>
        <v/>
      </c>
      <c r="X157" s="524">
        <f>V157/V156-1</f>
        <v/>
      </c>
      <c r="Y157" s="524">
        <f>V157/V154-1</f>
        <v/>
      </c>
      <c r="Z157" s="524">
        <f>V157/V151-1</f>
        <v/>
      </c>
      <c r="AA157" s="524">
        <f>V157/V145-1</f>
        <v/>
      </c>
      <c r="AB157" s="524">
        <f>STDEV.S(X146:X157)*SQRT(12)</f>
        <v/>
      </c>
      <c r="AC157" s="368">
        <f>IF(AND(Y157&gt;$P$6,Z157&gt;$P$7,AA157&gt;$P$8,V157&gt;W157,AB157&lt;$P$10),1,0)</f>
        <v/>
      </c>
      <c r="AD157" s="525">
        <f>IF(SUM(K157,T157,AC157)=0,0,AC157/SUM(K157,T157,AC157))</f>
        <v/>
      </c>
      <c r="AE157" s="525">
        <f>IF(SUM(K157,T157,AC157)=0,1,0)</f>
        <v/>
      </c>
      <c r="AF157" s="368">
        <f>G3231</f>
        <v/>
      </c>
      <c r="AG157" s="524">
        <f>AF157/AF156-1</f>
        <v/>
      </c>
      <c r="AH157" s="524">
        <f>0.5*(ABS(L156-L155)+ABS(U156-U155)+ABS(AD156-AD155)+ABS(AE156-AE155))</f>
        <v/>
      </c>
      <c r="AI157" s="524">
        <f>L156*F157+U156*O157+AD156*X157+AE156*AG157</f>
        <v/>
      </c>
      <c r="AJ157" s="524">
        <f>AH157*$P$11</f>
        <v/>
      </c>
      <c r="AK157" s="524">
        <f>AI157-AJ157</f>
        <v/>
      </c>
      <c r="AL157" s="368">
        <f>AL156*(1+AK157)</f>
        <v/>
      </c>
      <c r="AM157" s="368">
        <f>MAX($AL$40:AL157)</f>
        <v/>
      </c>
      <c r="AN157" s="524">
        <f>AL157/AM157-1</f>
        <v/>
      </c>
      <c r="AO157" s="526">
        <f>AK157-AG157</f>
        <v/>
      </c>
    </row>
    <row r="158">
      <c r="C158" s="503" t="n">
        <v>44165</v>
      </c>
      <c r="D158" s="368">
        <f>D3251</f>
        <v/>
      </c>
      <c r="E158" s="368">
        <f>H3251</f>
        <v/>
      </c>
      <c r="F158" s="524">
        <f>D158/D157-1</f>
        <v/>
      </c>
      <c r="G158" s="524">
        <f>D158/D155-1</f>
        <v/>
      </c>
      <c r="H158" s="524">
        <f>D158/D152-1</f>
        <v/>
      </c>
      <c r="I158" s="524">
        <f>D158/D146-1</f>
        <v/>
      </c>
      <c r="J158" s="524">
        <f>STDEV.S(F147:F158)*SQRT(12)</f>
        <v/>
      </c>
      <c r="K158" s="368">
        <f>IF(AND(G158&gt;$P$6,H158&gt;$P$7,I158&gt;$P$8,D158&gt;E158,J158&lt;$P$10),1,0)</f>
        <v/>
      </c>
      <c r="L158" s="525">
        <f>IF(SUM(K158,T158,AC158)=0,0,K158/SUM(K158,T158,AC158))</f>
        <v/>
      </c>
      <c r="M158" s="368">
        <f>E3251</f>
        <v/>
      </c>
      <c r="N158" s="368">
        <f>I3251</f>
        <v/>
      </c>
      <c r="O158" s="524">
        <f>M158/M157-1</f>
        <v/>
      </c>
      <c r="P158" s="524">
        <f>M158/M155-1</f>
        <v/>
      </c>
      <c r="Q158" s="524">
        <f>M158/M152-1</f>
        <v/>
      </c>
      <c r="R158" s="524">
        <f>M158/M146-1</f>
        <v/>
      </c>
      <c r="S158" s="524">
        <f>STDEV.S(O147:O158)*SQRT(12)</f>
        <v/>
      </c>
      <c r="T158" s="368">
        <f>IF(AND(P158&gt;$P$6,Q158&gt;$P$7,R158&gt;$P$8,M158&gt;N158,S158&lt;$P$10),1,0)</f>
        <v/>
      </c>
      <c r="U158" s="525">
        <f>IF(SUM(K158,T158,AC158)=0,0,T158/SUM(K158,T158,AC158))</f>
        <v/>
      </c>
      <c r="V158" s="368">
        <f>F3251</f>
        <v/>
      </c>
      <c r="W158" s="368">
        <f>J3251</f>
        <v/>
      </c>
      <c r="X158" s="524">
        <f>V158/V157-1</f>
        <v/>
      </c>
      <c r="Y158" s="524">
        <f>V158/V155-1</f>
        <v/>
      </c>
      <c r="Z158" s="524">
        <f>V158/V152-1</f>
        <v/>
      </c>
      <c r="AA158" s="524">
        <f>V158/V146-1</f>
        <v/>
      </c>
      <c r="AB158" s="524">
        <f>STDEV.S(X147:X158)*SQRT(12)</f>
        <v/>
      </c>
      <c r="AC158" s="368">
        <f>IF(AND(Y158&gt;$P$6,Z158&gt;$P$7,AA158&gt;$P$8,V158&gt;W158,AB158&lt;$P$10),1,0)</f>
        <v/>
      </c>
      <c r="AD158" s="525">
        <f>IF(SUM(K158,T158,AC158)=0,0,AC158/SUM(K158,T158,AC158))</f>
        <v/>
      </c>
      <c r="AE158" s="525">
        <f>IF(SUM(K158,T158,AC158)=0,1,0)</f>
        <v/>
      </c>
      <c r="AF158" s="368">
        <f>G3251</f>
        <v/>
      </c>
      <c r="AG158" s="524">
        <f>AF158/AF157-1</f>
        <v/>
      </c>
      <c r="AH158" s="524">
        <f>0.5*(ABS(L157-L156)+ABS(U157-U156)+ABS(AD157-AD156)+ABS(AE157-AE156))</f>
        <v/>
      </c>
      <c r="AI158" s="524">
        <f>L157*F158+U157*O158+AD157*X158+AE157*AG158</f>
        <v/>
      </c>
      <c r="AJ158" s="524">
        <f>AH158*$P$11</f>
        <v/>
      </c>
      <c r="AK158" s="524">
        <f>AI158-AJ158</f>
        <v/>
      </c>
      <c r="AL158" s="368">
        <f>AL157*(1+AK158)</f>
        <v/>
      </c>
      <c r="AM158" s="368">
        <f>MAX($AL$40:AL158)</f>
        <v/>
      </c>
      <c r="AN158" s="524">
        <f>AL158/AM158-1</f>
        <v/>
      </c>
      <c r="AO158" s="526">
        <f>AK158-AG158</f>
        <v/>
      </c>
    </row>
    <row r="159">
      <c r="C159" s="503" t="n">
        <v>44196</v>
      </c>
      <c r="D159" s="368">
        <f>D3273</f>
        <v/>
      </c>
      <c r="E159" s="368">
        <f>H3273</f>
        <v/>
      </c>
      <c r="F159" s="524">
        <f>D159/D158-1</f>
        <v/>
      </c>
      <c r="G159" s="524">
        <f>D159/D156-1</f>
        <v/>
      </c>
      <c r="H159" s="524">
        <f>D159/D153-1</f>
        <v/>
      </c>
      <c r="I159" s="524">
        <f>D159/D147-1</f>
        <v/>
      </c>
      <c r="J159" s="524">
        <f>STDEV.S(F148:F159)*SQRT(12)</f>
        <v/>
      </c>
      <c r="K159" s="368">
        <f>IF(AND(G159&gt;$P$6,H159&gt;$P$7,I159&gt;$P$8,D159&gt;E159,J159&lt;$P$10),1,0)</f>
        <v/>
      </c>
      <c r="L159" s="525">
        <f>IF(SUM(K159,T159,AC159)=0,0,K159/SUM(K159,T159,AC159))</f>
        <v/>
      </c>
      <c r="M159" s="368">
        <f>E3273</f>
        <v/>
      </c>
      <c r="N159" s="368">
        <f>I3273</f>
        <v/>
      </c>
      <c r="O159" s="524">
        <f>M159/M158-1</f>
        <v/>
      </c>
      <c r="P159" s="524">
        <f>M159/M156-1</f>
        <v/>
      </c>
      <c r="Q159" s="524">
        <f>M159/M153-1</f>
        <v/>
      </c>
      <c r="R159" s="524">
        <f>M159/M147-1</f>
        <v/>
      </c>
      <c r="S159" s="524">
        <f>STDEV.S(O148:O159)*SQRT(12)</f>
        <v/>
      </c>
      <c r="T159" s="368">
        <f>IF(AND(P159&gt;$P$6,Q159&gt;$P$7,R159&gt;$P$8,M159&gt;N159,S159&lt;$P$10),1,0)</f>
        <v/>
      </c>
      <c r="U159" s="525">
        <f>IF(SUM(K159,T159,AC159)=0,0,T159/SUM(K159,T159,AC159))</f>
        <v/>
      </c>
      <c r="V159" s="368">
        <f>F3273</f>
        <v/>
      </c>
      <c r="W159" s="368">
        <f>J3273</f>
        <v/>
      </c>
      <c r="X159" s="524">
        <f>V159/V158-1</f>
        <v/>
      </c>
      <c r="Y159" s="524">
        <f>V159/V156-1</f>
        <v/>
      </c>
      <c r="Z159" s="524">
        <f>V159/V153-1</f>
        <v/>
      </c>
      <c r="AA159" s="524">
        <f>V159/V147-1</f>
        <v/>
      </c>
      <c r="AB159" s="524">
        <f>STDEV.S(X148:X159)*SQRT(12)</f>
        <v/>
      </c>
      <c r="AC159" s="368">
        <f>IF(AND(Y159&gt;$P$6,Z159&gt;$P$7,AA159&gt;$P$8,V159&gt;W159,AB159&lt;$P$10),1,0)</f>
        <v/>
      </c>
      <c r="AD159" s="525">
        <f>IF(SUM(K159,T159,AC159)=0,0,AC159/SUM(K159,T159,AC159))</f>
        <v/>
      </c>
      <c r="AE159" s="525">
        <f>IF(SUM(K159,T159,AC159)=0,1,0)</f>
        <v/>
      </c>
      <c r="AF159" s="368">
        <f>G3273</f>
        <v/>
      </c>
      <c r="AG159" s="524">
        <f>AF159/AF158-1</f>
        <v/>
      </c>
      <c r="AH159" s="524">
        <f>0.5*(ABS(L158-L157)+ABS(U158-U157)+ABS(AD158-AD157)+ABS(AE158-AE157))</f>
        <v/>
      </c>
      <c r="AI159" s="524">
        <f>L158*F159+U158*O159+AD158*X159+AE158*AG159</f>
        <v/>
      </c>
      <c r="AJ159" s="524">
        <f>AH159*$P$11</f>
        <v/>
      </c>
      <c r="AK159" s="524">
        <f>AI159-AJ159</f>
        <v/>
      </c>
      <c r="AL159" s="368">
        <f>AL158*(1+AK159)</f>
        <v/>
      </c>
      <c r="AM159" s="368">
        <f>MAX($AL$40:AL159)</f>
        <v/>
      </c>
      <c r="AN159" s="524">
        <f>AL159/AM159-1</f>
        <v/>
      </c>
      <c r="AO159" s="526">
        <f>AK159-AG159</f>
        <v/>
      </c>
    </row>
    <row r="160">
      <c r="C160" s="503" t="n">
        <v>44227</v>
      </c>
      <c r="D160" s="368">
        <f>D3292</f>
        <v/>
      </c>
      <c r="E160" s="368">
        <f>H3292</f>
        <v/>
      </c>
      <c r="F160" s="524">
        <f>D160/D159-1</f>
        <v/>
      </c>
      <c r="G160" s="524">
        <f>D160/D157-1</f>
        <v/>
      </c>
      <c r="H160" s="524">
        <f>D160/D154-1</f>
        <v/>
      </c>
      <c r="I160" s="524">
        <f>D160/D148-1</f>
        <v/>
      </c>
      <c r="J160" s="524">
        <f>STDEV.S(F149:F160)*SQRT(12)</f>
        <v/>
      </c>
      <c r="K160" s="368">
        <f>IF(AND(G160&gt;$P$6,H160&gt;$P$7,I160&gt;$P$8,D160&gt;E160,J160&lt;$P$10),1,0)</f>
        <v/>
      </c>
      <c r="L160" s="525">
        <f>IF(SUM(K160,T160,AC160)=0,0,K160/SUM(K160,T160,AC160))</f>
        <v/>
      </c>
      <c r="M160" s="368">
        <f>E3292</f>
        <v/>
      </c>
      <c r="N160" s="368">
        <f>I3292</f>
        <v/>
      </c>
      <c r="O160" s="524">
        <f>M160/M159-1</f>
        <v/>
      </c>
      <c r="P160" s="524">
        <f>M160/M157-1</f>
        <v/>
      </c>
      <c r="Q160" s="524">
        <f>M160/M154-1</f>
        <v/>
      </c>
      <c r="R160" s="524">
        <f>M160/M148-1</f>
        <v/>
      </c>
      <c r="S160" s="524">
        <f>STDEV.S(O149:O160)*SQRT(12)</f>
        <v/>
      </c>
      <c r="T160" s="368">
        <f>IF(AND(P160&gt;$P$6,Q160&gt;$P$7,R160&gt;$P$8,M160&gt;N160,S160&lt;$P$10),1,0)</f>
        <v/>
      </c>
      <c r="U160" s="525">
        <f>IF(SUM(K160,T160,AC160)=0,0,T160/SUM(K160,T160,AC160))</f>
        <v/>
      </c>
      <c r="V160" s="368">
        <f>F3292</f>
        <v/>
      </c>
      <c r="W160" s="368">
        <f>J3292</f>
        <v/>
      </c>
      <c r="X160" s="524">
        <f>V160/V159-1</f>
        <v/>
      </c>
      <c r="Y160" s="524">
        <f>V160/V157-1</f>
        <v/>
      </c>
      <c r="Z160" s="524">
        <f>V160/V154-1</f>
        <v/>
      </c>
      <c r="AA160" s="524">
        <f>V160/V148-1</f>
        <v/>
      </c>
      <c r="AB160" s="524">
        <f>STDEV.S(X149:X160)*SQRT(12)</f>
        <v/>
      </c>
      <c r="AC160" s="368">
        <f>IF(AND(Y160&gt;$P$6,Z160&gt;$P$7,AA160&gt;$P$8,V160&gt;W160,AB160&lt;$P$10),1,0)</f>
        <v/>
      </c>
      <c r="AD160" s="525">
        <f>IF(SUM(K160,T160,AC160)=0,0,AC160/SUM(K160,T160,AC160))</f>
        <v/>
      </c>
      <c r="AE160" s="525">
        <f>IF(SUM(K160,T160,AC160)=0,1,0)</f>
        <v/>
      </c>
      <c r="AF160" s="368">
        <f>G3292</f>
        <v/>
      </c>
      <c r="AG160" s="524">
        <f>AF160/AF159-1</f>
        <v/>
      </c>
      <c r="AH160" s="524">
        <f>0.5*(ABS(L159-L158)+ABS(U159-U158)+ABS(AD159-AD158)+ABS(AE159-AE158))</f>
        <v/>
      </c>
      <c r="AI160" s="524">
        <f>L159*F160+U159*O160+AD159*X160+AE159*AG160</f>
        <v/>
      </c>
      <c r="AJ160" s="524">
        <f>AH160*$P$11</f>
        <v/>
      </c>
      <c r="AK160" s="524">
        <f>AI160-AJ160</f>
        <v/>
      </c>
      <c r="AL160" s="368">
        <f>AL159*(1+AK160)</f>
        <v/>
      </c>
      <c r="AM160" s="368">
        <f>MAX($AL$40:AL160)</f>
        <v/>
      </c>
      <c r="AN160" s="524">
        <f>AL160/AM160-1</f>
        <v/>
      </c>
      <c r="AO160" s="526">
        <f>AK160-AG160</f>
        <v/>
      </c>
    </row>
    <row r="161">
      <c r="C161" s="503" t="n">
        <v>44255</v>
      </c>
      <c r="D161" s="368">
        <f>D3311</f>
        <v/>
      </c>
      <c r="E161" s="368">
        <f>H3311</f>
        <v/>
      </c>
      <c r="F161" s="524">
        <f>D161/D160-1</f>
        <v/>
      </c>
      <c r="G161" s="524">
        <f>D161/D158-1</f>
        <v/>
      </c>
      <c r="H161" s="524">
        <f>D161/D155-1</f>
        <v/>
      </c>
      <c r="I161" s="524">
        <f>D161/D149-1</f>
        <v/>
      </c>
      <c r="J161" s="524">
        <f>STDEV.S(F150:F161)*SQRT(12)</f>
        <v/>
      </c>
      <c r="K161" s="368">
        <f>IF(AND(G161&gt;$P$6,H161&gt;$P$7,I161&gt;$P$8,D161&gt;E161,J161&lt;$P$10),1,0)</f>
        <v/>
      </c>
      <c r="L161" s="525">
        <f>IF(SUM(K161,T161,AC161)=0,0,K161/SUM(K161,T161,AC161))</f>
        <v/>
      </c>
      <c r="M161" s="368">
        <f>E3311</f>
        <v/>
      </c>
      <c r="N161" s="368">
        <f>I3311</f>
        <v/>
      </c>
      <c r="O161" s="524">
        <f>M161/M160-1</f>
        <v/>
      </c>
      <c r="P161" s="524">
        <f>M161/M158-1</f>
        <v/>
      </c>
      <c r="Q161" s="524">
        <f>M161/M155-1</f>
        <v/>
      </c>
      <c r="R161" s="524">
        <f>M161/M149-1</f>
        <v/>
      </c>
      <c r="S161" s="524">
        <f>STDEV.S(O150:O161)*SQRT(12)</f>
        <v/>
      </c>
      <c r="T161" s="368">
        <f>IF(AND(P161&gt;$P$6,Q161&gt;$P$7,R161&gt;$P$8,M161&gt;N161,S161&lt;$P$10),1,0)</f>
        <v/>
      </c>
      <c r="U161" s="525">
        <f>IF(SUM(K161,T161,AC161)=0,0,T161/SUM(K161,T161,AC161))</f>
        <v/>
      </c>
      <c r="V161" s="368">
        <f>F3311</f>
        <v/>
      </c>
      <c r="W161" s="368">
        <f>J3311</f>
        <v/>
      </c>
      <c r="X161" s="524">
        <f>V161/V160-1</f>
        <v/>
      </c>
      <c r="Y161" s="524">
        <f>V161/V158-1</f>
        <v/>
      </c>
      <c r="Z161" s="524">
        <f>V161/V155-1</f>
        <v/>
      </c>
      <c r="AA161" s="524">
        <f>V161/V149-1</f>
        <v/>
      </c>
      <c r="AB161" s="524">
        <f>STDEV.S(X150:X161)*SQRT(12)</f>
        <v/>
      </c>
      <c r="AC161" s="368">
        <f>IF(AND(Y161&gt;$P$6,Z161&gt;$P$7,AA161&gt;$P$8,V161&gt;W161,AB161&lt;$P$10),1,0)</f>
        <v/>
      </c>
      <c r="AD161" s="525">
        <f>IF(SUM(K161,T161,AC161)=0,0,AC161/SUM(K161,T161,AC161))</f>
        <v/>
      </c>
      <c r="AE161" s="525">
        <f>IF(SUM(K161,T161,AC161)=0,1,0)</f>
        <v/>
      </c>
      <c r="AF161" s="368">
        <f>G3311</f>
        <v/>
      </c>
      <c r="AG161" s="524">
        <f>AF161/AF160-1</f>
        <v/>
      </c>
      <c r="AH161" s="524">
        <f>0.5*(ABS(L160-L159)+ABS(U160-U159)+ABS(AD160-AD159)+ABS(AE160-AE159))</f>
        <v/>
      </c>
      <c r="AI161" s="524">
        <f>L160*F161+U160*O161+AD160*X161+AE160*AG161</f>
        <v/>
      </c>
      <c r="AJ161" s="524">
        <f>AH161*$P$11</f>
        <v/>
      </c>
      <c r="AK161" s="524">
        <f>AI161-AJ161</f>
        <v/>
      </c>
      <c r="AL161" s="368">
        <f>AL160*(1+AK161)</f>
        <v/>
      </c>
      <c r="AM161" s="368">
        <f>MAX($AL$40:AL161)</f>
        <v/>
      </c>
      <c r="AN161" s="524">
        <f>AL161/AM161-1</f>
        <v/>
      </c>
      <c r="AO161" s="526">
        <f>AK161-AG161</f>
        <v/>
      </c>
    </row>
    <row r="162">
      <c r="C162" s="503" t="n">
        <v>44286</v>
      </c>
      <c r="D162" s="368">
        <f>D3334</f>
        <v/>
      </c>
      <c r="E162" s="368">
        <f>H3334</f>
        <v/>
      </c>
      <c r="F162" s="524">
        <f>D162/D161-1</f>
        <v/>
      </c>
      <c r="G162" s="524">
        <f>D162/D159-1</f>
        <v/>
      </c>
      <c r="H162" s="524">
        <f>D162/D156-1</f>
        <v/>
      </c>
      <c r="I162" s="524">
        <f>D162/D150-1</f>
        <v/>
      </c>
      <c r="J162" s="524">
        <f>STDEV.S(F151:F162)*SQRT(12)</f>
        <v/>
      </c>
      <c r="K162" s="368">
        <f>IF(AND(G162&gt;$P$6,H162&gt;$P$7,I162&gt;$P$8,D162&gt;E162,J162&lt;$P$10),1,0)</f>
        <v/>
      </c>
      <c r="L162" s="525">
        <f>IF(SUM(K162,T162,AC162)=0,0,K162/SUM(K162,T162,AC162))</f>
        <v/>
      </c>
      <c r="M162" s="368">
        <f>E3334</f>
        <v/>
      </c>
      <c r="N162" s="368">
        <f>I3334</f>
        <v/>
      </c>
      <c r="O162" s="524">
        <f>M162/M161-1</f>
        <v/>
      </c>
      <c r="P162" s="524">
        <f>M162/M159-1</f>
        <v/>
      </c>
      <c r="Q162" s="524">
        <f>M162/M156-1</f>
        <v/>
      </c>
      <c r="R162" s="524">
        <f>M162/M150-1</f>
        <v/>
      </c>
      <c r="S162" s="524">
        <f>STDEV.S(O151:O162)*SQRT(12)</f>
        <v/>
      </c>
      <c r="T162" s="368">
        <f>IF(AND(P162&gt;$P$6,Q162&gt;$P$7,R162&gt;$P$8,M162&gt;N162,S162&lt;$P$10),1,0)</f>
        <v/>
      </c>
      <c r="U162" s="525">
        <f>IF(SUM(K162,T162,AC162)=0,0,T162/SUM(K162,T162,AC162))</f>
        <v/>
      </c>
      <c r="V162" s="368">
        <f>F3334</f>
        <v/>
      </c>
      <c r="W162" s="368">
        <f>J3334</f>
        <v/>
      </c>
      <c r="X162" s="524">
        <f>V162/V161-1</f>
        <v/>
      </c>
      <c r="Y162" s="524">
        <f>V162/V159-1</f>
        <v/>
      </c>
      <c r="Z162" s="524">
        <f>V162/V156-1</f>
        <v/>
      </c>
      <c r="AA162" s="524">
        <f>V162/V150-1</f>
        <v/>
      </c>
      <c r="AB162" s="524">
        <f>STDEV.S(X151:X162)*SQRT(12)</f>
        <v/>
      </c>
      <c r="AC162" s="368">
        <f>IF(AND(Y162&gt;$P$6,Z162&gt;$P$7,AA162&gt;$P$8,V162&gt;W162,AB162&lt;$P$10),1,0)</f>
        <v/>
      </c>
      <c r="AD162" s="525">
        <f>IF(SUM(K162,T162,AC162)=0,0,AC162/SUM(K162,T162,AC162))</f>
        <v/>
      </c>
      <c r="AE162" s="525">
        <f>IF(SUM(K162,T162,AC162)=0,1,0)</f>
        <v/>
      </c>
      <c r="AF162" s="368">
        <f>G3334</f>
        <v/>
      </c>
      <c r="AG162" s="524">
        <f>AF162/AF161-1</f>
        <v/>
      </c>
      <c r="AH162" s="524">
        <f>0.5*(ABS(L161-L160)+ABS(U161-U160)+ABS(AD161-AD160)+ABS(AE161-AE160))</f>
        <v/>
      </c>
      <c r="AI162" s="524">
        <f>L161*F162+U161*O162+AD161*X162+AE161*AG162</f>
        <v/>
      </c>
      <c r="AJ162" s="524">
        <f>AH162*$P$11</f>
        <v/>
      </c>
      <c r="AK162" s="524">
        <f>AI162-AJ162</f>
        <v/>
      </c>
      <c r="AL162" s="368">
        <f>AL161*(1+AK162)</f>
        <v/>
      </c>
      <c r="AM162" s="368">
        <f>MAX($AL$40:AL162)</f>
        <v/>
      </c>
      <c r="AN162" s="524">
        <f>AL162/AM162-1</f>
        <v/>
      </c>
      <c r="AO162" s="526">
        <f>AK162-AG162</f>
        <v/>
      </c>
    </row>
    <row r="163">
      <c r="C163" s="503" t="n">
        <v>44316</v>
      </c>
      <c r="D163" s="368">
        <f>D3355</f>
        <v/>
      </c>
      <c r="E163" s="368">
        <f>H3355</f>
        <v/>
      </c>
      <c r="F163" s="524">
        <f>D163/D162-1</f>
        <v/>
      </c>
      <c r="G163" s="524">
        <f>D163/D160-1</f>
        <v/>
      </c>
      <c r="H163" s="524">
        <f>D163/D157-1</f>
        <v/>
      </c>
      <c r="I163" s="524">
        <f>D163/D151-1</f>
        <v/>
      </c>
      <c r="J163" s="524">
        <f>STDEV.S(F152:F163)*SQRT(12)</f>
        <v/>
      </c>
      <c r="K163" s="368">
        <f>IF(AND(G163&gt;$P$6,H163&gt;$P$7,I163&gt;$P$8,D163&gt;E163,J163&lt;$P$10),1,0)</f>
        <v/>
      </c>
      <c r="L163" s="525">
        <f>IF(SUM(K163,T163,AC163)=0,0,K163/SUM(K163,T163,AC163))</f>
        <v/>
      </c>
      <c r="M163" s="368">
        <f>E3355</f>
        <v/>
      </c>
      <c r="N163" s="368">
        <f>I3355</f>
        <v/>
      </c>
      <c r="O163" s="524">
        <f>M163/M162-1</f>
        <v/>
      </c>
      <c r="P163" s="524">
        <f>M163/M160-1</f>
        <v/>
      </c>
      <c r="Q163" s="524">
        <f>M163/M157-1</f>
        <v/>
      </c>
      <c r="R163" s="524">
        <f>M163/M151-1</f>
        <v/>
      </c>
      <c r="S163" s="524">
        <f>STDEV.S(O152:O163)*SQRT(12)</f>
        <v/>
      </c>
      <c r="T163" s="368">
        <f>IF(AND(P163&gt;$P$6,Q163&gt;$P$7,R163&gt;$P$8,M163&gt;N163,S163&lt;$P$10),1,0)</f>
        <v/>
      </c>
      <c r="U163" s="525">
        <f>IF(SUM(K163,T163,AC163)=0,0,T163/SUM(K163,T163,AC163))</f>
        <v/>
      </c>
      <c r="V163" s="368">
        <f>F3355</f>
        <v/>
      </c>
      <c r="W163" s="368">
        <f>J3355</f>
        <v/>
      </c>
      <c r="X163" s="524">
        <f>V163/V162-1</f>
        <v/>
      </c>
      <c r="Y163" s="524">
        <f>V163/V160-1</f>
        <v/>
      </c>
      <c r="Z163" s="524">
        <f>V163/V157-1</f>
        <v/>
      </c>
      <c r="AA163" s="524">
        <f>V163/V151-1</f>
        <v/>
      </c>
      <c r="AB163" s="524">
        <f>STDEV.S(X152:X163)*SQRT(12)</f>
        <v/>
      </c>
      <c r="AC163" s="368">
        <f>IF(AND(Y163&gt;$P$6,Z163&gt;$P$7,AA163&gt;$P$8,V163&gt;W163,AB163&lt;$P$10),1,0)</f>
        <v/>
      </c>
      <c r="AD163" s="525">
        <f>IF(SUM(K163,T163,AC163)=0,0,AC163/SUM(K163,T163,AC163))</f>
        <v/>
      </c>
      <c r="AE163" s="525">
        <f>IF(SUM(K163,T163,AC163)=0,1,0)</f>
        <v/>
      </c>
      <c r="AF163" s="368">
        <f>G3355</f>
        <v/>
      </c>
      <c r="AG163" s="524">
        <f>AF163/AF162-1</f>
        <v/>
      </c>
      <c r="AH163" s="524">
        <f>0.5*(ABS(L162-L161)+ABS(U162-U161)+ABS(AD162-AD161)+ABS(AE162-AE161))</f>
        <v/>
      </c>
      <c r="AI163" s="524">
        <f>L162*F163+U162*O163+AD162*X163+AE162*AG163</f>
        <v/>
      </c>
      <c r="AJ163" s="524">
        <f>AH163*$P$11</f>
        <v/>
      </c>
      <c r="AK163" s="524">
        <f>AI163-AJ163</f>
        <v/>
      </c>
      <c r="AL163" s="368">
        <f>AL162*(1+AK163)</f>
        <v/>
      </c>
      <c r="AM163" s="368">
        <f>MAX($AL$40:AL163)</f>
        <v/>
      </c>
      <c r="AN163" s="524">
        <f>AL163/AM163-1</f>
        <v/>
      </c>
      <c r="AO163" s="526">
        <f>AK163-AG163</f>
        <v/>
      </c>
    </row>
    <row r="164">
      <c r="C164" s="503" t="n">
        <v>44347</v>
      </c>
      <c r="D164" s="368">
        <f>D3375</f>
        <v/>
      </c>
      <c r="E164" s="368">
        <f>H3375</f>
        <v/>
      </c>
      <c r="F164" s="524">
        <f>D164/D163-1</f>
        <v/>
      </c>
      <c r="G164" s="524">
        <f>D164/D161-1</f>
        <v/>
      </c>
      <c r="H164" s="524">
        <f>D164/D158-1</f>
        <v/>
      </c>
      <c r="I164" s="524">
        <f>D164/D152-1</f>
        <v/>
      </c>
      <c r="J164" s="524">
        <f>STDEV.S(F153:F164)*SQRT(12)</f>
        <v/>
      </c>
      <c r="K164" s="368">
        <f>IF(AND(G164&gt;$P$6,H164&gt;$P$7,I164&gt;$P$8,D164&gt;E164,J164&lt;$P$10),1,0)</f>
        <v/>
      </c>
      <c r="L164" s="525">
        <f>IF(SUM(K164,T164,AC164)=0,0,K164/SUM(K164,T164,AC164))</f>
        <v/>
      </c>
      <c r="M164" s="368">
        <f>E3375</f>
        <v/>
      </c>
      <c r="N164" s="368">
        <f>I3375</f>
        <v/>
      </c>
      <c r="O164" s="524">
        <f>M164/M163-1</f>
        <v/>
      </c>
      <c r="P164" s="524">
        <f>M164/M161-1</f>
        <v/>
      </c>
      <c r="Q164" s="524">
        <f>M164/M158-1</f>
        <v/>
      </c>
      <c r="R164" s="524">
        <f>M164/M152-1</f>
        <v/>
      </c>
      <c r="S164" s="524">
        <f>STDEV.S(O153:O164)*SQRT(12)</f>
        <v/>
      </c>
      <c r="T164" s="368">
        <f>IF(AND(P164&gt;$P$6,Q164&gt;$P$7,R164&gt;$P$8,M164&gt;N164,S164&lt;$P$10),1,0)</f>
        <v/>
      </c>
      <c r="U164" s="525">
        <f>IF(SUM(K164,T164,AC164)=0,0,T164/SUM(K164,T164,AC164))</f>
        <v/>
      </c>
      <c r="V164" s="368">
        <f>F3375</f>
        <v/>
      </c>
      <c r="W164" s="368">
        <f>J3375</f>
        <v/>
      </c>
      <c r="X164" s="524">
        <f>V164/V163-1</f>
        <v/>
      </c>
      <c r="Y164" s="524">
        <f>V164/V161-1</f>
        <v/>
      </c>
      <c r="Z164" s="524">
        <f>V164/V158-1</f>
        <v/>
      </c>
      <c r="AA164" s="524">
        <f>V164/V152-1</f>
        <v/>
      </c>
      <c r="AB164" s="524">
        <f>STDEV.S(X153:X164)*SQRT(12)</f>
        <v/>
      </c>
      <c r="AC164" s="368">
        <f>IF(AND(Y164&gt;$P$6,Z164&gt;$P$7,AA164&gt;$P$8,V164&gt;W164,AB164&lt;$P$10),1,0)</f>
        <v/>
      </c>
      <c r="AD164" s="525">
        <f>IF(SUM(K164,T164,AC164)=0,0,AC164/SUM(K164,T164,AC164))</f>
        <v/>
      </c>
      <c r="AE164" s="525">
        <f>IF(SUM(K164,T164,AC164)=0,1,0)</f>
        <v/>
      </c>
      <c r="AF164" s="368">
        <f>G3375</f>
        <v/>
      </c>
      <c r="AG164" s="524">
        <f>AF164/AF163-1</f>
        <v/>
      </c>
      <c r="AH164" s="524">
        <f>0.5*(ABS(L163-L162)+ABS(U163-U162)+ABS(AD163-AD162)+ABS(AE163-AE162))</f>
        <v/>
      </c>
      <c r="AI164" s="524">
        <f>L163*F164+U163*O164+AD163*X164+AE163*AG164</f>
        <v/>
      </c>
      <c r="AJ164" s="524">
        <f>AH164*$P$11</f>
        <v/>
      </c>
      <c r="AK164" s="524">
        <f>AI164-AJ164</f>
        <v/>
      </c>
      <c r="AL164" s="368">
        <f>AL163*(1+AK164)</f>
        <v/>
      </c>
      <c r="AM164" s="368">
        <f>MAX($AL$40:AL164)</f>
        <v/>
      </c>
      <c r="AN164" s="524">
        <f>AL164/AM164-1</f>
        <v/>
      </c>
      <c r="AO164" s="526">
        <f>AK164-AG164</f>
        <v/>
      </c>
    </row>
    <row r="165">
      <c r="C165" s="503" t="n">
        <v>44377</v>
      </c>
      <c r="D165" s="368">
        <f>D3397</f>
        <v/>
      </c>
      <c r="E165" s="368">
        <f>H3397</f>
        <v/>
      </c>
      <c r="F165" s="524">
        <f>D165/D164-1</f>
        <v/>
      </c>
      <c r="G165" s="524">
        <f>D165/D162-1</f>
        <v/>
      </c>
      <c r="H165" s="524">
        <f>D165/D159-1</f>
        <v/>
      </c>
      <c r="I165" s="524">
        <f>D165/D153-1</f>
        <v/>
      </c>
      <c r="J165" s="524">
        <f>STDEV.S(F154:F165)*SQRT(12)</f>
        <v/>
      </c>
      <c r="K165" s="368">
        <f>IF(AND(G165&gt;$P$6,H165&gt;$P$7,I165&gt;$P$8,D165&gt;E165,J165&lt;$P$10),1,0)</f>
        <v/>
      </c>
      <c r="L165" s="525">
        <f>IF(SUM(K165,T165,AC165)=0,0,K165/SUM(K165,T165,AC165))</f>
        <v/>
      </c>
      <c r="M165" s="368">
        <f>E3397</f>
        <v/>
      </c>
      <c r="N165" s="368">
        <f>I3397</f>
        <v/>
      </c>
      <c r="O165" s="524">
        <f>M165/M164-1</f>
        <v/>
      </c>
      <c r="P165" s="524">
        <f>M165/M162-1</f>
        <v/>
      </c>
      <c r="Q165" s="524">
        <f>M165/M159-1</f>
        <v/>
      </c>
      <c r="R165" s="524">
        <f>M165/M153-1</f>
        <v/>
      </c>
      <c r="S165" s="524">
        <f>STDEV.S(O154:O165)*SQRT(12)</f>
        <v/>
      </c>
      <c r="T165" s="368">
        <f>IF(AND(P165&gt;$P$6,Q165&gt;$P$7,R165&gt;$P$8,M165&gt;N165,S165&lt;$P$10),1,0)</f>
        <v/>
      </c>
      <c r="U165" s="525">
        <f>IF(SUM(K165,T165,AC165)=0,0,T165/SUM(K165,T165,AC165))</f>
        <v/>
      </c>
      <c r="V165" s="368">
        <f>F3397</f>
        <v/>
      </c>
      <c r="W165" s="368">
        <f>J3397</f>
        <v/>
      </c>
      <c r="X165" s="524">
        <f>V165/V164-1</f>
        <v/>
      </c>
      <c r="Y165" s="524">
        <f>V165/V162-1</f>
        <v/>
      </c>
      <c r="Z165" s="524">
        <f>V165/V159-1</f>
        <v/>
      </c>
      <c r="AA165" s="524">
        <f>V165/V153-1</f>
        <v/>
      </c>
      <c r="AB165" s="524">
        <f>STDEV.S(X154:X165)*SQRT(12)</f>
        <v/>
      </c>
      <c r="AC165" s="368">
        <f>IF(AND(Y165&gt;$P$6,Z165&gt;$P$7,AA165&gt;$P$8,V165&gt;W165,AB165&lt;$P$10),1,0)</f>
        <v/>
      </c>
      <c r="AD165" s="525">
        <f>IF(SUM(K165,T165,AC165)=0,0,AC165/SUM(K165,T165,AC165))</f>
        <v/>
      </c>
      <c r="AE165" s="525">
        <f>IF(SUM(K165,T165,AC165)=0,1,0)</f>
        <v/>
      </c>
      <c r="AF165" s="368">
        <f>G3397</f>
        <v/>
      </c>
      <c r="AG165" s="524">
        <f>AF165/AF164-1</f>
        <v/>
      </c>
      <c r="AH165" s="524">
        <f>0.5*(ABS(L164-L163)+ABS(U164-U163)+ABS(AD164-AD163)+ABS(AE164-AE163))</f>
        <v/>
      </c>
      <c r="AI165" s="524">
        <f>L164*F165+U164*O165+AD164*X165+AE164*AG165</f>
        <v/>
      </c>
      <c r="AJ165" s="524">
        <f>AH165*$P$11</f>
        <v/>
      </c>
      <c r="AK165" s="524">
        <f>AI165-AJ165</f>
        <v/>
      </c>
      <c r="AL165" s="368">
        <f>AL164*(1+AK165)</f>
        <v/>
      </c>
      <c r="AM165" s="368">
        <f>MAX($AL$40:AL165)</f>
        <v/>
      </c>
      <c r="AN165" s="524">
        <f>AL165/AM165-1</f>
        <v/>
      </c>
      <c r="AO165" s="526">
        <f>AK165-AG165</f>
        <v/>
      </c>
    </row>
    <row r="166">
      <c r="C166" s="503" t="n">
        <v>44408</v>
      </c>
      <c r="D166" s="368">
        <f>D3418</f>
        <v/>
      </c>
      <c r="E166" s="368">
        <f>H3418</f>
        <v/>
      </c>
      <c r="F166" s="524">
        <f>D166/D165-1</f>
        <v/>
      </c>
      <c r="G166" s="524">
        <f>D166/D163-1</f>
        <v/>
      </c>
      <c r="H166" s="524">
        <f>D166/D160-1</f>
        <v/>
      </c>
      <c r="I166" s="524">
        <f>D166/D154-1</f>
        <v/>
      </c>
      <c r="J166" s="524">
        <f>STDEV.S(F155:F166)*SQRT(12)</f>
        <v/>
      </c>
      <c r="K166" s="368">
        <f>IF(AND(G166&gt;$P$6,H166&gt;$P$7,I166&gt;$P$8,D166&gt;E166,J166&lt;$P$10),1,0)</f>
        <v/>
      </c>
      <c r="L166" s="525">
        <f>IF(SUM(K166,T166,AC166)=0,0,K166/SUM(K166,T166,AC166))</f>
        <v/>
      </c>
      <c r="M166" s="368">
        <f>E3418</f>
        <v/>
      </c>
      <c r="N166" s="368">
        <f>I3418</f>
        <v/>
      </c>
      <c r="O166" s="524">
        <f>M166/M165-1</f>
        <v/>
      </c>
      <c r="P166" s="524">
        <f>M166/M163-1</f>
        <v/>
      </c>
      <c r="Q166" s="524">
        <f>M166/M160-1</f>
        <v/>
      </c>
      <c r="R166" s="524">
        <f>M166/M154-1</f>
        <v/>
      </c>
      <c r="S166" s="524">
        <f>STDEV.S(O155:O166)*SQRT(12)</f>
        <v/>
      </c>
      <c r="T166" s="368">
        <f>IF(AND(P166&gt;$P$6,Q166&gt;$P$7,R166&gt;$P$8,M166&gt;N166,S166&lt;$P$10),1,0)</f>
        <v/>
      </c>
      <c r="U166" s="525">
        <f>IF(SUM(K166,T166,AC166)=0,0,T166/SUM(K166,T166,AC166))</f>
        <v/>
      </c>
      <c r="V166" s="368">
        <f>F3418</f>
        <v/>
      </c>
      <c r="W166" s="368">
        <f>J3418</f>
        <v/>
      </c>
      <c r="X166" s="524">
        <f>V166/V165-1</f>
        <v/>
      </c>
      <c r="Y166" s="524">
        <f>V166/V163-1</f>
        <v/>
      </c>
      <c r="Z166" s="524">
        <f>V166/V160-1</f>
        <v/>
      </c>
      <c r="AA166" s="524">
        <f>V166/V154-1</f>
        <v/>
      </c>
      <c r="AB166" s="524">
        <f>STDEV.S(X155:X166)*SQRT(12)</f>
        <v/>
      </c>
      <c r="AC166" s="368">
        <f>IF(AND(Y166&gt;$P$6,Z166&gt;$P$7,AA166&gt;$P$8,V166&gt;W166,AB166&lt;$P$10),1,0)</f>
        <v/>
      </c>
      <c r="AD166" s="525">
        <f>IF(SUM(K166,T166,AC166)=0,0,AC166/SUM(K166,T166,AC166))</f>
        <v/>
      </c>
      <c r="AE166" s="525">
        <f>IF(SUM(K166,T166,AC166)=0,1,0)</f>
        <v/>
      </c>
      <c r="AF166" s="368">
        <f>G3418</f>
        <v/>
      </c>
      <c r="AG166" s="524">
        <f>AF166/AF165-1</f>
        <v/>
      </c>
      <c r="AH166" s="524">
        <f>0.5*(ABS(L165-L164)+ABS(U165-U164)+ABS(AD165-AD164)+ABS(AE165-AE164))</f>
        <v/>
      </c>
      <c r="AI166" s="524">
        <f>L165*F166+U165*O166+AD165*X166+AE165*AG166</f>
        <v/>
      </c>
      <c r="AJ166" s="524">
        <f>AH166*$P$11</f>
        <v/>
      </c>
      <c r="AK166" s="524">
        <f>AI166-AJ166</f>
        <v/>
      </c>
      <c r="AL166" s="368">
        <f>AL165*(1+AK166)</f>
        <v/>
      </c>
      <c r="AM166" s="368">
        <f>MAX($AL$40:AL166)</f>
        <v/>
      </c>
      <c r="AN166" s="524">
        <f>AL166/AM166-1</f>
        <v/>
      </c>
      <c r="AO166" s="526">
        <f>AK166-AG166</f>
        <v/>
      </c>
    </row>
    <row r="167">
      <c r="C167" s="503" t="n">
        <v>44439</v>
      </c>
      <c r="D167" s="368">
        <f>D3440</f>
        <v/>
      </c>
      <c r="E167" s="368">
        <f>H3440</f>
        <v/>
      </c>
      <c r="F167" s="524">
        <f>D167/D166-1</f>
        <v/>
      </c>
      <c r="G167" s="524">
        <f>D167/D164-1</f>
        <v/>
      </c>
      <c r="H167" s="524">
        <f>D167/D161-1</f>
        <v/>
      </c>
      <c r="I167" s="524">
        <f>D167/D155-1</f>
        <v/>
      </c>
      <c r="J167" s="524">
        <f>STDEV.S(F156:F167)*SQRT(12)</f>
        <v/>
      </c>
      <c r="K167" s="368">
        <f>IF(AND(G167&gt;$P$6,H167&gt;$P$7,I167&gt;$P$8,D167&gt;E167,J167&lt;$P$10),1,0)</f>
        <v/>
      </c>
      <c r="L167" s="525">
        <f>IF(SUM(K167,T167,AC167)=0,0,K167/SUM(K167,T167,AC167))</f>
        <v/>
      </c>
      <c r="M167" s="368">
        <f>E3440</f>
        <v/>
      </c>
      <c r="N167" s="368">
        <f>I3440</f>
        <v/>
      </c>
      <c r="O167" s="524">
        <f>M167/M166-1</f>
        <v/>
      </c>
      <c r="P167" s="524">
        <f>M167/M164-1</f>
        <v/>
      </c>
      <c r="Q167" s="524">
        <f>M167/M161-1</f>
        <v/>
      </c>
      <c r="R167" s="524">
        <f>M167/M155-1</f>
        <v/>
      </c>
      <c r="S167" s="524">
        <f>STDEV.S(O156:O167)*SQRT(12)</f>
        <v/>
      </c>
      <c r="T167" s="368">
        <f>IF(AND(P167&gt;$P$6,Q167&gt;$P$7,R167&gt;$P$8,M167&gt;N167,S167&lt;$P$10),1,0)</f>
        <v/>
      </c>
      <c r="U167" s="525">
        <f>IF(SUM(K167,T167,AC167)=0,0,T167/SUM(K167,T167,AC167))</f>
        <v/>
      </c>
      <c r="V167" s="368">
        <f>F3440</f>
        <v/>
      </c>
      <c r="W167" s="368">
        <f>J3440</f>
        <v/>
      </c>
      <c r="X167" s="524">
        <f>V167/V166-1</f>
        <v/>
      </c>
      <c r="Y167" s="524">
        <f>V167/V164-1</f>
        <v/>
      </c>
      <c r="Z167" s="524">
        <f>V167/V161-1</f>
        <v/>
      </c>
      <c r="AA167" s="524">
        <f>V167/V155-1</f>
        <v/>
      </c>
      <c r="AB167" s="524">
        <f>STDEV.S(X156:X167)*SQRT(12)</f>
        <v/>
      </c>
      <c r="AC167" s="368">
        <f>IF(AND(Y167&gt;$P$6,Z167&gt;$P$7,AA167&gt;$P$8,V167&gt;W167,AB167&lt;$P$10),1,0)</f>
        <v/>
      </c>
      <c r="AD167" s="525">
        <f>IF(SUM(K167,T167,AC167)=0,0,AC167/SUM(K167,T167,AC167))</f>
        <v/>
      </c>
      <c r="AE167" s="525">
        <f>IF(SUM(K167,T167,AC167)=0,1,0)</f>
        <v/>
      </c>
      <c r="AF167" s="368">
        <f>G3440</f>
        <v/>
      </c>
      <c r="AG167" s="524">
        <f>AF167/AF166-1</f>
        <v/>
      </c>
      <c r="AH167" s="524">
        <f>0.5*(ABS(L166-L165)+ABS(U166-U165)+ABS(AD166-AD165)+ABS(AE166-AE165))</f>
        <v/>
      </c>
      <c r="AI167" s="524">
        <f>L166*F167+U166*O167+AD166*X167+AE166*AG167</f>
        <v/>
      </c>
      <c r="AJ167" s="524">
        <f>AH167*$P$11</f>
        <v/>
      </c>
      <c r="AK167" s="524">
        <f>AI167-AJ167</f>
        <v/>
      </c>
      <c r="AL167" s="368">
        <f>AL166*(1+AK167)</f>
        <v/>
      </c>
      <c r="AM167" s="368">
        <f>MAX($AL$40:AL167)</f>
        <v/>
      </c>
      <c r="AN167" s="524">
        <f>AL167/AM167-1</f>
        <v/>
      </c>
      <c r="AO167" s="526">
        <f>AK167-AG167</f>
        <v/>
      </c>
    </row>
    <row r="168">
      <c r="C168" s="503" t="n">
        <v>44469</v>
      </c>
      <c r="D168" s="368">
        <f>D3461</f>
        <v/>
      </c>
      <c r="E168" s="368">
        <f>H3461</f>
        <v/>
      </c>
      <c r="F168" s="524">
        <f>D168/D167-1</f>
        <v/>
      </c>
      <c r="G168" s="524">
        <f>D168/D165-1</f>
        <v/>
      </c>
      <c r="H168" s="524">
        <f>D168/D162-1</f>
        <v/>
      </c>
      <c r="I168" s="524">
        <f>D168/D156-1</f>
        <v/>
      </c>
      <c r="J168" s="524">
        <f>STDEV.S(F157:F168)*SQRT(12)</f>
        <v/>
      </c>
      <c r="K168" s="368">
        <f>IF(AND(G168&gt;$P$6,H168&gt;$P$7,I168&gt;$P$8,D168&gt;E168,J168&lt;$P$10),1,0)</f>
        <v/>
      </c>
      <c r="L168" s="525">
        <f>IF(SUM(K168,T168,AC168)=0,0,K168/SUM(K168,T168,AC168))</f>
        <v/>
      </c>
      <c r="M168" s="368">
        <f>E3461</f>
        <v/>
      </c>
      <c r="N168" s="368">
        <f>I3461</f>
        <v/>
      </c>
      <c r="O168" s="524">
        <f>M168/M167-1</f>
        <v/>
      </c>
      <c r="P168" s="524">
        <f>M168/M165-1</f>
        <v/>
      </c>
      <c r="Q168" s="524">
        <f>M168/M162-1</f>
        <v/>
      </c>
      <c r="R168" s="524">
        <f>M168/M156-1</f>
        <v/>
      </c>
      <c r="S168" s="524">
        <f>STDEV.S(O157:O168)*SQRT(12)</f>
        <v/>
      </c>
      <c r="T168" s="368">
        <f>IF(AND(P168&gt;$P$6,Q168&gt;$P$7,R168&gt;$P$8,M168&gt;N168,S168&lt;$P$10),1,0)</f>
        <v/>
      </c>
      <c r="U168" s="525">
        <f>IF(SUM(K168,T168,AC168)=0,0,T168/SUM(K168,T168,AC168))</f>
        <v/>
      </c>
      <c r="V168" s="368">
        <f>F3461</f>
        <v/>
      </c>
      <c r="W168" s="368">
        <f>J3461</f>
        <v/>
      </c>
      <c r="X168" s="524">
        <f>V168/V167-1</f>
        <v/>
      </c>
      <c r="Y168" s="524">
        <f>V168/V165-1</f>
        <v/>
      </c>
      <c r="Z168" s="524">
        <f>V168/V162-1</f>
        <v/>
      </c>
      <c r="AA168" s="524">
        <f>V168/V156-1</f>
        <v/>
      </c>
      <c r="AB168" s="524">
        <f>STDEV.S(X157:X168)*SQRT(12)</f>
        <v/>
      </c>
      <c r="AC168" s="368">
        <f>IF(AND(Y168&gt;$P$6,Z168&gt;$P$7,AA168&gt;$P$8,V168&gt;W168,AB168&lt;$P$10),1,0)</f>
        <v/>
      </c>
      <c r="AD168" s="525">
        <f>IF(SUM(K168,T168,AC168)=0,0,AC168/SUM(K168,T168,AC168))</f>
        <v/>
      </c>
      <c r="AE168" s="525">
        <f>IF(SUM(K168,T168,AC168)=0,1,0)</f>
        <v/>
      </c>
      <c r="AF168" s="368">
        <f>G3461</f>
        <v/>
      </c>
      <c r="AG168" s="524">
        <f>AF168/AF167-1</f>
        <v/>
      </c>
      <c r="AH168" s="524">
        <f>0.5*(ABS(L167-L166)+ABS(U167-U166)+ABS(AD167-AD166)+ABS(AE167-AE166))</f>
        <v/>
      </c>
      <c r="AI168" s="524">
        <f>L167*F168+U167*O168+AD167*X168+AE167*AG168</f>
        <v/>
      </c>
      <c r="AJ168" s="524">
        <f>AH168*$P$11</f>
        <v/>
      </c>
      <c r="AK168" s="524">
        <f>AI168-AJ168</f>
        <v/>
      </c>
      <c r="AL168" s="368">
        <f>AL167*(1+AK168)</f>
        <v/>
      </c>
      <c r="AM168" s="368">
        <f>MAX($AL$40:AL168)</f>
        <v/>
      </c>
      <c r="AN168" s="524">
        <f>AL168/AM168-1</f>
        <v/>
      </c>
      <c r="AO168" s="526">
        <f>AK168-AG168</f>
        <v/>
      </c>
    </row>
    <row r="169">
      <c r="C169" s="503" t="n">
        <v>44500</v>
      </c>
      <c r="D169" s="368">
        <f>D3482</f>
        <v/>
      </c>
      <c r="E169" s="368">
        <f>H3482</f>
        <v/>
      </c>
      <c r="F169" s="524">
        <f>D169/D168-1</f>
        <v/>
      </c>
      <c r="G169" s="524">
        <f>D169/D166-1</f>
        <v/>
      </c>
      <c r="H169" s="524">
        <f>D169/D163-1</f>
        <v/>
      </c>
      <c r="I169" s="524">
        <f>D169/D157-1</f>
        <v/>
      </c>
      <c r="J169" s="524">
        <f>STDEV.S(F158:F169)*SQRT(12)</f>
        <v/>
      </c>
      <c r="K169" s="368">
        <f>IF(AND(G169&gt;$P$6,H169&gt;$P$7,I169&gt;$P$8,D169&gt;E169,J169&lt;$P$10),1,0)</f>
        <v/>
      </c>
      <c r="L169" s="525">
        <f>IF(SUM(K169,T169,AC169)=0,0,K169/SUM(K169,T169,AC169))</f>
        <v/>
      </c>
      <c r="M169" s="368">
        <f>E3482</f>
        <v/>
      </c>
      <c r="N169" s="368">
        <f>I3482</f>
        <v/>
      </c>
      <c r="O169" s="524">
        <f>M169/M168-1</f>
        <v/>
      </c>
      <c r="P169" s="524">
        <f>M169/M166-1</f>
        <v/>
      </c>
      <c r="Q169" s="524">
        <f>M169/M163-1</f>
        <v/>
      </c>
      <c r="R169" s="524">
        <f>M169/M157-1</f>
        <v/>
      </c>
      <c r="S169" s="524">
        <f>STDEV.S(O158:O169)*SQRT(12)</f>
        <v/>
      </c>
      <c r="T169" s="368">
        <f>IF(AND(P169&gt;$P$6,Q169&gt;$P$7,R169&gt;$P$8,M169&gt;N169,S169&lt;$P$10),1,0)</f>
        <v/>
      </c>
      <c r="U169" s="525">
        <f>IF(SUM(K169,T169,AC169)=0,0,T169/SUM(K169,T169,AC169))</f>
        <v/>
      </c>
      <c r="V169" s="368">
        <f>F3482</f>
        <v/>
      </c>
      <c r="W169" s="368">
        <f>J3482</f>
        <v/>
      </c>
      <c r="X169" s="524">
        <f>V169/V168-1</f>
        <v/>
      </c>
      <c r="Y169" s="524">
        <f>V169/V166-1</f>
        <v/>
      </c>
      <c r="Z169" s="524">
        <f>V169/V163-1</f>
        <v/>
      </c>
      <c r="AA169" s="524">
        <f>V169/V157-1</f>
        <v/>
      </c>
      <c r="AB169" s="524">
        <f>STDEV.S(X158:X169)*SQRT(12)</f>
        <v/>
      </c>
      <c r="AC169" s="368">
        <f>IF(AND(Y169&gt;$P$6,Z169&gt;$P$7,AA169&gt;$P$8,V169&gt;W169,AB169&lt;$P$10),1,0)</f>
        <v/>
      </c>
      <c r="AD169" s="525">
        <f>IF(SUM(K169,T169,AC169)=0,0,AC169/SUM(K169,T169,AC169))</f>
        <v/>
      </c>
      <c r="AE169" s="525">
        <f>IF(SUM(K169,T169,AC169)=0,1,0)</f>
        <v/>
      </c>
      <c r="AF169" s="368">
        <f>G3482</f>
        <v/>
      </c>
      <c r="AG169" s="524">
        <f>AF169/AF168-1</f>
        <v/>
      </c>
      <c r="AH169" s="524">
        <f>0.5*(ABS(L168-L167)+ABS(U168-U167)+ABS(AD168-AD167)+ABS(AE168-AE167))</f>
        <v/>
      </c>
      <c r="AI169" s="524">
        <f>L168*F169+U168*O169+AD168*X169+AE168*AG169</f>
        <v/>
      </c>
      <c r="AJ169" s="524">
        <f>AH169*$P$11</f>
        <v/>
      </c>
      <c r="AK169" s="524">
        <f>AI169-AJ169</f>
        <v/>
      </c>
      <c r="AL169" s="368">
        <f>AL168*(1+AK169)</f>
        <v/>
      </c>
      <c r="AM169" s="368">
        <f>MAX($AL$40:AL169)</f>
        <v/>
      </c>
      <c r="AN169" s="524">
        <f>AL169/AM169-1</f>
        <v/>
      </c>
      <c r="AO169" s="526">
        <f>AK169-AG169</f>
        <v/>
      </c>
    </row>
    <row r="170">
      <c r="C170" s="503" t="n">
        <v>44530</v>
      </c>
      <c r="D170" s="368">
        <f>D3503</f>
        <v/>
      </c>
      <c r="E170" s="368">
        <f>H3503</f>
        <v/>
      </c>
      <c r="F170" s="524">
        <f>D170/D169-1</f>
        <v/>
      </c>
      <c r="G170" s="524">
        <f>D170/D167-1</f>
        <v/>
      </c>
      <c r="H170" s="524">
        <f>D170/D164-1</f>
        <v/>
      </c>
      <c r="I170" s="524">
        <f>D170/D158-1</f>
        <v/>
      </c>
      <c r="J170" s="524">
        <f>STDEV.S(F159:F170)*SQRT(12)</f>
        <v/>
      </c>
      <c r="K170" s="368">
        <f>IF(AND(G170&gt;$P$6,H170&gt;$P$7,I170&gt;$P$8,D170&gt;E170,J170&lt;$P$10),1,0)</f>
        <v/>
      </c>
      <c r="L170" s="525">
        <f>IF(SUM(K170,T170,AC170)=0,0,K170/SUM(K170,T170,AC170))</f>
        <v/>
      </c>
      <c r="M170" s="368">
        <f>E3503</f>
        <v/>
      </c>
      <c r="N170" s="368">
        <f>I3503</f>
        <v/>
      </c>
      <c r="O170" s="524">
        <f>M170/M169-1</f>
        <v/>
      </c>
      <c r="P170" s="524">
        <f>M170/M167-1</f>
        <v/>
      </c>
      <c r="Q170" s="524">
        <f>M170/M164-1</f>
        <v/>
      </c>
      <c r="R170" s="524">
        <f>M170/M158-1</f>
        <v/>
      </c>
      <c r="S170" s="524">
        <f>STDEV.S(O159:O170)*SQRT(12)</f>
        <v/>
      </c>
      <c r="T170" s="368">
        <f>IF(AND(P170&gt;$P$6,Q170&gt;$P$7,R170&gt;$P$8,M170&gt;N170,S170&lt;$P$10),1,0)</f>
        <v/>
      </c>
      <c r="U170" s="525">
        <f>IF(SUM(K170,T170,AC170)=0,0,T170/SUM(K170,T170,AC170))</f>
        <v/>
      </c>
      <c r="V170" s="368">
        <f>F3503</f>
        <v/>
      </c>
      <c r="W170" s="368">
        <f>J3503</f>
        <v/>
      </c>
      <c r="X170" s="524">
        <f>V170/V169-1</f>
        <v/>
      </c>
      <c r="Y170" s="524">
        <f>V170/V167-1</f>
        <v/>
      </c>
      <c r="Z170" s="524">
        <f>V170/V164-1</f>
        <v/>
      </c>
      <c r="AA170" s="524">
        <f>V170/V158-1</f>
        <v/>
      </c>
      <c r="AB170" s="524">
        <f>STDEV.S(X159:X170)*SQRT(12)</f>
        <v/>
      </c>
      <c r="AC170" s="368">
        <f>IF(AND(Y170&gt;$P$6,Z170&gt;$P$7,AA170&gt;$P$8,V170&gt;W170,AB170&lt;$P$10),1,0)</f>
        <v/>
      </c>
      <c r="AD170" s="525">
        <f>IF(SUM(K170,T170,AC170)=0,0,AC170/SUM(K170,T170,AC170))</f>
        <v/>
      </c>
      <c r="AE170" s="525">
        <f>IF(SUM(K170,T170,AC170)=0,1,0)</f>
        <v/>
      </c>
      <c r="AF170" s="368">
        <f>G3503</f>
        <v/>
      </c>
      <c r="AG170" s="524">
        <f>AF170/AF169-1</f>
        <v/>
      </c>
      <c r="AH170" s="524">
        <f>0.5*(ABS(L169-L168)+ABS(U169-U168)+ABS(AD169-AD168)+ABS(AE169-AE168))</f>
        <v/>
      </c>
      <c r="AI170" s="524">
        <f>L169*F170+U169*O170+AD169*X170+AE169*AG170</f>
        <v/>
      </c>
      <c r="AJ170" s="524">
        <f>AH170*$P$11</f>
        <v/>
      </c>
      <c r="AK170" s="524">
        <f>AI170-AJ170</f>
        <v/>
      </c>
      <c r="AL170" s="368">
        <f>AL169*(1+AK170)</f>
        <v/>
      </c>
      <c r="AM170" s="368">
        <f>MAX($AL$40:AL170)</f>
        <v/>
      </c>
      <c r="AN170" s="524">
        <f>AL170/AM170-1</f>
        <v/>
      </c>
      <c r="AO170" s="526">
        <f>AK170-AG170</f>
        <v/>
      </c>
    </row>
    <row r="171">
      <c r="C171" s="503" t="n">
        <v>44561</v>
      </c>
      <c r="D171" s="368">
        <f>D3525</f>
        <v/>
      </c>
      <c r="E171" s="368">
        <f>H3525</f>
        <v/>
      </c>
      <c r="F171" s="524">
        <f>D171/D170-1</f>
        <v/>
      </c>
      <c r="G171" s="524">
        <f>D171/D168-1</f>
        <v/>
      </c>
      <c r="H171" s="524">
        <f>D171/D165-1</f>
        <v/>
      </c>
      <c r="I171" s="524">
        <f>D171/D159-1</f>
        <v/>
      </c>
      <c r="J171" s="524">
        <f>STDEV.S(F160:F171)*SQRT(12)</f>
        <v/>
      </c>
      <c r="K171" s="368">
        <f>IF(AND(G171&gt;$P$6,H171&gt;$P$7,I171&gt;$P$8,D171&gt;E171,J171&lt;$P$10),1,0)</f>
        <v/>
      </c>
      <c r="L171" s="525">
        <f>IF(SUM(K171,T171,AC171)=0,0,K171/SUM(K171,T171,AC171))</f>
        <v/>
      </c>
      <c r="M171" s="368">
        <f>E3525</f>
        <v/>
      </c>
      <c r="N171" s="368">
        <f>I3525</f>
        <v/>
      </c>
      <c r="O171" s="524">
        <f>M171/M170-1</f>
        <v/>
      </c>
      <c r="P171" s="524">
        <f>M171/M168-1</f>
        <v/>
      </c>
      <c r="Q171" s="524">
        <f>M171/M165-1</f>
        <v/>
      </c>
      <c r="R171" s="524">
        <f>M171/M159-1</f>
        <v/>
      </c>
      <c r="S171" s="524">
        <f>STDEV.S(O160:O171)*SQRT(12)</f>
        <v/>
      </c>
      <c r="T171" s="368">
        <f>IF(AND(P171&gt;$P$6,Q171&gt;$P$7,R171&gt;$P$8,M171&gt;N171,S171&lt;$P$10),1,0)</f>
        <v/>
      </c>
      <c r="U171" s="525">
        <f>IF(SUM(K171,T171,AC171)=0,0,T171/SUM(K171,T171,AC171))</f>
        <v/>
      </c>
      <c r="V171" s="368">
        <f>F3525</f>
        <v/>
      </c>
      <c r="W171" s="368">
        <f>J3525</f>
        <v/>
      </c>
      <c r="X171" s="524">
        <f>V171/V170-1</f>
        <v/>
      </c>
      <c r="Y171" s="524">
        <f>V171/V168-1</f>
        <v/>
      </c>
      <c r="Z171" s="524">
        <f>V171/V165-1</f>
        <v/>
      </c>
      <c r="AA171" s="524">
        <f>V171/V159-1</f>
        <v/>
      </c>
      <c r="AB171" s="524">
        <f>STDEV.S(X160:X171)*SQRT(12)</f>
        <v/>
      </c>
      <c r="AC171" s="368">
        <f>IF(AND(Y171&gt;$P$6,Z171&gt;$P$7,AA171&gt;$P$8,V171&gt;W171,AB171&lt;$P$10),1,0)</f>
        <v/>
      </c>
      <c r="AD171" s="525">
        <f>IF(SUM(K171,T171,AC171)=0,0,AC171/SUM(K171,T171,AC171))</f>
        <v/>
      </c>
      <c r="AE171" s="525">
        <f>IF(SUM(K171,T171,AC171)=0,1,0)</f>
        <v/>
      </c>
      <c r="AF171" s="368">
        <f>G3525</f>
        <v/>
      </c>
      <c r="AG171" s="524">
        <f>AF171/AF170-1</f>
        <v/>
      </c>
      <c r="AH171" s="524">
        <f>0.5*(ABS(L170-L169)+ABS(U170-U169)+ABS(AD170-AD169)+ABS(AE170-AE169))</f>
        <v/>
      </c>
      <c r="AI171" s="524">
        <f>L170*F171+U170*O171+AD170*X171+AE170*AG171</f>
        <v/>
      </c>
      <c r="AJ171" s="524">
        <f>AH171*$P$11</f>
        <v/>
      </c>
      <c r="AK171" s="524">
        <f>AI171-AJ171</f>
        <v/>
      </c>
      <c r="AL171" s="368">
        <f>AL170*(1+AK171)</f>
        <v/>
      </c>
      <c r="AM171" s="368">
        <f>MAX($AL$40:AL171)</f>
        <v/>
      </c>
      <c r="AN171" s="524">
        <f>AL171/AM171-1</f>
        <v/>
      </c>
      <c r="AO171" s="526">
        <f>AK171-AG171</f>
        <v/>
      </c>
    </row>
    <row r="172">
      <c r="C172" s="503" t="n">
        <v>44592</v>
      </c>
      <c r="D172" s="368">
        <f>D3545</f>
        <v/>
      </c>
      <c r="E172" s="368">
        <f>H3545</f>
        <v/>
      </c>
      <c r="F172" s="524">
        <f>D172/D171-1</f>
        <v/>
      </c>
      <c r="G172" s="524">
        <f>D172/D169-1</f>
        <v/>
      </c>
      <c r="H172" s="524">
        <f>D172/D166-1</f>
        <v/>
      </c>
      <c r="I172" s="524">
        <f>D172/D160-1</f>
        <v/>
      </c>
      <c r="J172" s="524">
        <f>STDEV.S(F161:F172)*SQRT(12)</f>
        <v/>
      </c>
      <c r="K172" s="368">
        <f>IF(AND(G172&gt;$P$6,H172&gt;$P$7,I172&gt;$P$8,D172&gt;E172,J172&lt;$P$10),1,0)</f>
        <v/>
      </c>
      <c r="L172" s="525">
        <f>IF(SUM(K172,T172,AC172)=0,0,K172/SUM(K172,T172,AC172))</f>
        <v/>
      </c>
      <c r="M172" s="368">
        <f>E3545</f>
        <v/>
      </c>
      <c r="N172" s="368">
        <f>I3545</f>
        <v/>
      </c>
      <c r="O172" s="524">
        <f>M172/M171-1</f>
        <v/>
      </c>
      <c r="P172" s="524">
        <f>M172/M169-1</f>
        <v/>
      </c>
      <c r="Q172" s="524">
        <f>M172/M166-1</f>
        <v/>
      </c>
      <c r="R172" s="524">
        <f>M172/M160-1</f>
        <v/>
      </c>
      <c r="S172" s="524">
        <f>STDEV.S(O161:O172)*SQRT(12)</f>
        <v/>
      </c>
      <c r="T172" s="368">
        <f>IF(AND(P172&gt;$P$6,Q172&gt;$P$7,R172&gt;$P$8,M172&gt;N172,S172&lt;$P$10),1,0)</f>
        <v/>
      </c>
      <c r="U172" s="525">
        <f>IF(SUM(K172,T172,AC172)=0,0,T172/SUM(K172,T172,AC172))</f>
        <v/>
      </c>
      <c r="V172" s="368">
        <f>F3545</f>
        <v/>
      </c>
      <c r="W172" s="368">
        <f>J3545</f>
        <v/>
      </c>
      <c r="X172" s="524">
        <f>V172/V171-1</f>
        <v/>
      </c>
      <c r="Y172" s="524">
        <f>V172/V169-1</f>
        <v/>
      </c>
      <c r="Z172" s="524">
        <f>V172/V166-1</f>
        <v/>
      </c>
      <c r="AA172" s="524">
        <f>V172/V160-1</f>
        <v/>
      </c>
      <c r="AB172" s="524">
        <f>STDEV.S(X161:X172)*SQRT(12)</f>
        <v/>
      </c>
      <c r="AC172" s="368">
        <f>IF(AND(Y172&gt;$P$6,Z172&gt;$P$7,AA172&gt;$P$8,V172&gt;W172,AB172&lt;$P$10),1,0)</f>
        <v/>
      </c>
      <c r="AD172" s="525">
        <f>IF(SUM(K172,T172,AC172)=0,0,AC172/SUM(K172,T172,AC172))</f>
        <v/>
      </c>
      <c r="AE172" s="525">
        <f>IF(SUM(K172,T172,AC172)=0,1,0)</f>
        <v/>
      </c>
      <c r="AF172" s="368">
        <f>G3545</f>
        <v/>
      </c>
      <c r="AG172" s="524">
        <f>AF172/AF171-1</f>
        <v/>
      </c>
      <c r="AH172" s="524">
        <f>0.5*(ABS(L171-L170)+ABS(U171-U170)+ABS(AD171-AD170)+ABS(AE171-AE170))</f>
        <v/>
      </c>
      <c r="AI172" s="524">
        <f>L171*F172+U171*O172+AD171*X172+AE171*AG172</f>
        <v/>
      </c>
      <c r="AJ172" s="524">
        <f>AH172*$P$11</f>
        <v/>
      </c>
      <c r="AK172" s="524">
        <f>AI172-AJ172</f>
        <v/>
      </c>
      <c r="AL172" s="368">
        <f>AL171*(1+AK172)</f>
        <v/>
      </c>
      <c r="AM172" s="368">
        <f>MAX($AL$40:AL172)</f>
        <v/>
      </c>
      <c r="AN172" s="524">
        <f>AL172/AM172-1</f>
        <v/>
      </c>
      <c r="AO172" s="526">
        <f>AK172-AG172</f>
        <v/>
      </c>
    </row>
    <row r="173">
      <c r="C173" s="503" t="n">
        <v>44620</v>
      </c>
      <c r="D173" s="368">
        <f>D3564</f>
        <v/>
      </c>
      <c r="E173" s="368">
        <f>H3564</f>
        <v/>
      </c>
      <c r="F173" s="524">
        <f>D173/D172-1</f>
        <v/>
      </c>
      <c r="G173" s="524">
        <f>D173/D170-1</f>
        <v/>
      </c>
      <c r="H173" s="524">
        <f>D173/D167-1</f>
        <v/>
      </c>
      <c r="I173" s="524">
        <f>D173/D161-1</f>
        <v/>
      </c>
      <c r="J173" s="524">
        <f>STDEV.S(F162:F173)*SQRT(12)</f>
        <v/>
      </c>
      <c r="K173" s="368">
        <f>IF(AND(G173&gt;$P$6,H173&gt;$P$7,I173&gt;$P$8,D173&gt;E173,J173&lt;$P$10),1,0)</f>
        <v/>
      </c>
      <c r="L173" s="525">
        <f>IF(SUM(K173,T173,AC173)=0,0,K173/SUM(K173,T173,AC173))</f>
        <v/>
      </c>
      <c r="M173" s="368">
        <f>E3564</f>
        <v/>
      </c>
      <c r="N173" s="368">
        <f>I3564</f>
        <v/>
      </c>
      <c r="O173" s="524">
        <f>M173/M172-1</f>
        <v/>
      </c>
      <c r="P173" s="524">
        <f>M173/M170-1</f>
        <v/>
      </c>
      <c r="Q173" s="524">
        <f>M173/M167-1</f>
        <v/>
      </c>
      <c r="R173" s="524">
        <f>M173/M161-1</f>
        <v/>
      </c>
      <c r="S173" s="524">
        <f>STDEV.S(O162:O173)*SQRT(12)</f>
        <v/>
      </c>
      <c r="T173" s="368">
        <f>IF(AND(P173&gt;$P$6,Q173&gt;$P$7,R173&gt;$P$8,M173&gt;N173,S173&lt;$P$10),1,0)</f>
        <v/>
      </c>
      <c r="U173" s="525">
        <f>IF(SUM(K173,T173,AC173)=0,0,T173/SUM(K173,T173,AC173))</f>
        <v/>
      </c>
      <c r="V173" s="368">
        <f>F3564</f>
        <v/>
      </c>
      <c r="W173" s="368">
        <f>J3564</f>
        <v/>
      </c>
      <c r="X173" s="524">
        <f>V173/V172-1</f>
        <v/>
      </c>
      <c r="Y173" s="524">
        <f>V173/V170-1</f>
        <v/>
      </c>
      <c r="Z173" s="524">
        <f>V173/V167-1</f>
        <v/>
      </c>
      <c r="AA173" s="524">
        <f>V173/V161-1</f>
        <v/>
      </c>
      <c r="AB173" s="524">
        <f>STDEV.S(X162:X173)*SQRT(12)</f>
        <v/>
      </c>
      <c r="AC173" s="368">
        <f>IF(AND(Y173&gt;$P$6,Z173&gt;$P$7,AA173&gt;$P$8,V173&gt;W173,AB173&lt;$P$10),1,0)</f>
        <v/>
      </c>
      <c r="AD173" s="525">
        <f>IF(SUM(K173,T173,AC173)=0,0,AC173/SUM(K173,T173,AC173))</f>
        <v/>
      </c>
      <c r="AE173" s="525">
        <f>IF(SUM(K173,T173,AC173)=0,1,0)</f>
        <v/>
      </c>
      <c r="AF173" s="368">
        <f>G3564</f>
        <v/>
      </c>
      <c r="AG173" s="524">
        <f>AF173/AF172-1</f>
        <v/>
      </c>
      <c r="AH173" s="524">
        <f>0.5*(ABS(L172-L171)+ABS(U172-U171)+ABS(AD172-AD171)+ABS(AE172-AE171))</f>
        <v/>
      </c>
      <c r="AI173" s="524">
        <f>L172*F173+U172*O173+AD172*X173+AE172*AG173</f>
        <v/>
      </c>
      <c r="AJ173" s="524">
        <f>AH173*$P$11</f>
        <v/>
      </c>
      <c r="AK173" s="524">
        <f>AI173-AJ173</f>
        <v/>
      </c>
      <c r="AL173" s="368">
        <f>AL172*(1+AK173)</f>
        <v/>
      </c>
      <c r="AM173" s="368">
        <f>MAX($AL$40:AL173)</f>
        <v/>
      </c>
      <c r="AN173" s="524">
        <f>AL173/AM173-1</f>
        <v/>
      </c>
      <c r="AO173" s="526">
        <f>AK173-AG173</f>
        <v/>
      </c>
    </row>
    <row r="174">
      <c r="C174" s="503" t="n">
        <v>44651</v>
      </c>
      <c r="D174" s="368">
        <f>D3587</f>
        <v/>
      </c>
      <c r="E174" s="368">
        <f>H3587</f>
        <v/>
      </c>
      <c r="F174" s="524">
        <f>D174/D173-1</f>
        <v/>
      </c>
      <c r="G174" s="524">
        <f>D174/D171-1</f>
        <v/>
      </c>
      <c r="H174" s="524">
        <f>D174/D168-1</f>
        <v/>
      </c>
      <c r="I174" s="524">
        <f>D174/D162-1</f>
        <v/>
      </c>
      <c r="J174" s="524">
        <f>STDEV.S(F163:F174)*SQRT(12)</f>
        <v/>
      </c>
      <c r="K174" s="368">
        <f>IF(AND(G174&gt;$P$6,H174&gt;$P$7,I174&gt;$P$8,D174&gt;E174,J174&lt;$P$10),1,0)</f>
        <v/>
      </c>
      <c r="L174" s="525">
        <f>IF(SUM(K174,T174,AC174)=0,0,K174/SUM(K174,T174,AC174))</f>
        <v/>
      </c>
      <c r="M174" s="368">
        <f>E3587</f>
        <v/>
      </c>
      <c r="N174" s="368">
        <f>I3587</f>
        <v/>
      </c>
      <c r="O174" s="524">
        <f>M174/M173-1</f>
        <v/>
      </c>
      <c r="P174" s="524">
        <f>M174/M171-1</f>
        <v/>
      </c>
      <c r="Q174" s="524">
        <f>M174/M168-1</f>
        <v/>
      </c>
      <c r="R174" s="524">
        <f>M174/M162-1</f>
        <v/>
      </c>
      <c r="S174" s="524">
        <f>STDEV.S(O163:O174)*SQRT(12)</f>
        <v/>
      </c>
      <c r="T174" s="368">
        <f>IF(AND(P174&gt;$P$6,Q174&gt;$P$7,R174&gt;$P$8,M174&gt;N174,S174&lt;$P$10),1,0)</f>
        <v/>
      </c>
      <c r="U174" s="525">
        <f>IF(SUM(K174,T174,AC174)=0,0,T174/SUM(K174,T174,AC174))</f>
        <v/>
      </c>
      <c r="V174" s="368">
        <f>F3587</f>
        <v/>
      </c>
      <c r="W174" s="368">
        <f>J3587</f>
        <v/>
      </c>
      <c r="X174" s="524">
        <f>V174/V173-1</f>
        <v/>
      </c>
      <c r="Y174" s="524">
        <f>V174/V171-1</f>
        <v/>
      </c>
      <c r="Z174" s="524">
        <f>V174/V168-1</f>
        <v/>
      </c>
      <c r="AA174" s="524">
        <f>V174/V162-1</f>
        <v/>
      </c>
      <c r="AB174" s="524">
        <f>STDEV.S(X163:X174)*SQRT(12)</f>
        <v/>
      </c>
      <c r="AC174" s="368">
        <f>IF(AND(Y174&gt;$P$6,Z174&gt;$P$7,AA174&gt;$P$8,V174&gt;W174,AB174&lt;$P$10),1,0)</f>
        <v/>
      </c>
      <c r="AD174" s="525">
        <f>IF(SUM(K174,T174,AC174)=0,0,AC174/SUM(K174,T174,AC174))</f>
        <v/>
      </c>
      <c r="AE174" s="525">
        <f>IF(SUM(K174,T174,AC174)=0,1,0)</f>
        <v/>
      </c>
      <c r="AF174" s="368">
        <f>G3587</f>
        <v/>
      </c>
      <c r="AG174" s="524">
        <f>AF174/AF173-1</f>
        <v/>
      </c>
      <c r="AH174" s="524">
        <f>0.5*(ABS(L173-L172)+ABS(U173-U172)+ABS(AD173-AD172)+ABS(AE173-AE172))</f>
        <v/>
      </c>
      <c r="AI174" s="524">
        <f>L173*F174+U173*O174+AD173*X174+AE173*AG174</f>
        <v/>
      </c>
      <c r="AJ174" s="524">
        <f>AH174*$P$11</f>
        <v/>
      </c>
      <c r="AK174" s="524">
        <f>AI174-AJ174</f>
        <v/>
      </c>
      <c r="AL174" s="368">
        <f>AL173*(1+AK174)</f>
        <v/>
      </c>
      <c r="AM174" s="368">
        <f>MAX($AL$40:AL174)</f>
        <v/>
      </c>
      <c r="AN174" s="524">
        <f>AL174/AM174-1</f>
        <v/>
      </c>
      <c r="AO174" s="526">
        <f>AK174-AG174</f>
        <v/>
      </c>
    </row>
    <row r="175">
      <c r="C175" s="503" t="n">
        <v>44681</v>
      </c>
      <c r="D175" s="368">
        <f>D3607</f>
        <v/>
      </c>
      <c r="E175" s="368">
        <f>H3607</f>
        <v/>
      </c>
      <c r="F175" s="524">
        <f>D175/D174-1</f>
        <v/>
      </c>
      <c r="G175" s="524">
        <f>D175/D172-1</f>
        <v/>
      </c>
      <c r="H175" s="524">
        <f>D175/D169-1</f>
        <v/>
      </c>
      <c r="I175" s="524">
        <f>D175/D163-1</f>
        <v/>
      </c>
      <c r="J175" s="524">
        <f>STDEV.S(F164:F175)*SQRT(12)</f>
        <v/>
      </c>
      <c r="K175" s="368">
        <f>IF(AND(G175&gt;$P$6,H175&gt;$P$7,I175&gt;$P$8,D175&gt;E175,J175&lt;$P$10),1,0)</f>
        <v/>
      </c>
      <c r="L175" s="525">
        <f>IF(SUM(K175,T175,AC175)=0,0,K175/SUM(K175,T175,AC175))</f>
        <v/>
      </c>
      <c r="M175" s="368">
        <f>E3607</f>
        <v/>
      </c>
      <c r="N175" s="368">
        <f>I3607</f>
        <v/>
      </c>
      <c r="O175" s="524">
        <f>M175/M174-1</f>
        <v/>
      </c>
      <c r="P175" s="524">
        <f>M175/M172-1</f>
        <v/>
      </c>
      <c r="Q175" s="524">
        <f>M175/M169-1</f>
        <v/>
      </c>
      <c r="R175" s="524">
        <f>M175/M163-1</f>
        <v/>
      </c>
      <c r="S175" s="524">
        <f>STDEV.S(O164:O175)*SQRT(12)</f>
        <v/>
      </c>
      <c r="T175" s="368">
        <f>IF(AND(P175&gt;$P$6,Q175&gt;$P$7,R175&gt;$P$8,M175&gt;N175,S175&lt;$P$10),1,0)</f>
        <v/>
      </c>
      <c r="U175" s="525">
        <f>IF(SUM(K175,T175,AC175)=0,0,T175/SUM(K175,T175,AC175))</f>
        <v/>
      </c>
      <c r="V175" s="368">
        <f>F3607</f>
        <v/>
      </c>
      <c r="W175" s="368">
        <f>J3607</f>
        <v/>
      </c>
      <c r="X175" s="524">
        <f>V175/V174-1</f>
        <v/>
      </c>
      <c r="Y175" s="524">
        <f>V175/V172-1</f>
        <v/>
      </c>
      <c r="Z175" s="524">
        <f>V175/V169-1</f>
        <v/>
      </c>
      <c r="AA175" s="524">
        <f>V175/V163-1</f>
        <v/>
      </c>
      <c r="AB175" s="524">
        <f>STDEV.S(X164:X175)*SQRT(12)</f>
        <v/>
      </c>
      <c r="AC175" s="368">
        <f>IF(AND(Y175&gt;$P$6,Z175&gt;$P$7,AA175&gt;$P$8,V175&gt;W175,AB175&lt;$P$10),1,0)</f>
        <v/>
      </c>
      <c r="AD175" s="525">
        <f>IF(SUM(K175,T175,AC175)=0,0,AC175/SUM(K175,T175,AC175))</f>
        <v/>
      </c>
      <c r="AE175" s="525">
        <f>IF(SUM(K175,T175,AC175)=0,1,0)</f>
        <v/>
      </c>
      <c r="AF175" s="368">
        <f>G3607</f>
        <v/>
      </c>
      <c r="AG175" s="524">
        <f>AF175/AF174-1</f>
        <v/>
      </c>
      <c r="AH175" s="524">
        <f>0.5*(ABS(L174-L173)+ABS(U174-U173)+ABS(AD174-AD173)+ABS(AE174-AE173))</f>
        <v/>
      </c>
      <c r="AI175" s="524">
        <f>L174*F175+U174*O175+AD174*X175+AE174*AG175</f>
        <v/>
      </c>
      <c r="AJ175" s="524">
        <f>AH175*$P$11</f>
        <v/>
      </c>
      <c r="AK175" s="524">
        <f>AI175-AJ175</f>
        <v/>
      </c>
      <c r="AL175" s="368">
        <f>AL174*(1+AK175)</f>
        <v/>
      </c>
      <c r="AM175" s="368">
        <f>MAX($AL$40:AL175)</f>
        <v/>
      </c>
      <c r="AN175" s="524">
        <f>AL175/AM175-1</f>
        <v/>
      </c>
      <c r="AO175" s="526">
        <f>AK175-AG175</f>
        <v/>
      </c>
    </row>
    <row r="176">
      <c r="C176" s="503" t="n">
        <v>44712</v>
      </c>
      <c r="D176" s="368">
        <f>D3628</f>
        <v/>
      </c>
      <c r="E176" s="368">
        <f>H3628</f>
        <v/>
      </c>
      <c r="F176" s="524">
        <f>D176/D175-1</f>
        <v/>
      </c>
      <c r="G176" s="524">
        <f>D176/D173-1</f>
        <v/>
      </c>
      <c r="H176" s="524">
        <f>D176/D170-1</f>
        <v/>
      </c>
      <c r="I176" s="524">
        <f>D176/D164-1</f>
        <v/>
      </c>
      <c r="J176" s="524">
        <f>STDEV.S(F165:F176)*SQRT(12)</f>
        <v/>
      </c>
      <c r="K176" s="368">
        <f>IF(AND(G176&gt;$P$6,H176&gt;$P$7,I176&gt;$P$8,D176&gt;E176,J176&lt;$P$10),1,0)</f>
        <v/>
      </c>
      <c r="L176" s="525">
        <f>IF(SUM(K176,T176,AC176)=0,0,K176/SUM(K176,T176,AC176))</f>
        <v/>
      </c>
      <c r="M176" s="368">
        <f>E3628</f>
        <v/>
      </c>
      <c r="N176" s="368">
        <f>I3628</f>
        <v/>
      </c>
      <c r="O176" s="524">
        <f>M176/M175-1</f>
        <v/>
      </c>
      <c r="P176" s="524">
        <f>M176/M173-1</f>
        <v/>
      </c>
      <c r="Q176" s="524">
        <f>M176/M170-1</f>
        <v/>
      </c>
      <c r="R176" s="524">
        <f>M176/M164-1</f>
        <v/>
      </c>
      <c r="S176" s="524">
        <f>STDEV.S(O165:O176)*SQRT(12)</f>
        <v/>
      </c>
      <c r="T176" s="368">
        <f>IF(AND(P176&gt;$P$6,Q176&gt;$P$7,R176&gt;$P$8,M176&gt;N176,S176&lt;$P$10),1,0)</f>
        <v/>
      </c>
      <c r="U176" s="525">
        <f>IF(SUM(K176,T176,AC176)=0,0,T176/SUM(K176,T176,AC176))</f>
        <v/>
      </c>
      <c r="V176" s="368">
        <f>F3628</f>
        <v/>
      </c>
      <c r="W176" s="368">
        <f>J3628</f>
        <v/>
      </c>
      <c r="X176" s="524">
        <f>V176/V175-1</f>
        <v/>
      </c>
      <c r="Y176" s="524">
        <f>V176/V173-1</f>
        <v/>
      </c>
      <c r="Z176" s="524">
        <f>V176/V170-1</f>
        <v/>
      </c>
      <c r="AA176" s="524">
        <f>V176/V164-1</f>
        <v/>
      </c>
      <c r="AB176" s="524">
        <f>STDEV.S(X165:X176)*SQRT(12)</f>
        <v/>
      </c>
      <c r="AC176" s="368">
        <f>IF(AND(Y176&gt;$P$6,Z176&gt;$P$7,AA176&gt;$P$8,V176&gt;W176,AB176&lt;$P$10),1,0)</f>
        <v/>
      </c>
      <c r="AD176" s="525">
        <f>IF(SUM(K176,T176,AC176)=0,0,AC176/SUM(K176,T176,AC176))</f>
        <v/>
      </c>
      <c r="AE176" s="525">
        <f>IF(SUM(K176,T176,AC176)=0,1,0)</f>
        <v/>
      </c>
      <c r="AF176" s="368">
        <f>G3628</f>
        <v/>
      </c>
      <c r="AG176" s="524">
        <f>AF176/AF175-1</f>
        <v/>
      </c>
      <c r="AH176" s="524">
        <f>0.5*(ABS(L175-L174)+ABS(U175-U174)+ABS(AD175-AD174)+ABS(AE175-AE174))</f>
        <v/>
      </c>
      <c r="AI176" s="524">
        <f>L175*F176+U175*O176+AD175*X176+AE175*AG176</f>
        <v/>
      </c>
      <c r="AJ176" s="524">
        <f>AH176*$P$11</f>
        <v/>
      </c>
      <c r="AK176" s="524">
        <f>AI176-AJ176</f>
        <v/>
      </c>
      <c r="AL176" s="368">
        <f>AL175*(1+AK176)</f>
        <v/>
      </c>
      <c r="AM176" s="368">
        <f>MAX($AL$40:AL176)</f>
        <v/>
      </c>
      <c r="AN176" s="524">
        <f>AL176/AM176-1</f>
        <v/>
      </c>
      <c r="AO176" s="526">
        <f>AK176-AG176</f>
        <v/>
      </c>
    </row>
    <row r="177">
      <c r="C177" s="503" t="n">
        <v>44742</v>
      </c>
      <c r="D177" s="368">
        <f>D3649</f>
        <v/>
      </c>
      <c r="E177" s="368">
        <f>H3649</f>
        <v/>
      </c>
      <c r="F177" s="524">
        <f>D177/D176-1</f>
        <v/>
      </c>
      <c r="G177" s="524">
        <f>D177/D174-1</f>
        <v/>
      </c>
      <c r="H177" s="524">
        <f>D177/D171-1</f>
        <v/>
      </c>
      <c r="I177" s="524">
        <f>D177/D165-1</f>
        <v/>
      </c>
      <c r="J177" s="524">
        <f>STDEV.S(F166:F177)*SQRT(12)</f>
        <v/>
      </c>
      <c r="K177" s="368">
        <f>IF(AND(G177&gt;$P$6,H177&gt;$P$7,I177&gt;$P$8,D177&gt;E177,J177&lt;$P$10),1,0)</f>
        <v/>
      </c>
      <c r="L177" s="525">
        <f>IF(SUM(K177,T177,AC177)=0,0,K177/SUM(K177,T177,AC177))</f>
        <v/>
      </c>
      <c r="M177" s="368">
        <f>E3649</f>
        <v/>
      </c>
      <c r="N177" s="368">
        <f>I3649</f>
        <v/>
      </c>
      <c r="O177" s="524">
        <f>M177/M176-1</f>
        <v/>
      </c>
      <c r="P177" s="524">
        <f>M177/M174-1</f>
        <v/>
      </c>
      <c r="Q177" s="524">
        <f>M177/M171-1</f>
        <v/>
      </c>
      <c r="R177" s="524">
        <f>M177/M165-1</f>
        <v/>
      </c>
      <c r="S177" s="524">
        <f>STDEV.S(O166:O177)*SQRT(12)</f>
        <v/>
      </c>
      <c r="T177" s="368">
        <f>IF(AND(P177&gt;$P$6,Q177&gt;$P$7,R177&gt;$P$8,M177&gt;N177,S177&lt;$P$10),1,0)</f>
        <v/>
      </c>
      <c r="U177" s="525">
        <f>IF(SUM(K177,T177,AC177)=0,0,T177/SUM(K177,T177,AC177))</f>
        <v/>
      </c>
      <c r="V177" s="368">
        <f>F3649</f>
        <v/>
      </c>
      <c r="W177" s="368">
        <f>J3649</f>
        <v/>
      </c>
      <c r="X177" s="524">
        <f>V177/V176-1</f>
        <v/>
      </c>
      <c r="Y177" s="524">
        <f>V177/V174-1</f>
        <v/>
      </c>
      <c r="Z177" s="524">
        <f>V177/V171-1</f>
        <v/>
      </c>
      <c r="AA177" s="524">
        <f>V177/V165-1</f>
        <v/>
      </c>
      <c r="AB177" s="524">
        <f>STDEV.S(X166:X177)*SQRT(12)</f>
        <v/>
      </c>
      <c r="AC177" s="368">
        <f>IF(AND(Y177&gt;$P$6,Z177&gt;$P$7,AA177&gt;$P$8,V177&gt;W177,AB177&lt;$P$10),1,0)</f>
        <v/>
      </c>
      <c r="AD177" s="525">
        <f>IF(SUM(K177,T177,AC177)=0,0,AC177/SUM(K177,T177,AC177))</f>
        <v/>
      </c>
      <c r="AE177" s="525">
        <f>IF(SUM(K177,T177,AC177)=0,1,0)</f>
        <v/>
      </c>
      <c r="AF177" s="368">
        <f>G3649</f>
        <v/>
      </c>
      <c r="AG177" s="524">
        <f>AF177/AF176-1</f>
        <v/>
      </c>
      <c r="AH177" s="524">
        <f>0.5*(ABS(L176-L175)+ABS(U176-U175)+ABS(AD176-AD175)+ABS(AE176-AE175))</f>
        <v/>
      </c>
      <c r="AI177" s="524">
        <f>L176*F177+U176*O177+AD176*X177+AE176*AG177</f>
        <v/>
      </c>
      <c r="AJ177" s="524">
        <f>AH177*$P$11</f>
        <v/>
      </c>
      <c r="AK177" s="524">
        <f>AI177-AJ177</f>
        <v/>
      </c>
      <c r="AL177" s="368">
        <f>AL176*(1+AK177)</f>
        <v/>
      </c>
      <c r="AM177" s="368">
        <f>MAX($AL$40:AL177)</f>
        <v/>
      </c>
      <c r="AN177" s="524">
        <f>AL177/AM177-1</f>
        <v/>
      </c>
      <c r="AO177" s="526">
        <f>AK177-AG177</f>
        <v/>
      </c>
    </row>
    <row r="178">
      <c r="C178" s="503" t="n">
        <v>44773</v>
      </c>
      <c r="D178" s="368">
        <f>D3669</f>
        <v/>
      </c>
      <c r="E178" s="368">
        <f>H3669</f>
        <v/>
      </c>
      <c r="F178" s="524">
        <f>D178/D177-1</f>
        <v/>
      </c>
      <c r="G178" s="524">
        <f>D178/D175-1</f>
        <v/>
      </c>
      <c r="H178" s="524">
        <f>D178/D172-1</f>
        <v/>
      </c>
      <c r="I178" s="524">
        <f>D178/D166-1</f>
        <v/>
      </c>
      <c r="J178" s="524">
        <f>STDEV.S(F167:F178)*SQRT(12)</f>
        <v/>
      </c>
      <c r="K178" s="368">
        <f>IF(AND(G178&gt;$P$6,H178&gt;$P$7,I178&gt;$P$8,D178&gt;E178,J178&lt;$P$10),1,0)</f>
        <v/>
      </c>
      <c r="L178" s="525">
        <f>IF(SUM(K178,T178,AC178)=0,0,K178/SUM(K178,T178,AC178))</f>
        <v/>
      </c>
      <c r="M178" s="368">
        <f>E3669</f>
        <v/>
      </c>
      <c r="N178" s="368">
        <f>I3669</f>
        <v/>
      </c>
      <c r="O178" s="524">
        <f>M178/M177-1</f>
        <v/>
      </c>
      <c r="P178" s="524">
        <f>M178/M175-1</f>
        <v/>
      </c>
      <c r="Q178" s="524">
        <f>M178/M172-1</f>
        <v/>
      </c>
      <c r="R178" s="524">
        <f>M178/M166-1</f>
        <v/>
      </c>
      <c r="S178" s="524">
        <f>STDEV.S(O167:O178)*SQRT(12)</f>
        <v/>
      </c>
      <c r="T178" s="368">
        <f>IF(AND(P178&gt;$P$6,Q178&gt;$P$7,R178&gt;$P$8,M178&gt;N178,S178&lt;$P$10),1,0)</f>
        <v/>
      </c>
      <c r="U178" s="525">
        <f>IF(SUM(K178,T178,AC178)=0,0,T178/SUM(K178,T178,AC178))</f>
        <v/>
      </c>
      <c r="V178" s="368">
        <f>F3669</f>
        <v/>
      </c>
      <c r="W178" s="368">
        <f>J3669</f>
        <v/>
      </c>
      <c r="X178" s="524">
        <f>V178/V177-1</f>
        <v/>
      </c>
      <c r="Y178" s="524">
        <f>V178/V175-1</f>
        <v/>
      </c>
      <c r="Z178" s="524">
        <f>V178/V172-1</f>
        <v/>
      </c>
      <c r="AA178" s="524">
        <f>V178/V166-1</f>
        <v/>
      </c>
      <c r="AB178" s="524">
        <f>STDEV.S(X167:X178)*SQRT(12)</f>
        <v/>
      </c>
      <c r="AC178" s="368">
        <f>IF(AND(Y178&gt;$P$6,Z178&gt;$P$7,AA178&gt;$P$8,V178&gt;W178,AB178&lt;$P$10),1,0)</f>
        <v/>
      </c>
      <c r="AD178" s="525">
        <f>IF(SUM(K178,T178,AC178)=0,0,AC178/SUM(K178,T178,AC178))</f>
        <v/>
      </c>
      <c r="AE178" s="525">
        <f>IF(SUM(K178,T178,AC178)=0,1,0)</f>
        <v/>
      </c>
      <c r="AF178" s="368">
        <f>G3669</f>
        <v/>
      </c>
      <c r="AG178" s="524">
        <f>AF178/AF177-1</f>
        <v/>
      </c>
      <c r="AH178" s="524">
        <f>0.5*(ABS(L177-L176)+ABS(U177-U176)+ABS(AD177-AD176)+ABS(AE177-AE176))</f>
        <v/>
      </c>
      <c r="AI178" s="524">
        <f>L177*F178+U177*O178+AD177*X178+AE177*AG178</f>
        <v/>
      </c>
      <c r="AJ178" s="524">
        <f>AH178*$P$11</f>
        <v/>
      </c>
      <c r="AK178" s="524">
        <f>AI178-AJ178</f>
        <v/>
      </c>
      <c r="AL178" s="368">
        <f>AL177*(1+AK178)</f>
        <v/>
      </c>
      <c r="AM178" s="368">
        <f>MAX($AL$40:AL178)</f>
        <v/>
      </c>
      <c r="AN178" s="524">
        <f>AL178/AM178-1</f>
        <v/>
      </c>
      <c r="AO178" s="526">
        <f>AK178-AG178</f>
        <v/>
      </c>
    </row>
    <row r="179">
      <c r="C179" s="503" t="n">
        <v>44804</v>
      </c>
      <c r="D179" s="368">
        <f>D3692</f>
        <v/>
      </c>
      <c r="E179" s="368">
        <f>H3692</f>
        <v/>
      </c>
      <c r="F179" s="524">
        <f>D179/D178-1</f>
        <v/>
      </c>
      <c r="G179" s="524">
        <f>D179/D176-1</f>
        <v/>
      </c>
      <c r="H179" s="524">
        <f>D179/D173-1</f>
        <v/>
      </c>
      <c r="I179" s="524">
        <f>D179/D167-1</f>
        <v/>
      </c>
      <c r="J179" s="524">
        <f>STDEV.S(F168:F179)*SQRT(12)</f>
        <v/>
      </c>
      <c r="K179" s="368">
        <f>IF(AND(G179&gt;$P$6,H179&gt;$P$7,I179&gt;$P$8,D179&gt;E179,J179&lt;$P$10),1,0)</f>
        <v/>
      </c>
      <c r="L179" s="525">
        <f>IF(SUM(K179,T179,AC179)=0,0,K179/SUM(K179,T179,AC179))</f>
        <v/>
      </c>
      <c r="M179" s="368">
        <f>E3692</f>
        <v/>
      </c>
      <c r="N179" s="368">
        <f>I3692</f>
        <v/>
      </c>
      <c r="O179" s="524">
        <f>M179/M178-1</f>
        <v/>
      </c>
      <c r="P179" s="524">
        <f>M179/M176-1</f>
        <v/>
      </c>
      <c r="Q179" s="524">
        <f>M179/M173-1</f>
        <v/>
      </c>
      <c r="R179" s="524">
        <f>M179/M167-1</f>
        <v/>
      </c>
      <c r="S179" s="524">
        <f>STDEV.S(O168:O179)*SQRT(12)</f>
        <v/>
      </c>
      <c r="T179" s="368">
        <f>IF(AND(P179&gt;$P$6,Q179&gt;$P$7,R179&gt;$P$8,M179&gt;N179,S179&lt;$P$10),1,0)</f>
        <v/>
      </c>
      <c r="U179" s="525">
        <f>IF(SUM(K179,T179,AC179)=0,0,T179/SUM(K179,T179,AC179))</f>
        <v/>
      </c>
      <c r="V179" s="368">
        <f>F3692</f>
        <v/>
      </c>
      <c r="W179" s="368">
        <f>J3692</f>
        <v/>
      </c>
      <c r="X179" s="524">
        <f>V179/V178-1</f>
        <v/>
      </c>
      <c r="Y179" s="524">
        <f>V179/V176-1</f>
        <v/>
      </c>
      <c r="Z179" s="524">
        <f>V179/V173-1</f>
        <v/>
      </c>
      <c r="AA179" s="524">
        <f>V179/V167-1</f>
        <v/>
      </c>
      <c r="AB179" s="524">
        <f>STDEV.S(X168:X179)*SQRT(12)</f>
        <v/>
      </c>
      <c r="AC179" s="368">
        <f>IF(AND(Y179&gt;$P$6,Z179&gt;$P$7,AA179&gt;$P$8,V179&gt;W179,AB179&lt;$P$10),1,0)</f>
        <v/>
      </c>
      <c r="AD179" s="525">
        <f>IF(SUM(K179,T179,AC179)=0,0,AC179/SUM(K179,T179,AC179))</f>
        <v/>
      </c>
      <c r="AE179" s="525">
        <f>IF(SUM(K179,T179,AC179)=0,1,0)</f>
        <v/>
      </c>
      <c r="AF179" s="368">
        <f>G3692</f>
        <v/>
      </c>
      <c r="AG179" s="524">
        <f>AF179/AF178-1</f>
        <v/>
      </c>
      <c r="AH179" s="524">
        <f>0.5*(ABS(L178-L177)+ABS(U178-U177)+ABS(AD178-AD177)+ABS(AE178-AE177))</f>
        <v/>
      </c>
      <c r="AI179" s="524">
        <f>L178*F179+U178*O179+AD178*X179+AE178*AG179</f>
        <v/>
      </c>
      <c r="AJ179" s="524">
        <f>AH179*$P$11</f>
        <v/>
      </c>
      <c r="AK179" s="524">
        <f>AI179-AJ179</f>
        <v/>
      </c>
      <c r="AL179" s="368">
        <f>AL178*(1+AK179)</f>
        <v/>
      </c>
      <c r="AM179" s="368">
        <f>MAX($AL$40:AL179)</f>
        <v/>
      </c>
      <c r="AN179" s="524">
        <f>AL179/AM179-1</f>
        <v/>
      </c>
      <c r="AO179" s="526">
        <f>AK179-AG179</f>
        <v/>
      </c>
    </row>
    <row r="180">
      <c r="C180" s="503" t="n">
        <v>44834</v>
      </c>
      <c r="D180" s="368">
        <f>D3713</f>
        <v/>
      </c>
      <c r="E180" s="368">
        <f>H3713</f>
        <v/>
      </c>
      <c r="F180" s="524">
        <f>D180/D179-1</f>
        <v/>
      </c>
      <c r="G180" s="524">
        <f>D180/D177-1</f>
        <v/>
      </c>
      <c r="H180" s="524">
        <f>D180/D174-1</f>
        <v/>
      </c>
      <c r="I180" s="524">
        <f>D180/D168-1</f>
        <v/>
      </c>
      <c r="J180" s="524">
        <f>STDEV.S(F169:F180)*SQRT(12)</f>
        <v/>
      </c>
      <c r="K180" s="368">
        <f>IF(AND(G180&gt;$P$6,H180&gt;$P$7,I180&gt;$P$8,D180&gt;E180,J180&lt;$P$10),1,0)</f>
        <v/>
      </c>
      <c r="L180" s="525">
        <f>IF(SUM(K180,T180,AC180)=0,0,K180/SUM(K180,T180,AC180))</f>
        <v/>
      </c>
      <c r="M180" s="368">
        <f>E3713</f>
        <v/>
      </c>
      <c r="N180" s="368">
        <f>I3713</f>
        <v/>
      </c>
      <c r="O180" s="524">
        <f>M180/M179-1</f>
        <v/>
      </c>
      <c r="P180" s="524">
        <f>M180/M177-1</f>
        <v/>
      </c>
      <c r="Q180" s="524">
        <f>M180/M174-1</f>
        <v/>
      </c>
      <c r="R180" s="524">
        <f>M180/M168-1</f>
        <v/>
      </c>
      <c r="S180" s="524">
        <f>STDEV.S(O169:O180)*SQRT(12)</f>
        <v/>
      </c>
      <c r="T180" s="368">
        <f>IF(AND(P180&gt;$P$6,Q180&gt;$P$7,R180&gt;$P$8,M180&gt;N180,S180&lt;$P$10),1,0)</f>
        <v/>
      </c>
      <c r="U180" s="525">
        <f>IF(SUM(K180,T180,AC180)=0,0,T180/SUM(K180,T180,AC180))</f>
        <v/>
      </c>
      <c r="V180" s="368">
        <f>F3713</f>
        <v/>
      </c>
      <c r="W180" s="368">
        <f>J3713</f>
        <v/>
      </c>
      <c r="X180" s="524">
        <f>V180/V179-1</f>
        <v/>
      </c>
      <c r="Y180" s="524">
        <f>V180/V177-1</f>
        <v/>
      </c>
      <c r="Z180" s="524">
        <f>V180/V174-1</f>
        <v/>
      </c>
      <c r="AA180" s="524">
        <f>V180/V168-1</f>
        <v/>
      </c>
      <c r="AB180" s="524">
        <f>STDEV.S(X169:X180)*SQRT(12)</f>
        <v/>
      </c>
      <c r="AC180" s="368">
        <f>IF(AND(Y180&gt;$P$6,Z180&gt;$P$7,AA180&gt;$P$8,V180&gt;W180,AB180&lt;$P$10),1,0)</f>
        <v/>
      </c>
      <c r="AD180" s="525">
        <f>IF(SUM(K180,T180,AC180)=0,0,AC180/SUM(K180,T180,AC180))</f>
        <v/>
      </c>
      <c r="AE180" s="525">
        <f>IF(SUM(K180,T180,AC180)=0,1,0)</f>
        <v/>
      </c>
      <c r="AF180" s="368">
        <f>G3713</f>
        <v/>
      </c>
      <c r="AG180" s="524">
        <f>AF180/AF179-1</f>
        <v/>
      </c>
      <c r="AH180" s="524">
        <f>0.5*(ABS(L179-L178)+ABS(U179-U178)+ABS(AD179-AD178)+ABS(AE179-AE178))</f>
        <v/>
      </c>
      <c r="AI180" s="524">
        <f>L179*F180+U179*O180+AD179*X180+AE179*AG180</f>
        <v/>
      </c>
      <c r="AJ180" s="524">
        <f>AH180*$P$11</f>
        <v/>
      </c>
      <c r="AK180" s="524">
        <f>AI180-AJ180</f>
        <v/>
      </c>
      <c r="AL180" s="368">
        <f>AL179*(1+AK180)</f>
        <v/>
      </c>
      <c r="AM180" s="368">
        <f>MAX($AL$40:AL180)</f>
        <v/>
      </c>
      <c r="AN180" s="524">
        <f>AL180/AM180-1</f>
        <v/>
      </c>
      <c r="AO180" s="526">
        <f>AK180-AG180</f>
        <v/>
      </c>
    </row>
    <row r="181">
      <c r="C181" s="503" t="n">
        <v>44865</v>
      </c>
      <c r="D181" s="368">
        <f>D3734</f>
        <v/>
      </c>
      <c r="E181" s="368">
        <f>H3734</f>
        <v/>
      </c>
      <c r="F181" s="524">
        <f>D181/D180-1</f>
        <v/>
      </c>
      <c r="G181" s="524">
        <f>D181/D178-1</f>
        <v/>
      </c>
      <c r="H181" s="524">
        <f>D181/D175-1</f>
        <v/>
      </c>
      <c r="I181" s="524">
        <f>D181/D169-1</f>
        <v/>
      </c>
      <c r="J181" s="524">
        <f>STDEV.S(F170:F181)*SQRT(12)</f>
        <v/>
      </c>
      <c r="K181" s="368">
        <f>IF(AND(G181&gt;$P$6,H181&gt;$P$7,I181&gt;$P$8,D181&gt;E181,J181&lt;$P$10),1,0)</f>
        <v/>
      </c>
      <c r="L181" s="525">
        <f>IF(SUM(K181,T181,AC181)=0,0,K181/SUM(K181,T181,AC181))</f>
        <v/>
      </c>
      <c r="M181" s="368">
        <f>E3734</f>
        <v/>
      </c>
      <c r="N181" s="368">
        <f>I3734</f>
        <v/>
      </c>
      <c r="O181" s="524">
        <f>M181/M180-1</f>
        <v/>
      </c>
      <c r="P181" s="524">
        <f>M181/M178-1</f>
        <v/>
      </c>
      <c r="Q181" s="524">
        <f>M181/M175-1</f>
        <v/>
      </c>
      <c r="R181" s="524">
        <f>M181/M169-1</f>
        <v/>
      </c>
      <c r="S181" s="524">
        <f>STDEV.S(O170:O181)*SQRT(12)</f>
        <v/>
      </c>
      <c r="T181" s="368">
        <f>IF(AND(P181&gt;$P$6,Q181&gt;$P$7,R181&gt;$P$8,M181&gt;N181,S181&lt;$P$10),1,0)</f>
        <v/>
      </c>
      <c r="U181" s="525">
        <f>IF(SUM(K181,T181,AC181)=0,0,T181/SUM(K181,T181,AC181))</f>
        <v/>
      </c>
      <c r="V181" s="368">
        <f>F3734</f>
        <v/>
      </c>
      <c r="W181" s="368">
        <f>J3734</f>
        <v/>
      </c>
      <c r="X181" s="524">
        <f>V181/V180-1</f>
        <v/>
      </c>
      <c r="Y181" s="524">
        <f>V181/V178-1</f>
        <v/>
      </c>
      <c r="Z181" s="524">
        <f>V181/V175-1</f>
        <v/>
      </c>
      <c r="AA181" s="524">
        <f>V181/V169-1</f>
        <v/>
      </c>
      <c r="AB181" s="524">
        <f>STDEV.S(X170:X181)*SQRT(12)</f>
        <v/>
      </c>
      <c r="AC181" s="368">
        <f>IF(AND(Y181&gt;$P$6,Z181&gt;$P$7,AA181&gt;$P$8,V181&gt;W181,AB181&lt;$P$10),1,0)</f>
        <v/>
      </c>
      <c r="AD181" s="525">
        <f>IF(SUM(K181,T181,AC181)=0,0,AC181/SUM(K181,T181,AC181))</f>
        <v/>
      </c>
      <c r="AE181" s="525">
        <f>IF(SUM(K181,T181,AC181)=0,1,0)</f>
        <v/>
      </c>
      <c r="AF181" s="368">
        <f>G3734</f>
        <v/>
      </c>
      <c r="AG181" s="524">
        <f>AF181/AF180-1</f>
        <v/>
      </c>
      <c r="AH181" s="524">
        <f>0.5*(ABS(L180-L179)+ABS(U180-U179)+ABS(AD180-AD179)+ABS(AE180-AE179))</f>
        <v/>
      </c>
      <c r="AI181" s="524">
        <f>L180*F181+U180*O181+AD180*X181+AE180*AG181</f>
        <v/>
      </c>
      <c r="AJ181" s="524">
        <f>AH181*$P$11</f>
        <v/>
      </c>
      <c r="AK181" s="524">
        <f>AI181-AJ181</f>
        <v/>
      </c>
      <c r="AL181" s="368">
        <f>AL180*(1+AK181)</f>
        <v/>
      </c>
      <c r="AM181" s="368">
        <f>MAX($AL$40:AL181)</f>
        <v/>
      </c>
      <c r="AN181" s="524">
        <f>AL181/AM181-1</f>
        <v/>
      </c>
      <c r="AO181" s="526">
        <f>AK181-AG181</f>
        <v/>
      </c>
    </row>
    <row r="182">
      <c r="C182" s="503" t="n">
        <v>44895</v>
      </c>
      <c r="D182" s="368">
        <f>D3755</f>
        <v/>
      </c>
      <c r="E182" s="368">
        <f>H3755</f>
        <v/>
      </c>
      <c r="F182" s="524">
        <f>D182/D181-1</f>
        <v/>
      </c>
      <c r="G182" s="524">
        <f>D182/D179-1</f>
        <v/>
      </c>
      <c r="H182" s="524">
        <f>D182/D176-1</f>
        <v/>
      </c>
      <c r="I182" s="524">
        <f>D182/D170-1</f>
        <v/>
      </c>
      <c r="J182" s="524">
        <f>STDEV.S(F171:F182)*SQRT(12)</f>
        <v/>
      </c>
      <c r="K182" s="368">
        <f>IF(AND(G182&gt;$P$6,H182&gt;$P$7,I182&gt;$P$8,D182&gt;E182,J182&lt;$P$10),1,0)</f>
        <v/>
      </c>
      <c r="L182" s="525">
        <f>IF(SUM(K182,T182,AC182)=0,0,K182/SUM(K182,T182,AC182))</f>
        <v/>
      </c>
      <c r="M182" s="368">
        <f>E3755</f>
        <v/>
      </c>
      <c r="N182" s="368">
        <f>I3755</f>
        <v/>
      </c>
      <c r="O182" s="524">
        <f>M182/M181-1</f>
        <v/>
      </c>
      <c r="P182" s="524">
        <f>M182/M179-1</f>
        <v/>
      </c>
      <c r="Q182" s="524">
        <f>M182/M176-1</f>
        <v/>
      </c>
      <c r="R182" s="524">
        <f>M182/M170-1</f>
        <v/>
      </c>
      <c r="S182" s="524">
        <f>STDEV.S(O171:O182)*SQRT(12)</f>
        <v/>
      </c>
      <c r="T182" s="368">
        <f>IF(AND(P182&gt;$P$6,Q182&gt;$P$7,R182&gt;$P$8,M182&gt;N182,S182&lt;$P$10),1,0)</f>
        <v/>
      </c>
      <c r="U182" s="525">
        <f>IF(SUM(K182,T182,AC182)=0,0,T182/SUM(K182,T182,AC182))</f>
        <v/>
      </c>
      <c r="V182" s="368">
        <f>F3755</f>
        <v/>
      </c>
      <c r="W182" s="368">
        <f>J3755</f>
        <v/>
      </c>
      <c r="X182" s="524">
        <f>V182/V181-1</f>
        <v/>
      </c>
      <c r="Y182" s="524">
        <f>V182/V179-1</f>
        <v/>
      </c>
      <c r="Z182" s="524">
        <f>V182/V176-1</f>
        <v/>
      </c>
      <c r="AA182" s="524">
        <f>V182/V170-1</f>
        <v/>
      </c>
      <c r="AB182" s="524">
        <f>STDEV.S(X171:X182)*SQRT(12)</f>
        <v/>
      </c>
      <c r="AC182" s="368">
        <f>IF(AND(Y182&gt;$P$6,Z182&gt;$P$7,AA182&gt;$P$8,V182&gt;W182,AB182&lt;$P$10),1,0)</f>
        <v/>
      </c>
      <c r="AD182" s="525">
        <f>IF(SUM(K182,T182,AC182)=0,0,AC182/SUM(K182,T182,AC182))</f>
        <v/>
      </c>
      <c r="AE182" s="525">
        <f>IF(SUM(K182,T182,AC182)=0,1,0)</f>
        <v/>
      </c>
      <c r="AF182" s="368">
        <f>G3755</f>
        <v/>
      </c>
      <c r="AG182" s="524">
        <f>AF182/AF181-1</f>
        <v/>
      </c>
      <c r="AH182" s="524">
        <f>0.5*(ABS(L181-L180)+ABS(U181-U180)+ABS(AD181-AD180)+ABS(AE181-AE180))</f>
        <v/>
      </c>
      <c r="AI182" s="524">
        <f>L181*F182+U181*O182+AD181*X182+AE181*AG182</f>
        <v/>
      </c>
      <c r="AJ182" s="524">
        <f>AH182*$P$11</f>
        <v/>
      </c>
      <c r="AK182" s="524">
        <f>AI182-AJ182</f>
        <v/>
      </c>
      <c r="AL182" s="368">
        <f>AL181*(1+AK182)</f>
        <v/>
      </c>
      <c r="AM182" s="368">
        <f>MAX($AL$40:AL182)</f>
        <v/>
      </c>
      <c r="AN182" s="524">
        <f>AL182/AM182-1</f>
        <v/>
      </c>
      <c r="AO182" s="526">
        <f>AK182-AG182</f>
        <v/>
      </c>
    </row>
    <row r="183">
      <c r="C183" s="503" t="n">
        <v>44926</v>
      </c>
      <c r="D183" s="368">
        <f>D3776</f>
        <v/>
      </c>
      <c r="E183" s="368">
        <f>H3776</f>
        <v/>
      </c>
      <c r="F183" s="524">
        <f>D183/D182-1</f>
        <v/>
      </c>
      <c r="G183" s="524">
        <f>D183/D180-1</f>
        <v/>
      </c>
      <c r="H183" s="524">
        <f>D183/D177-1</f>
        <v/>
      </c>
      <c r="I183" s="524">
        <f>D183/D171-1</f>
        <v/>
      </c>
      <c r="J183" s="524">
        <f>STDEV.S(F172:F183)*SQRT(12)</f>
        <v/>
      </c>
      <c r="K183" s="368">
        <f>IF(AND(G183&gt;$P$6,H183&gt;$P$7,I183&gt;$P$8,D183&gt;E183,J183&lt;$P$10),1,0)</f>
        <v/>
      </c>
      <c r="L183" s="525">
        <f>IF(SUM(K183,T183,AC183)=0,0,K183/SUM(K183,T183,AC183))</f>
        <v/>
      </c>
      <c r="M183" s="368">
        <f>E3776</f>
        <v/>
      </c>
      <c r="N183" s="368">
        <f>I3776</f>
        <v/>
      </c>
      <c r="O183" s="524">
        <f>M183/M182-1</f>
        <v/>
      </c>
      <c r="P183" s="524">
        <f>M183/M180-1</f>
        <v/>
      </c>
      <c r="Q183" s="524">
        <f>M183/M177-1</f>
        <v/>
      </c>
      <c r="R183" s="524">
        <f>M183/M171-1</f>
        <v/>
      </c>
      <c r="S183" s="524">
        <f>STDEV.S(O172:O183)*SQRT(12)</f>
        <v/>
      </c>
      <c r="T183" s="368">
        <f>IF(AND(P183&gt;$P$6,Q183&gt;$P$7,R183&gt;$P$8,M183&gt;N183,S183&lt;$P$10),1,0)</f>
        <v/>
      </c>
      <c r="U183" s="525">
        <f>IF(SUM(K183,T183,AC183)=0,0,T183/SUM(K183,T183,AC183))</f>
        <v/>
      </c>
      <c r="V183" s="368">
        <f>F3776</f>
        <v/>
      </c>
      <c r="W183" s="368">
        <f>J3776</f>
        <v/>
      </c>
      <c r="X183" s="524">
        <f>V183/V182-1</f>
        <v/>
      </c>
      <c r="Y183" s="524">
        <f>V183/V180-1</f>
        <v/>
      </c>
      <c r="Z183" s="524">
        <f>V183/V177-1</f>
        <v/>
      </c>
      <c r="AA183" s="524">
        <f>V183/V171-1</f>
        <v/>
      </c>
      <c r="AB183" s="524">
        <f>STDEV.S(X172:X183)*SQRT(12)</f>
        <v/>
      </c>
      <c r="AC183" s="368">
        <f>IF(AND(Y183&gt;$P$6,Z183&gt;$P$7,AA183&gt;$P$8,V183&gt;W183,AB183&lt;$P$10),1,0)</f>
        <v/>
      </c>
      <c r="AD183" s="525">
        <f>IF(SUM(K183,T183,AC183)=0,0,AC183/SUM(K183,T183,AC183))</f>
        <v/>
      </c>
      <c r="AE183" s="525">
        <f>IF(SUM(K183,T183,AC183)=0,1,0)</f>
        <v/>
      </c>
      <c r="AF183" s="368">
        <f>G3776</f>
        <v/>
      </c>
      <c r="AG183" s="524">
        <f>AF183/AF182-1</f>
        <v/>
      </c>
      <c r="AH183" s="524">
        <f>0.5*(ABS(L182-L181)+ABS(U182-U181)+ABS(AD182-AD181)+ABS(AE182-AE181))</f>
        <v/>
      </c>
      <c r="AI183" s="524">
        <f>L182*F183+U182*O183+AD182*X183+AE182*AG183</f>
        <v/>
      </c>
      <c r="AJ183" s="524">
        <f>AH183*$P$11</f>
        <v/>
      </c>
      <c r="AK183" s="524">
        <f>AI183-AJ183</f>
        <v/>
      </c>
      <c r="AL183" s="368">
        <f>AL182*(1+AK183)</f>
        <v/>
      </c>
      <c r="AM183" s="368">
        <f>MAX($AL$40:AL183)</f>
        <v/>
      </c>
      <c r="AN183" s="524">
        <f>AL183/AM183-1</f>
        <v/>
      </c>
      <c r="AO183" s="526">
        <f>AK183-AG183</f>
        <v/>
      </c>
    </row>
    <row r="184">
      <c r="C184" s="503" t="n">
        <v>44957</v>
      </c>
      <c r="D184" s="368">
        <f>D3796</f>
        <v/>
      </c>
      <c r="E184" s="368">
        <f>H3796</f>
        <v/>
      </c>
      <c r="F184" s="524">
        <f>D184/D183-1</f>
        <v/>
      </c>
      <c r="G184" s="524">
        <f>D184/D181-1</f>
        <v/>
      </c>
      <c r="H184" s="524">
        <f>D184/D178-1</f>
        <v/>
      </c>
      <c r="I184" s="524">
        <f>D184/D172-1</f>
        <v/>
      </c>
      <c r="J184" s="524">
        <f>STDEV.S(F173:F184)*SQRT(12)</f>
        <v/>
      </c>
      <c r="K184" s="368">
        <f>IF(AND(G184&gt;$P$6,H184&gt;$P$7,I184&gt;$P$8,D184&gt;E184,J184&lt;$P$10),1,0)</f>
        <v/>
      </c>
      <c r="L184" s="525">
        <f>IF(SUM(K184,T184,AC184)=0,0,K184/SUM(K184,T184,AC184))</f>
        <v/>
      </c>
      <c r="M184" s="368">
        <f>E3796</f>
        <v/>
      </c>
      <c r="N184" s="368">
        <f>I3796</f>
        <v/>
      </c>
      <c r="O184" s="524">
        <f>M184/M183-1</f>
        <v/>
      </c>
      <c r="P184" s="524">
        <f>M184/M181-1</f>
        <v/>
      </c>
      <c r="Q184" s="524">
        <f>M184/M178-1</f>
        <v/>
      </c>
      <c r="R184" s="524">
        <f>M184/M172-1</f>
        <v/>
      </c>
      <c r="S184" s="524">
        <f>STDEV.S(O173:O184)*SQRT(12)</f>
        <v/>
      </c>
      <c r="T184" s="368">
        <f>IF(AND(P184&gt;$P$6,Q184&gt;$P$7,R184&gt;$P$8,M184&gt;N184,S184&lt;$P$10),1,0)</f>
        <v/>
      </c>
      <c r="U184" s="525">
        <f>IF(SUM(K184,T184,AC184)=0,0,T184/SUM(K184,T184,AC184))</f>
        <v/>
      </c>
      <c r="V184" s="368">
        <f>F3796</f>
        <v/>
      </c>
      <c r="W184" s="368">
        <f>J3796</f>
        <v/>
      </c>
      <c r="X184" s="524">
        <f>V184/V183-1</f>
        <v/>
      </c>
      <c r="Y184" s="524">
        <f>V184/V181-1</f>
        <v/>
      </c>
      <c r="Z184" s="524">
        <f>V184/V178-1</f>
        <v/>
      </c>
      <c r="AA184" s="524">
        <f>V184/V172-1</f>
        <v/>
      </c>
      <c r="AB184" s="524">
        <f>STDEV.S(X173:X184)*SQRT(12)</f>
        <v/>
      </c>
      <c r="AC184" s="368">
        <f>IF(AND(Y184&gt;$P$6,Z184&gt;$P$7,AA184&gt;$P$8,V184&gt;W184,AB184&lt;$P$10),1,0)</f>
        <v/>
      </c>
      <c r="AD184" s="525">
        <f>IF(SUM(K184,T184,AC184)=0,0,AC184/SUM(K184,T184,AC184))</f>
        <v/>
      </c>
      <c r="AE184" s="525">
        <f>IF(SUM(K184,T184,AC184)=0,1,0)</f>
        <v/>
      </c>
      <c r="AF184" s="368">
        <f>G3796</f>
        <v/>
      </c>
      <c r="AG184" s="524">
        <f>AF184/AF183-1</f>
        <v/>
      </c>
      <c r="AH184" s="524">
        <f>0.5*(ABS(L183-L182)+ABS(U183-U182)+ABS(AD183-AD182)+ABS(AE183-AE182))</f>
        <v/>
      </c>
      <c r="AI184" s="524">
        <f>L183*F184+U183*O184+AD183*X184+AE183*AG184</f>
        <v/>
      </c>
      <c r="AJ184" s="524">
        <f>AH184*$P$11</f>
        <v/>
      </c>
      <c r="AK184" s="524">
        <f>AI184-AJ184</f>
        <v/>
      </c>
      <c r="AL184" s="368">
        <f>AL183*(1+AK184)</f>
        <v/>
      </c>
      <c r="AM184" s="368">
        <f>MAX($AL$40:AL184)</f>
        <v/>
      </c>
      <c r="AN184" s="524">
        <f>AL184/AM184-1</f>
        <v/>
      </c>
      <c r="AO184" s="526">
        <f>AK184-AG184</f>
        <v/>
      </c>
    </row>
    <row r="185">
      <c r="C185" s="503" t="n">
        <v>44985</v>
      </c>
      <c r="D185" s="368">
        <f>D3815</f>
        <v/>
      </c>
      <c r="E185" s="368">
        <f>H3815</f>
        <v/>
      </c>
      <c r="F185" s="524">
        <f>D185/D184-1</f>
        <v/>
      </c>
      <c r="G185" s="524">
        <f>D185/D182-1</f>
        <v/>
      </c>
      <c r="H185" s="524">
        <f>D185/D179-1</f>
        <v/>
      </c>
      <c r="I185" s="524">
        <f>D185/D173-1</f>
        <v/>
      </c>
      <c r="J185" s="524">
        <f>STDEV.S(F174:F185)*SQRT(12)</f>
        <v/>
      </c>
      <c r="K185" s="368">
        <f>IF(AND(G185&gt;$P$6,H185&gt;$P$7,I185&gt;$P$8,D185&gt;E185,J185&lt;$P$10),1,0)</f>
        <v/>
      </c>
      <c r="L185" s="525">
        <f>IF(SUM(K185,T185,AC185)=0,0,K185/SUM(K185,T185,AC185))</f>
        <v/>
      </c>
      <c r="M185" s="368">
        <f>E3815</f>
        <v/>
      </c>
      <c r="N185" s="368">
        <f>I3815</f>
        <v/>
      </c>
      <c r="O185" s="524">
        <f>M185/M184-1</f>
        <v/>
      </c>
      <c r="P185" s="524">
        <f>M185/M182-1</f>
        <v/>
      </c>
      <c r="Q185" s="524">
        <f>M185/M179-1</f>
        <v/>
      </c>
      <c r="R185" s="524">
        <f>M185/M173-1</f>
        <v/>
      </c>
      <c r="S185" s="524">
        <f>STDEV.S(O174:O185)*SQRT(12)</f>
        <v/>
      </c>
      <c r="T185" s="368">
        <f>IF(AND(P185&gt;$P$6,Q185&gt;$P$7,R185&gt;$P$8,M185&gt;N185,S185&lt;$P$10),1,0)</f>
        <v/>
      </c>
      <c r="U185" s="525">
        <f>IF(SUM(K185,T185,AC185)=0,0,T185/SUM(K185,T185,AC185))</f>
        <v/>
      </c>
      <c r="V185" s="368">
        <f>F3815</f>
        <v/>
      </c>
      <c r="W185" s="368">
        <f>J3815</f>
        <v/>
      </c>
      <c r="X185" s="524">
        <f>V185/V184-1</f>
        <v/>
      </c>
      <c r="Y185" s="524">
        <f>V185/V182-1</f>
        <v/>
      </c>
      <c r="Z185" s="524">
        <f>V185/V179-1</f>
        <v/>
      </c>
      <c r="AA185" s="524">
        <f>V185/V173-1</f>
        <v/>
      </c>
      <c r="AB185" s="524">
        <f>STDEV.S(X174:X185)*SQRT(12)</f>
        <v/>
      </c>
      <c r="AC185" s="368">
        <f>IF(AND(Y185&gt;$P$6,Z185&gt;$P$7,AA185&gt;$P$8,V185&gt;W185,AB185&lt;$P$10),1,0)</f>
        <v/>
      </c>
      <c r="AD185" s="525">
        <f>IF(SUM(K185,T185,AC185)=0,0,AC185/SUM(K185,T185,AC185))</f>
        <v/>
      </c>
      <c r="AE185" s="525">
        <f>IF(SUM(K185,T185,AC185)=0,1,0)</f>
        <v/>
      </c>
      <c r="AF185" s="368">
        <f>G3815</f>
        <v/>
      </c>
      <c r="AG185" s="524">
        <f>AF185/AF184-1</f>
        <v/>
      </c>
      <c r="AH185" s="524">
        <f>0.5*(ABS(L184-L183)+ABS(U184-U183)+ABS(AD184-AD183)+ABS(AE184-AE183))</f>
        <v/>
      </c>
      <c r="AI185" s="524">
        <f>L184*F185+U184*O185+AD184*X185+AE184*AG185</f>
        <v/>
      </c>
      <c r="AJ185" s="524">
        <f>AH185*$P$11</f>
        <v/>
      </c>
      <c r="AK185" s="524">
        <f>AI185-AJ185</f>
        <v/>
      </c>
      <c r="AL185" s="368">
        <f>AL184*(1+AK185)</f>
        <v/>
      </c>
      <c r="AM185" s="368">
        <f>MAX($AL$40:AL185)</f>
        <v/>
      </c>
      <c r="AN185" s="524">
        <f>AL185/AM185-1</f>
        <v/>
      </c>
      <c r="AO185" s="526">
        <f>AK185-AG185</f>
        <v/>
      </c>
    </row>
    <row r="186">
      <c r="C186" s="503" t="n">
        <v>45016</v>
      </c>
      <c r="D186" s="368">
        <f>D3838</f>
        <v/>
      </c>
      <c r="E186" s="368">
        <f>H3838</f>
        <v/>
      </c>
      <c r="F186" s="524">
        <f>D186/D185-1</f>
        <v/>
      </c>
      <c r="G186" s="524">
        <f>D186/D183-1</f>
        <v/>
      </c>
      <c r="H186" s="524">
        <f>D186/D180-1</f>
        <v/>
      </c>
      <c r="I186" s="524">
        <f>D186/D174-1</f>
        <v/>
      </c>
      <c r="J186" s="524">
        <f>STDEV.S(F175:F186)*SQRT(12)</f>
        <v/>
      </c>
      <c r="K186" s="368">
        <f>IF(AND(G186&gt;$P$6,H186&gt;$P$7,I186&gt;$P$8,D186&gt;E186,J186&lt;$P$10),1,0)</f>
        <v/>
      </c>
      <c r="L186" s="525">
        <f>IF(SUM(K186,T186,AC186)=0,0,K186/SUM(K186,T186,AC186))</f>
        <v/>
      </c>
      <c r="M186" s="368">
        <f>E3838</f>
        <v/>
      </c>
      <c r="N186" s="368">
        <f>I3838</f>
        <v/>
      </c>
      <c r="O186" s="524">
        <f>M186/M185-1</f>
        <v/>
      </c>
      <c r="P186" s="524">
        <f>M186/M183-1</f>
        <v/>
      </c>
      <c r="Q186" s="524">
        <f>M186/M180-1</f>
        <v/>
      </c>
      <c r="R186" s="524">
        <f>M186/M174-1</f>
        <v/>
      </c>
      <c r="S186" s="524">
        <f>STDEV.S(O175:O186)*SQRT(12)</f>
        <v/>
      </c>
      <c r="T186" s="368">
        <f>IF(AND(P186&gt;$P$6,Q186&gt;$P$7,R186&gt;$P$8,M186&gt;N186,S186&lt;$P$10),1,0)</f>
        <v/>
      </c>
      <c r="U186" s="525">
        <f>IF(SUM(K186,T186,AC186)=0,0,T186/SUM(K186,T186,AC186))</f>
        <v/>
      </c>
      <c r="V186" s="368">
        <f>F3838</f>
        <v/>
      </c>
      <c r="W186" s="368">
        <f>J3838</f>
        <v/>
      </c>
      <c r="X186" s="524">
        <f>V186/V185-1</f>
        <v/>
      </c>
      <c r="Y186" s="524">
        <f>V186/V183-1</f>
        <v/>
      </c>
      <c r="Z186" s="524">
        <f>V186/V180-1</f>
        <v/>
      </c>
      <c r="AA186" s="524">
        <f>V186/V174-1</f>
        <v/>
      </c>
      <c r="AB186" s="524">
        <f>STDEV.S(X175:X186)*SQRT(12)</f>
        <v/>
      </c>
      <c r="AC186" s="368">
        <f>IF(AND(Y186&gt;$P$6,Z186&gt;$P$7,AA186&gt;$P$8,V186&gt;W186,AB186&lt;$P$10),1,0)</f>
        <v/>
      </c>
      <c r="AD186" s="525">
        <f>IF(SUM(K186,T186,AC186)=0,0,AC186/SUM(K186,T186,AC186))</f>
        <v/>
      </c>
      <c r="AE186" s="525">
        <f>IF(SUM(K186,T186,AC186)=0,1,0)</f>
        <v/>
      </c>
      <c r="AF186" s="368">
        <f>G3838</f>
        <v/>
      </c>
      <c r="AG186" s="524">
        <f>AF186/AF185-1</f>
        <v/>
      </c>
      <c r="AH186" s="524">
        <f>0.5*(ABS(L185-L184)+ABS(U185-U184)+ABS(AD185-AD184)+ABS(AE185-AE184))</f>
        <v/>
      </c>
      <c r="AI186" s="524">
        <f>L185*F186+U185*O186+AD185*X186+AE185*AG186</f>
        <v/>
      </c>
      <c r="AJ186" s="524">
        <f>AH186*$P$11</f>
        <v/>
      </c>
      <c r="AK186" s="524">
        <f>AI186-AJ186</f>
        <v/>
      </c>
      <c r="AL186" s="368">
        <f>AL185*(1+AK186)</f>
        <v/>
      </c>
      <c r="AM186" s="368">
        <f>MAX($AL$40:AL186)</f>
        <v/>
      </c>
      <c r="AN186" s="524">
        <f>AL186/AM186-1</f>
        <v/>
      </c>
      <c r="AO186" s="526">
        <f>AK186-AG186</f>
        <v/>
      </c>
    </row>
    <row r="187">
      <c r="C187" s="503" t="n">
        <v>45046</v>
      </c>
      <c r="D187" s="368">
        <f>D3857</f>
        <v/>
      </c>
      <c r="E187" s="368">
        <f>H3857</f>
        <v/>
      </c>
      <c r="F187" s="524">
        <f>D187/D186-1</f>
        <v/>
      </c>
      <c r="G187" s="524">
        <f>D187/D184-1</f>
        <v/>
      </c>
      <c r="H187" s="524">
        <f>D187/D181-1</f>
        <v/>
      </c>
      <c r="I187" s="524">
        <f>D187/D175-1</f>
        <v/>
      </c>
      <c r="J187" s="524">
        <f>STDEV.S(F176:F187)*SQRT(12)</f>
        <v/>
      </c>
      <c r="K187" s="368">
        <f>IF(AND(G187&gt;$P$6,H187&gt;$P$7,I187&gt;$P$8,D187&gt;E187,J187&lt;$P$10),1,0)</f>
        <v/>
      </c>
      <c r="L187" s="525">
        <f>IF(SUM(K187,T187,AC187)=0,0,K187/SUM(K187,T187,AC187))</f>
        <v/>
      </c>
      <c r="M187" s="368">
        <f>E3857</f>
        <v/>
      </c>
      <c r="N187" s="368">
        <f>I3857</f>
        <v/>
      </c>
      <c r="O187" s="524">
        <f>M187/M186-1</f>
        <v/>
      </c>
      <c r="P187" s="524">
        <f>M187/M184-1</f>
        <v/>
      </c>
      <c r="Q187" s="524">
        <f>M187/M181-1</f>
        <v/>
      </c>
      <c r="R187" s="524">
        <f>M187/M175-1</f>
        <v/>
      </c>
      <c r="S187" s="524">
        <f>STDEV.S(O176:O187)*SQRT(12)</f>
        <v/>
      </c>
      <c r="T187" s="368">
        <f>IF(AND(P187&gt;$P$6,Q187&gt;$P$7,R187&gt;$P$8,M187&gt;N187,S187&lt;$P$10),1,0)</f>
        <v/>
      </c>
      <c r="U187" s="525">
        <f>IF(SUM(K187,T187,AC187)=0,0,T187/SUM(K187,T187,AC187))</f>
        <v/>
      </c>
      <c r="V187" s="368">
        <f>F3857</f>
        <v/>
      </c>
      <c r="W187" s="368">
        <f>J3857</f>
        <v/>
      </c>
      <c r="X187" s="524">
        <f>V187/V186-1</f>
        <v/>
      </c>
      <c r="Y187" s="524">
        <f>V187/V184-1</f>
        <v/>
      </c>
      <c r="Z187" s="524">
        <f>V187/V181-1</f>
        <v/>
      </c>
      <c r="AA187" s="524">
        <f>V187/V175-1</f>
        <v/>
      </c>
      <c r="AB187" s="524">
        <f>STDEV.S(X176:X187)*SQRT(12)</f>
        <v/>
      </c>
      <c r="AC187" s="368">
        <f>IF(AND(Y187&gt;$P$6,Z187&gt;$P$7,AA187&gt;$P$8,V187&gt;W187,AB187&lt;$P$10),1,0)</f>
        <v/>
      </c>
      <c r="AD187" s="525">
        <f>IF(SUM(K187,T187,AC187)=0,0,AC187/SUM(K187,T187,AC187))</f>
        <v/>
      </c>
      <c r="AE187" s="525">
        <f>IF(SUM(K187,T187,AC187)=0,1,0)</f>
        <v/>
      </c>
      <c r="AF187" s="368">
        <f>G3857</f>
        <v/>
      </c>
      <c r="AG187" s="524">
        <f>AF187/AF186-1</f>
        <v/>
      </c>
      <c r="AH187" s="524">
        <f>0.5*(ABS(L186-L185)+ABS(U186-U185)+ABS(AD186-AD185)+ABS(AE186-AE185))</f>
        <v/>
      </c>
      <c r="AI187" s="524">
        <f>L186*F187+U186*O187+AD186*X187+AE186*AG187</f>
        <v/>
      </c>
      <c r="AJ187" s="524">
        <f>AH187*$P$11</f>
        <v/>
      </c>
      <c r="AK187" s="524">
        <f>AI187-AJ187</f>
        <v/>
      </c>
      <c r="AL187" s="368">
        <f>AL186*(1+AK187)</f>
        <v/>
      </c>
      <c r="AM187" s="368">
        <f>MAX($AL$40:AL187)</f>
        <v/>
      </c>
      <c r="AN187" s="524">
        <f>AL187/AM187-1</f>
        <v/>
      </c>
      <c r="AO187" s="526">
        <f>AK187-AG187</f>
        <v/>
      </c>
    </row>
    <row r="188">
      <c r="C188" s="503" t="n">
        <v>45077</v>
      </c>
      <c r="D188" s="368">
        <f>D3879</f>
        <v/>
      </c>
      <c r="E188" s="368">
        <f>H3879</f>
        <v/>
      </c>
      <c r="F188" s="524">
        <f>D188/D187-1</f>
        <v/>
      </c>
      <c r="G188" s="524">
        <f>D188/D185-1</f>
        <v/>
      </c>
      <c r="H188" s="524">
        <f>D188/D182-1</f>
        <v/>
      </c>
      <c r="I188" s="524">
        <f>D188/D176-1</f>
        <v/>
      </c>
      <c r="J188" s="524">
        <f>STDEV.S(F177:F188)*SQRT(12)</f>
        <v/>
      </c>
      <c r="K188" s="368">
        <f>IF(AND(G188&gt;$P$6,H188&gt;$P$7,I188&gt;$P$8,D188&gt;E188,J188&lt;$P$10),1,0)</f>
        <v/>
      </c>
      <c r="L188" s="525">
        <f>IF(SUM(K188,T188,AC188)=0,0,K188/SUM(K188,T188,AC188))</f>
        <v/>
      </c>
      <c r="M188" s="368">
        <f>E3879</f>
        <v/>
      </c>
      <c r="N188" s="368">
        <f>I3879</f>
        <v/>
      </c>
      <c r="O188" s="524">
        <f>M188/M187-1</f>
        <v/>
      </c>
      <c r="P188" s="524">
        <f>M188/M185-1</f>
        <v/>
      </c>
      <c r="Q188" s="524">
        <f>M188/M182-1</f>
        <v/>
      </c>
      <c r="R188" s="524">
        <f>M188/M176-1</f>
        <v/>
      </c>
      <c r="S188" s="524">
        <f>STDEV.S(O177:O188)*SQRT(12)</f>
        <v/>
      </c>
      <c r="T188" s="368">
        <f>IF(AND(P188&gt;$P$6,Q188&gt;$P$7,R188&gt;$P$8,M188&gt;N188,S188&lt;$P$10),1,0)</f>
        <v/>
      </c>
      <c r="U188" s="525">
        <f>IF(SUM(K188,T188,AC188)=0,0,T188/SUM(K188,T188,AC188))</f>
        <v/>
      </c>
      <c r="V188" s="368">
        <f>F3879</f>
        <v/>
      </c>
      <c r="W188" s="368">
        <f>J3879</f>
        <v/>
      </c>
      <c r="X188" s="524">
        <f>V188/V187-1</f>
        <v/>
      </c>
      <c r="Y188" s="524">
        <f>V188/V185-1</f>
        <v/>
      </c>
      <c r="Z188" s="524">
        <f>V188/V182-1</f>
        <v/>
      </c>
      <c r="AA188" s="524">
        <f>V188/V176-1</f>
        <v/>
      </c>
      <c r="AB188" s="524">
        <f>STDEV.S(X177:X188)*SQRT(12)</f>
        <v/>
      </c>
      <c r="AC188" s="368">
        <f>IF(AND(Y188&gt;$P$6,Z188&gt;$P$7,AA188&gt;$P$8,V188&gt;W188,AB188&lt;$P$10),1,0)</f>
        <v/>
      </c>
      <c r="AD188" s="525">
        <f>IF(SUM(K188,T188,AC188)=0,0,AC188/SUM(K188,T188,AC188))</f>
        <v/>
      </c>
      <c r="AE188" s="525">
        <f>IF(SUM(K188,T188,AC188)=0,1,0)</f>
        <v/>
      </c>
      <c r="AF188" s="368">
        <f>G3879</f>
        <v/>
      </c>
      <c r="AG188" s="524">
        <f>AF188/AF187-1</f>
        <v/>
      </c>
      <c r="AH188" s="524">
        <f>0.5*(ABS(L187-L186)+ABS(U187-U186)+ABS(AD187-AD186)+ABS(AE187-AE186))</f>
        <v/>
      </c>
      <c r="AI188" s="524">
        <f>L187*F188+U187*O188+AD187*X188+AE187*AG188</f>
        <v/>
      </c>
      <c r="AJ188" s="524">
        <f>AH188*$P$11</f>
        <v/>
      </c>
      <c r="AK188" s="524">
        <f>AI188-AJ188</f>
        <v/>
      </c>
      <c r="AL188" s="368">
        <f>AL187*(1+AK188)</f>
        <v/>
      </c>
      <c r="AM188" s="368">
        <f>MAX($AL$40:AL188)</f>
        <v/>
      </c>
      <c r="AN188" s="524">
        <f>AL188/AM188-1</f>
        <v/>
      </c>
      <c r="AO188" s="526">
        <f>AK188-AG188</f>
        <v/>
      </c>
    </row>
    <row r="189">
      <c r="C189" s="503" t="n">
        <v>45107</v>
      </c>
      <c r="D189" s="368">
        <f>D3900</f>
        <v/>
      </c>
      <c r="E189" s="368">
        <f>H3900</f>
        <v/>
      </c>
      <c r="F189" s="524">
        <f>D189/D188-1</f>
        <v/>
      </c>
      <c r="G189" s="524">
        <f>D189/D186-1</f>
        <v/>
      </c>
      <c r="H189" s="524">
        <f>D189/D183-1</f>
        <v/>
      </c>
      <c r="I189" s="524">
        <f>D189/D177-1</f>
        <v/>
      </c>
      <c r="J189" s="524">
        <f>STDEV.S(F178:F189)*SQRT(12)</f>
        <v/>
      </c>
      <c r="K189" s="368">
        <f>IF(AND(G189&gt;$P$6,H189&gt;$P$7,I189&gt;$P$8,D189&gt;E189,J189&lt;$P$10),1,0)</f>
        <v/>
      </c>
      <c r="L189" s="525">
        <f>IF(SUM(K189,T189,AC189)=0,0,K189/SUM(K189,T189,AC189))</f>
        <v/>
      </c>
      <c r="M189" s="368">
        <f>E3900</f>
        <v/>
      </c>
      <c r="N189" s="368">
        <f>I3900</f>
        <v/>
      </c>
      <c r="O189" s="524">
        <f>M189/M188-1</f>
        <v/>
      </c>
      <c r="P189" s="524">
        <f>M189/M186-1</f>
        <v/>
      </c>
      <c r="Q189" s="524">
        <f>M189/M183-1</f>
        <v/>
      </c>
      <c r="R189" s="524">
        <f>M189/M177-1</f>
        <v/>
      </c>
      <c r="S189" s="524">
        <f>STDEV.S(O178:O189)*SQRT(12)</f>
        <v/>
      </c>
      <c r="T189" s="368">
        <f>IF(AND(P189&gt;$P$6,Q189&gt;$P$7,R189&gt;$P$8,M189&gt;N189,S189&lt;$P$10),1,0)</f>
        <v/>
      </c>
      <c r="U189" s="525">
        <f>IF(SUM(K189,T189,AC189)=0,0,T189/SUM(K189,T189,AC189))</f>
        <v/>
      </c>
      <c r="V189" s="368">
        <f>F3900</f>
        <v/>
      </c>
      <c r="W189" s="368">
        <f>J3900</f>
        <v/>
      </c>
      <c r="X189" s="524">
        <f>V189/V188-1</f>
        <v/>
      </c>
      <c r="Y189" s="524">
        <f>V189/V186-1</f>
        <v/>
      </c>
      <c r="Z189" s="524">
        <f>V189/V183-1</f>
        <v/>
      </c>
      <c r="AA189" s="524">
        <f>V189/V177-1</f>
        <v/>
      </c>
      <c r="AB189" s="524">
        <f>STDEV.S(X178:X189)*SQRT(12)</f>
        <v/>
      </c>
      <c r="AC189" s="368">
        <f>IF(AND(Y189&gt;$P$6,Z189&gt;$P$7,AA189&gt;$P$8,V189&gt;W189,AB189&lt;$P$10),1,0)</f>
        <v/>
      </c>
      <c r="AD189" s="525">
        <f>IF(SUM(K189,T189,AC189)=0,0,AC189/SUM(K189,T189,AC189))</f>
        <v/>
      </c>
      <c r="AE189" s="525">
        <f>IF(SUM(K189,T189,AC189)=0,1,0)</f>
        <v/>
      </c>
      <c r="AF189" s="368">
        <f>G3900</f>
        <v/>
      </c>
      <c r="AG189" s="524">
        <f>AF189/AF188-1</f>
        <v/>
      </c>
      <c r="AH189" s="524">
        <f>0.5*(ABS(L188-L187)+ABS(U188-U187)+ABS(AD188-AD187)+ABS(AE188-AE187))</f>
        <v/>
      </c>
      <c r="AI189" s="524">
        <f>L188*F189+U188*O189+AD188*X189+AE188*AG189</f>
        <v/>
      </c>
      <c r="AJ189" s="524">
        <f>AH189*$P$11</f>
        <v/>
      </c>
      <c r="AK189" s="524">
        <f>AI189-AJ189</f>
        <v/>
      </c>
      <c r="AL189" s="368">
        <f>AL188*(1+AK189)</f>
        <v/>
      </c>
      <c r="AM189" s="368">
        <f>MAX($AL$40:AL189)</f>
        <v/>
      </c>
      <c r="AN189" s="524">
        <f>AL189/AM189-1</f>
        <v/>
      </c>
      <c r="AO189" s="526">
        <f>AK189-AG189</f>
        <v/>
      </c>
    </row>
    <row r="190">
      <c r="C190" s="503" t="n">
        <v>45138</v>
      </c>
      <c r="D190" s="368">
        <f>D3920</f>
        <v/>
      </c>
      <c r="E190" s="368">
        <f>H3920</f>
        <v/>
      </c>
      <c r="F190" s="524">
        <f>D190/D189-1</f>
        <v/>
      </c>
      <c r="G190" s="524">
        <f>D190/D187-1</f>
        <v/>
      </c>
      <c r="H190" s="524">
        <f>D190/D184-1</f>
        <v/>
      </c>
      <c r="I190" s="524">
        <f>D190/D178-1</f>
        <v/>
      </c>
      <c r="J190" s="524">
        <f>STDEV.S(F179:F190)*SQRT(12)</f>
        <v/>
      </c>
      <c r="K190" s="368">
        <f>IF(AND(G190&gt;$P$6,H190&gt;$P$7,I190&gt;$P$8,D190&gt;E190,J190&lt;$P$10),1,0)</f>
        <v/>
      </c>
      <c r="L190" s="525">
        <f>IF(SUM(K190,T190,AC190)=0,0,K190/SUM(K190,T190,AC190))</f>
        <v/>
      </c>
      <c r="M190" s="368">
        <f>E3920</f>
        <v/>
      </c>
      <c r="N190" s="368">
        <f>I3920</f>
        <v/>
      </c>
      <c r="O190" s="524">
        <f>M190/M189-1</f>
        <v/>
      </c>
      <c r="P190" s="524">
        <f>M190/M187-1</f>
        <v/>
      </c>
      <c r="Q190" s="524">
        <f>M190/M184-1</f>
        <v/>
      </c>
      <c r="R190" s="524">
        <f>M190/M178-1</f>
        <v/>
      </c>
      <c r="S190" s="524">
        <f>STDEV.S(O179:O190)*SQRT(12)</f>
        <v/>
      </c>
      <c r="T190" s="368">
        <f>IF(AND(P190&gt;$P$6,Q190&gt;$P$7,R190&gt;$P$8,M190&gt;N190,S190&lt;$P$10),1,0)</f>
        <v/>
      </c>
      <c r="U190" s="525">
        <f>IF(SUM(K190,T190,AC190)=0,0,T190/SUM(K190,T190,AC190))</f>
        <v/>
      </c>
      <c r="V190" s="368">
        <f>F3920</f>
        <v/>
      </c>
      <c r="W190" s="368">
        <f>J3920</f>
        <v/>
      </c>
      <c r="X190" s="524">
        <f>V190/V189-1</f>
        <v/>
      </c>
      <c r="Y190" s="524">
        <f>V190/V187-1</f>
        <v/>
      </c>
      <c r="Z190" s="524">
        <f>V190/V184-1</f>
        <v/>
      </c>
      <c r="AA190" s="524">
        <f>V190/V178-1</f>
        <v/>
      </c>
      <c r="AB190" s="524">
        <f>STDEV.S(X179:X190)*SQRT(12)</f>
        <v/>
      </c>
      <c r="AC190" s="368">
        <f>IF(AND(Y190&gt;$P$6,Z190&gt;$P$7,AA190&gt;$P$8,V190&gt;W190,AB190&lt;$P$10),1,0)</f>
        <v/>
      </c>
      <c r="AD190" s="525">
        <f>IF(SUM(K190,T190,AC190)=0,0,AC190/SUM(K190,T190,AC190))</f>
        <v/>
      </c>
      <c r="AE190" s="525">
        <f>IF(SUM(K190,T190,AC190)=0,1,0)</f>
        <v/>
      </c>
      <c r="AF190" s="368">
        <f>G3920</f>
        <v/>
      </c>
      <c r="AG190" s="524">
        <f>AF190/AF189-1</f>
        <v/>
      </c>
      <c r="AH190" s="524">
        <f>0.5*(ABS(L189-L188)+ABS(U189-U188)+ABS(AD189-AD188)+ABS(AE189-AE188))</f>
        <v/>
      </c>
      <c r="AI190" s="524">
        <f>L189*F190+U189*O190+AD189*X190+AE189*AG190</f>
        <v/>
      </c>
      <c r="AJ190" s="524">
        <f>AH190*$P$11</f>
        <v/>
      </c>
      <c r="AK190" s="524">
        <f>AI190-AJ190</f>
        <v/>
      </c>
      <c r="AL190" s="368">
        <f>AL189*(1+AK190)</f>
        <v/>
      </c>
      <c r="AM190" s="368">
        <f>MAX($AL$40:AL190)</f>
        <v/>
      </c>
      <c r="AN190" s="524">
        <f>AL190/AM190-1</f>
        <v/>
      </c>
      <c r="AO190" s="526">
        <f>AK190-AG190</f>
        <v/>
      </c>
    </row>
    <row r="191">
      <c r="C191" s="503" t="n">
        <v>45169</v>
      </c>
      <c r="D191" s="368">
        <f>D3943</f>
        <v/>
      </c>
      <c r="E191" s="368">
        <f>H3943</f>
        <v/>
      </c>
      <c r="F191" s="524">
        <f>D191/D190-1</f>
        <v/>
      </c>
      <c r="G191" s="524">
        <f>D191/D188-1</f>
        <v/>
      </c>
      <c r="H191" s="524">
        <f>D191/D185-1</f>
        <v/>
      </c>
      <c r="I191" s="524">
        <f>D191/D179-1</f>
        <v/>
      </c>
      <c r="J191" s="524">
        <f>STDEV.S(F180:F191)*SQRT(12)</f>
        <v/>
      </c>
      <c r="K191" s="368">
        <f>IF(AND(G191&gt;$P$6,H191&gt;$P$7,I191&gt;$P$8,D191&gt;E191,J191&lt;$P$10),1,0)</f>
        <v/>
      </c>
      <c r="L191" s="525">
        <f>IF(SUM(K191,T191,AC191)=0,0,K191/SUM(K191,T191,AC191))</f>
        <v/>
      </c>
      <c r="M191" s="368">
        <f>E3943</f>
        <v/>
      </c>
      <c r="N191" s="368">
        <f>I3943</f>
        <v/>
      </c>
      <c r="O191" s="524">
        <f>M191/M190-1</f>
        <v/>
      </c>
      <c r="P191" s="524">
        <f>M191/M188-1</f>
        <v/>
      </c>
      <c r="Q191" s="524">
        <f>M191/M185-1</f>
        <v/>
      </c>
      <c r="R191" s="524">
        <f>M191/M179-1</f>
        <v/>
      </c>
      <c r="S191" s="524">
        <f>STDEV.S(O180:O191)*SQRT(12)</f>
        <v/>
      </c>
      <c r="T191" s="368">
        <f>IF(AND(P191&gt;$P$6,Q191&gt;$P$7,R191&gt;$P$8,M191&gt;N191,S191&lt;$P$10),1,0)</f>
        <v/>
      </c>
      <c r="U191" s="525">
        <f>IF(SUM(K191,T191,AC191)=0,0,T191/SUM(K191,T191,AC191))</f>
        <v/>
      </c>
      <c r="V191" s="368">
        <f>F3943</f>
        <v/>
      </c>
      <c r="W191" s="368">
        <f>J3943</f>
        <v/>
      </c>
      <c r="X191" s="524">
        <f>V191/V190-1</f>
        <v/>
      </c>
      <c r="Y191" s="524">
        <f>V191/V188-1</f>
        <v/>
      </c>
      <c r="Z191" s="524">
        <f>V191/V185-1</f>
        <v/>
      </c>
      <c r="AA191" s="524">
        <f>V191/V179-1</f>
        <v/>
      </c>
      <c r="AB191" s="524">
        <f>STDEV.S(X180:X191)*SQRT(12)</f>
        <v/>
      </c>
      <c r="AC191" s="368">
        <f>IF(AND(Y191&gt;$P$6,Z191&gt;$P$7,AA191&gt;$P$8,V191&gt;W191,AB191&lt;$P$10),1,0)</f>
        <v/>
      </c>
      <c r="AD191" s="525">
        <f>IF(SUM(K191,T191,AC191)=0,0,AC191/SUM(K191,T191,AC191))</f>
        <v/>
      </c>
      <c r="AE191" s="525">
        <f>IF(SUM(K191,T191,AC191)=0,1,0)</f>
        <v/>
      </c>
      <c r="AF191" s="368">
        <f>G3943</f>
        <v/>
      </c>
      <c r="AG191" s="524">
        <f>AF191/AF190-1</f>
        <v/>
      </c>
      <c r="AH191" s="524">
        <f>0.5*(ABS(L190-L189)+ABS(U190-U189)+ABS(AD190-AD189)+ABS(AE190-AE189))</f>
        <v/>
      </c>
      <c r="AI191" s="524">
        <f>L190*F191+U190*O191+AD190*X191+AE190*AG191</f>
        <v/>
      </c>
      <c r="AJ191" s="524">
        <f>AH191*$P$11</f>
        <v/>
      </c>
      <c r="AK191" s="524">
        <f>AI191-AJ191</f>
        <v/>
      </c>
      <c r="AL191" s="368">
        <f>AL190*(1+AK191)</f>
        <v/>
      </c>
      <c r="AM191" s="368">
        <f>MAX($AL$40:AL191)</f>
        <v/>
      </c>
      <c r="AN191" s="524">
        <f>AL191/AM191-1</f>
        <v/>
      </c>
      <c r="AO191" s="526">
        <f>AK191-AG191</f>
        <v/>
      </c>
    </row>
    <row r="192">
      <c r="C192" s="503" t="n">
        <v>45199</v>
      </c>
      <c r="D192" s="368">
        <f>D3963</f>
        <v/>
      </c>
      <c r="E192" s="368">
        <f>H3963</f>
        <v/>
      </c>
      <c r="F192" s="524">
        <f>D192/D191-1</f>
        <v/>
      </c>
      <c r="G192" s="524">
        <f>D192/D189-1</f>
        <v/>
      </c>
      <c r="H192" s="524">
        <f>D192/D186-1</f>
        <v/>
      </c>
      <c r="I192" s="524">
        <f>D192/D180-1</f>
        <v/>
      </c>
      <c r="J192" s="524">
        <f>STDEV.S(F181:F192)*SQRT(12)</f>
        <v/>
      </c>
      <c r="K192" s="368">
        <f>IF(AND(G192&gt;$P$6,H192&gt;$P$7,I192&gt;$P$8,D192&gt;E192,J192&lt;$P$10),1,0)</f>
        <v/>
      </c>
      <c r="L192" s="525">
        <f>IF(SUM(K192,T192,AC192)=0,0,K192/SUM(K192,T192,AC192))</f>
        <v/>
      </c>
      <c r="M192" s="368">
        <f>E3963</f>
        <v/>
      </c>
      <c r="N192" s="368">
        <f>I3963</f>
        <v/>
      </c>
      <c r="O192" s="524">
        <f>M192/M191-1</f>
        <v/>
      </c>
      <c r="P192" s="524">
        <f>M192/M189-1</f>
        <v/>
      </c>
      <c r="Q192" s="524">
        <f>M192/M186-1</f>
        <v/>
      </c>
      <c r="R192" s="524">
        <f>M192/M180-1</f>
        <v/>
      </c>
      <c r="S192" s="524">
        <f>STDEV.S(O181:O192)*SQRT(12)</f>
        <v/>
      </c>
      <c r="T192" s="368">
        <f>IF(AND(P192&gt;$P$6,Q192&gt;$P$7,R192&gt;$P$8,M192&gt;N192,S192&lt;$P$10),1,0)</f>
        <v/>
      </c>
      <c r="U192" s="525">
        <f>IF(SUM(K192,T192,AC192)=0,0,T192/SUM(K192,T192,AC192))</f>
        <v/>
      </c>
      <c r="V192" s="368">
        <f>F3963</f>
        <v/>
      </c>
      <c r="W192" s="368">
        <f>J3963</f>
        <v/>
      </c>
      <c r="X192" s="524">
        <f>V192/V191-1</f>
        <v/>
      </c>
      <c r="Y192" s="524">
        <f>V192/V189-1</f>
        <v/>
      </c>
      <c r="Z192" s="524">
        <f>V192/V186-1</f>
        <v/>
      </c>
      <c r="AA192" s="524">
        <f>V192/V180-1</f>
        <v/>
      </c>
      <c r="AB192" s="524">
        <f>STDEV.S(X181:X192)*SQRT(12)</f>
        <v/>
      </c>
      <c r="AC192" s="368">
        <f>IF(AND(Y192&gt;$P$6,Z192&gt;$P$7,AA192&gt;$P$8,V192&gt;W192,AB192&lt;$P$10),1,0)</f>
        <v/>
      </c>
      <c r="AD192" s="525">
        <f>IF(SUM(K192,T192,AC192)=0,0,AC192/SUM(K192,T192,AC192))</f>
        <v/>
      </c>
      <c r="AE192" s="525">
        <f>IF(SUM(K192,T192,AC192)=0,1,0)</f>
        <v/>
      </c>
      <c r="AF192" s="368">
        <f>G3963</f>
        <v/>
      </c>
      <c r="AG192" s="524">
        <f>AF192/AF191-1</f>
        <v/>
      </c>
      <c r="AH192" s="524">
        <f>0.5*(ABS(L191-L190)+ABS(U191-U190)+ABS(AD191-AD190)+ABS(AE191-AE190))</f>
        <v/>
      </c>
      <c r="AI192" s="524">
        <f>L191*F192+U191*O192+AD191*X192+AE191*AG192</f>
        <v/>
      </c>
      <c r="AJ192" s="524">
        <f>AH192*$P$11</f>
        <v/>
      </c>
      <c r="AK192" s="524">
        <f>AI192-AJ192</f>
        <v/>
      </c>
      <c r="AL192" s="368">
        <f>AL191*(1+AK192)</f>
        <v/>
      </c>
      <c r="AM192" s="368">
        <f>MAX($AL$40:AL192)</f>
        <v/>
      </c>
      <c r="AN192" s="524">
        <f>AL192/AM192-1</f>
        <v/>
      </c>
      <c r="AO192" s="526">
        <f>AK192-AG192</f>
        <v/>
      </c>
    </row>
    <row r="193">
      <c r="C193" s="503" t="n">
        <v>45230</v>
      </c>
      <c r="D193" s="368">
        <f>D3985</f>
        <v/>
      </c>
      <c r="E193" s="368">
        <f>H3985</f>
        <v/>
      </c>
      <c r="F193" s="524">
        <f>D193/D192-1</f>
        <v/>
      </c>
      <c r="G193" s="524">
        <f>D193/D190-1</f>
        <v/>
      </c>
      <c r="H193" s="524">
        <f>D193/D187-1</f>
        <v/>
      </c>
      <c r="I193" s="524">
        <f>D193/D181-1</f>
        <v/>
      </c>
      <c r="J193" s="524">
        <f>STDEV.S(F182:F193)*SQRT(12)</f>
        <v/>
      </c>
      <c r="K193" s="368">
        <f>IF(AND(G193&gt;$P$6,H193&gt;$P$7,I193&gt;$P$8,D193&gt;E193,J193&lt;$P$10),1,0)</f>
        <v/>
      </c>
      <c r="L193" s="525">
        <f>IF(SUM(K193,T193,AC193)=0,0,K193/SUM(K193,T193,AC193))</f>
        <v/>
      </c>
      <c r="M193" s="368">
        <f>E3985</f>
        <v/>
      </c>
      <c r="N193" s="368">
        <f>I3985</f>
        <v/>
      </c>
      <c r="O193" s="524">
        <f>M193/M192-1</f>
        <v/>
      </c>
      <c r="P193" s="524">
        <f>M193/M190-1</f>
        <v/>
      </c>
      <c r="Q193" s="524">
        <f>M193/M187-1</f>
        <v/>
      </c>
      <c r="R193" s="524">
        <f>M193/M181-1</f>
        <v/>
      </c>
      <c r="S193" s="524">
        <f>STDEV.S(O182:O193)*SQRT(12)</f>
        <v/>
      </c>
      <c r="T193" s="368">
        <f>IF(AND(P193&gt;$P$6,Q193&gt;$P$7,R193&gt;$P$8,M193&gt;N193,S193&lt;$P$10),1,0)</f>
        <v/>
      </c>
      <c r="U193" s="525">
        <f>IF(SUM(K193,T193,AC193)=0,0,T193/SUM(K193,T193,AC193))</f>
        <v/>
      </c>
      <c r="V193" s="368">
        <f>F3985</f>
        <v/>
      </c>
      <c r="W193" s="368">
        <f>J3985</f>
        <v/>
      </c>
      <c r="X193" s="524">
        <f>V193/V192-1</f>
        <v/>
      </c>
      <c r="Y193" s="524">
        <f>V193/V190-1</f>
        <v/>
      </c>
      <c r="Z193" s="524">
        <f>V193/V187-1</f>
        <v/>
      </c>
      <c r="AA193" s="524">
        <f>V193/V181-1</f>
        <v/>
      </c>
      <c r="AB193" s="524">
        <f>STDEV.S(X182:X193)*SQRT(12)</f>
        <v/>
      </c>
      <c r="AC193" s="368">
        <f>IF(AND(Y193&gt;$P$6,Z193&gt;$P$7,AA193&gt;$P$8,V193&gt;W193,AB193&lt;$P$10),1,0)</f>
        <v/>
      </c>
      <c r="AD193" s="525">
        <f>IF(SUM(K193,T193,AC193)=0,0,AC193/SUM(K193,T193,AC193))</f>
        <v/>
      </c>
      <c r="AE193" s="525">
        <f>IF(SUM(K193,T193,AC193)=0,1,0)</f>
        <v/>
      </c>
      <c r="AF193" s="368">
        <f>G3985</f>
        <v/>
      </c>
      <c r="AG193" s="524">
        <f>AF193/AF192-1</f>
        <v/>
      </c>
      <c r="AH193" s="524">
        <f>0.5*(ABS(L192-L191)+ABS(U192-U191)+ABS(AD192-AD191)+ABS(AE192-AE191))</f>
        <v/>
      </c>
      <c r="AI193" s="524">
        <f>L192*F193+U192*O193+AD192*X193+AE192*AG193</f>
        <v/>
      </c>
      <c r="AJ193" s="524">
        <f>AH193*$P$11</f>
        <v/>
      </c>
      <c r="AK193" s="524">
        <f>AI193-AJ193</f>
        <v/>
      </c>
      <c r="AL193" s="368">
        <f>AL192*(1+AK193)</f>
        <v/>
      </c>
      <c r="AM193" s="368">
        <f>MAX($AL$40:AL193)</f>
        <v/>
      </c>
      <c r="AN193" s="524">
        <f>AL193/AM193-1</f>
        <v/>
      </c>
      <c r="AO193" s="526">
        <f>AK193-AG193</f>
        <v/>
      </c>
    </row>
    <row r="194">
      <c r="C194" s="503" t="n">
        <v>45260</v>
      </c>
      <c r="D194" s="368">
        <f>D4006</f>
        <v/>
      </c>
      <c r="E194" s="368">
        <f>H4006</f>
        <v/>
      </c>
      <c r="F194" s="524">
        <f>D194/D193-1</f>
        <v/>
      </c>
      <c r="G194" s="524">
        <f>D194/D191-1</f>
        <v/>
      </c>
      <c r="H194" s="524">
        <f>D194/D188-1</f>
        <v/>
      </c>
      <c r="I194" s="524">
        <f>D194/D182-1</f>
        <v/>
      </c>
      <c r="J194" s="524">
        <f>STDEV.S(F183:F194)*SQRT(12)</f>
        <v/>
      </c>
      <c r="K194" s="368">
        <f>IF(AND(G194&gt;$P$6,H194&gt;$P$7,I194&gt;$P$8,D194&gt;E194,J194&lt;$P$10),1,0)</f>
        <v/>
      </c>
      <c r="L194" s="525">
        <f>IF(SUM(K194,T194,AC194)=0,0,K194/SUM(K194,T194,AC194))</f>
        <v/>
      </c>
      <c r="M194" s="368">
        <f>E4006</f>
        <v/>
      </c>
      <c r="N194" s="368">
        <f>I4006</f>
        <v/>
      </c>
      <c r="O194" s="524">
        <f>M194/M193-1</f>
        <v/>
      </c>
      <c r="P194" s="524">
        <f>M194/M191-1</f>
        <v/>
      </c>
      <c r="Q194" s="524">
        <f>M194/M188-1</f>
        <v/>
      </c>
      <c r="R194" s="524">
        <f>M194/M182-1</f>
        <v/>
      </c>
      <c r="S194" s="524">
        <f>STDEV.S(O183:O194)*SQRT(12)</f>
        <v/>
      </c>
      <c r="T194" s="368">
        <f>IF(AND(P194&gt;$P$6,Q194&gt;$P$7,R194&gt;$P$8,M194&gt;N194,S194&lt;$P$10),1,0)</f>
        <v/>
      </c>
      <c r="U194" s="525">
        <f>IF(SUM(K194,T194,AC194)=0,0,T194/SUM(K194,T194,AC194))</f>
        <v/>
      </c>
      <c r="V194" s="368">
        <f>F4006</f>
        <v/>
      </c>
      <c r="W194" s="368">
        <f>J4006</f>
        <v/>
      </c>
      <c r="X194" s="524">
        <f>V194/V193-1</f>
        <v/>
      </c>
      <c r="Y194" s="524">
        <f>V194/V191-1</f>
        <v/>
      </c>
      <c r="Z194" s="524">
        <f>V194/V188-1</f>
        <v/>
      </c>
      <c r="AA194" s="524">
        <f>V194/V182-1</f>
        <v/>
      </c>
      <c r="AB194" s="524">
        <f>STDEV.S(X183:X194)*SQRT(12)</f>
        <v/>
      </c>
      <c r="AC194" s="368">
        <f>IF(AND(Y194&gt;$P$6,Z194&gt;$P$7,AA194&gt;$P$8,V194&gt;W194,AB194&lt;$P$10),1,0)</f>
        <v/>
      </c>
      <c r="AD194" s="525">
        <f>IF(SUM(K194,T194,AC194)=0,0,AC194/SUM(K194,T194,AC194))</f>
        <v/>
      </c>
      <c r="AE194" s="525">
        <f>IF(SUM(K194,T194,AC194)=0,1,0)</f>
        <v/>
      </c>
      <c r="AF194" s="368">
        <f>G4006</f>
        <v/>
      </c>
      <c r="AG194" s="524">
        <f>AF194/AF193-1</f>
        <v/>
      </c>
      <c r="AH194" s="524">
        <f>0.5*(ABS(L193-L192)+ABS(U193-U192)+ABS(AD193-AD192)+ABS(AE193-AE192))</f>
        <v/>
      </c>
      <c r="AI194" s="524">
        <f>L193*F194+U193*O194+AD193*X194+AE193*AG194</f>
        <v/>
      </c>
      <c r="AJ194" s="524">
        <f>AH194*$P$11</f>
        <v/>
      </c>
      <c r="AK194" s="524">
        <f>AI194-AJ194</f>
        <v/>
      </c>
      <c r="AL194" s="368">
        <f>AL193*(1+AK194)</f>
        <v/>
      </c>
      <c r="AM194" s="368">
        <f>MAX($AL$40:AL194)</f>
        <v/>
      </c>
      <c r="AN194" s="524">
        <f>AL194/AM194-1</f>
        <v/>
      </c>
      <c r="AO194" s="526">
        <f>AK194-AG194</f>
        <v/>
      </c>
    </row>
    <row r="195">
      <c r="C195" s="503" t="n">
        <v>45291</v>
      </c>
      <c r="D195" s="368">
        <f>D4026</f>
        <v/>
      </c>
      <c r="E195" s="368">
        <f>H4026</f>
        <v/>
      </c>
      <c r="F195" s="524">
        <f>D195/D194-1</f>
        <v/>
      </c>
      <c r="G195" s="524">
        <f>D195/D192-1</f>
        <v/>
      </c>
      <c r="H195" s="524">
        <f>D195/D189-1</f>
        <v/>
      </c>
      <c r="I195" s="524">
        <f>D195/D183-1</f>
        <v/>
      </c>
      <c r="J195" s="524">
        <f>STDEV.S(F184:F195)*SQRT(12)</f>
        <v/>
      </c>
      <c r="K195" s="368">
        <f>IF(AND(G195&gt;$P$6,H195&gt;$P$7,I195&gt;$P$8,D195&gt;E195,J195&lt;$P$10),1,0)</f>
        <v/>
      </c>
      <c r="L195" s="525">
        <f>IF(SUM(K195,T195,AC195)=0,0,K195/SUM(K195,T195,AC195))</f>
        <v/>
      </c>
      <c r="M195" s="368">
        <f>E4026</f>
        <v/>
      </c>
      <c r="N195" s="368">
        <f>I4026</f>
        <v/>
      </c>
      <c r="O195" s="524">
        <f>M195/M194-1</f>
        <v/>
      </c>
      <c r="P195" s="524">
        <f>M195/M192-1</f>
        <v/>
      </c>
      <c r="Q195" s="524">
        <f>M195/M189-1</f>
        <v/>
      </c>
      <c r="R195" s="524">
        <f>M195/M183-1</f>
        <v/>
      </c>
      <c r="S195" s="524">
        <f>STDEV.S(O184:O195)*SQRT(12)</f>
        <v/>
      </c>
      <c r="T195" s="368">
        <f>IF(AND(P195&gt;$P$6,Q195&gt;$P$7,R195&gt;$P$8,M195&gt;N195,S195&lt;$P$10),1,0)</f>
        <v/>
      </c>
      <c r="U195" s="525">
        <f>IF(SUM(K195,T195,AC195)=0,0,T195/SUM(K195,T195,AC195))</f>
        <v/>
      </c>
      <c r="V195" s="368">
        <f>F4026</f>
        <v/>
      </c>
      <c r="W195" s="368">
        <f>J4026</f>
        <v/>
      </c>
      <c r="X195" s="524">
        <f>V195/V194-1</f>
        <v/>
      </c>
      <c r="Y195" s="524">
        <f>V195/V192-1</f>
        <v/>
      </c>
      <c r="Z195" s="524">
        <f>V195/V189-1</f>
        <v/>
      </c>
      <c r="AA195" s="524">
        <f>V195/V183-1</f>
        <v/>
      </c>
      <c r="AB195" s="524">
        <f>STDEV.S(X184:X195)*SQRT(12)</f>
        <v/>
      </c>
      <c r="AC195" s="368">
        <f>IF(AND(Y195&gt;$P$6,Z195&gt;$P$7,AA195&gt;$P$8,V195&gt;W195,AB195&lt;$P$10),1,0)</f>
        <v/>
      </c>
      <c r="AD195" s="525">
        <f>IF(SUM(K195,T195,AC195)=0,0,AC195/SUM(K195,T195,AC195))</f>
        <v/>
      </c>
      <c r="AE195" s="525">
        <f>IF(SUM(K195,T195,AC195)=0,1,0)</f>
        <v/>
      </c>
      <c r="AF195" s="368">
        <f>G4026</f>
        <v/>
      </c>
      <c r="AG195" s="524">
        <f>AF195/AF194-1</f>
        <v/>
      </c>
      <c r="AH195" s="524">
        <f>0.5*(ABS(L194-L193)+ABS(U194-U193)+ABS(AD194-AD193)+ABS(AE194-AE193))</f>
        <v/>
      </c>
      <c r="AI195" s="524">
        <f>L194*F195+U194*O195+AD194*X195+AE194*AG195</f>
        <v/>
      </c>
      <c r="AJ195" s="524">
        <f>AH195*$P$11</f>
        <v/>
      </c>
      <c r="AK195" s="524">
        <f>AI195-AJ195</f>
        <v/>
      </c>
      <c r="AL195" s="368">
        <f>AL194*(1+AK195)</f>
        <v/>
      </c>
      <c r="AM195" s="368">
        <f>MAX($AL$40:AL195)</f>
        <v/>
      </c>
      <c r="AN195" s="524">
        <f>AL195/AM195-1</f>
        <v/>
      </c>
      <c r="AO195" s="526">
        <f>AK195-AG195</f>
        <v/>
      </c>
    </row>
    <row r="196">
      <c r="C196" s="503" t="n">
        <v>45322</v>
      </c>
      <c r="D196" s="368">
        <f>D4047</f>
        <v/>
      </c>
      <c r="E196" s="368">
        <f>H4047</f>
        <v/>
      </c>
      <c r="F196" s="524">
        <f>D196/D195-1</f>
        <v/>
      </c>
      <c r="G196" s="524">
        <f>D196/D193-1</f>
        <v/>
      </c>
      <c r="H196" s="524">
        <f>D196/D190-1</f>
        <v/>
      </c>
      <c r="I196" s="524">
        <f>D196/D184-1</f>
        <v/>
      </c>
      <c r="J196" s="524">
        <f>STDEV.S(F185:F196)*SQRT(12)</f>
        <v/>
      </c>
      <c r="K196" s="368">
        <f>IF(AND(G196&gt;$P$6,H196&gt;$P$7,I196&gt;$P$8,D196&gt;E196,J196&lt;$P$10),1,0)</f>
        <v/>
      </c>
      <c r="L196" s="525">
        <f>IF(SUM(K196,T196,AC196)=0,0,K196/SUM(K196,T196,AC196))</f>
        <v/>
      </c>
      <c r="M196" s="368">
        <f>E4047</f>
        <v/>
      </c>
      <c r="N196" s="368">
        <f>I4047</f>
        <v/>
      </c>
      <c r="O196" s="524">
        <f>M196/M195-1</f>
        <v/>
      </c>
      <c r="P196" s="524">
        <f>M196/M193-1</f>
        <v/>
      </c>
      <c r="Q196" s="524">
        <f>M196/M190-1</f>
        <v/>
      </c>
      <c r="R196" s="524">
        <f>M196/M184-1</f>
        <v/>
      </c>
      <c r="S196" s="524">
        <f>STDEV.S(O185:O196)*SQRT(12)</f>
        <v/>
      </c>
      <c r="T196" s="368">
        <f>IF(AND(P196&gt;$P$6,Q196&gt;$P$7,R196&gt;$P$8,M196&gt;N196,S196&lt;$P$10),1,0)</f>
        <v/>
      </c>
      <c r="U196" s="525">
        <f>IF(SUM(K196,T196,AC196)=0,0,T196/SUM(K196,T196,AC196))</f>
        <v/>
      </c>
      <c r="V196" s="368">
        <f>F4047</f>
        <v/>
      </c>
      <c r="W196" s="368">
        <f>J4047</f>
        <v/>
      </c>
      <c r="X196" s="524">
        <f>V196/V195-1</f>
        <v/>
      </c>
      <c r="Y196" s="524">
        <f>V196/V193-1</f>
        <v/>
      </c>
      <c r="Z196" s="524">
        <f>V196/V190-1</f>
        <v/>
      </c>
      <c r="AA196" s="524">
        <f>V196/V184-1</f>
        <v/>
      </c>
      <c r="AB196" s="524">
        <f>STDEV.S(X185:X196)*SQRT(12)</f>
        <v/>
      </c>
      <c r="AC196" s="368">
        <f>IF(AND(Y196&gt;$P$6,Z196&gt;$P$7,AA196&gt;$P$8,V196&gt;W196,AB196&lt;$P$10),1,0)</f>
        <v/>
      </c>
      <c r="AD196" s="525">
        <f>IF(SUM(K196,T196,AC196)=0,0,AC196/SUM(K196,T196,AC196))</f>
        <v/>
      </c>
      <c r="AE196" s="525">
        <f>IF(SUM(K196,T196,AC196)=0,1,0)</f>
        <v/>
      </c>
      <c r="AF196" s="368">
        <f>G4047</f>
        <v/>
      </c>
      <c r="AG196" s="524">
        <f>AF196/AF195-1</f>
        <v/>
      </c>
      <c r="AH196" s="524">
        <f>0.5*(ABS(L195-L194)+ABS(U195-U194)+ABS(AD195-AD194)+ABS(AE195-AE194))</f>
        <v/>
      </c>
      <c r="AI196" s="524">
        <f>L195*F196+U195*O196+AD195*X196+AE195*AG196</f>
        <v/>
      </c>
      <c r="AJ196" s="524">
        <f>AH196*$P$11</f>
        <v/>
      </c>
      <c r="AK196" s="524">
        <f>AI196-AJ196</f>
        <v/>
      </c>
      <c r="AL196" s="368">
        <f>AL195*(1+AK196)</f>
        <v/>
      </c>
      <c r="AM196" s="368">
        <f>MAX($AL$40:AL196)</f>
        <v/>
      </c>
      <c r="AN196" s="524">
        <f>AL196/AM196-1</f>
        <v/>
      </c>
      <c r="AO196" s="526">
        <f>AK196-AG196</f>
        <v/>
      </c>
    </row>
    <row r="197">
      <c r="C197" s="503" t="n">
        <v>45351</v>
      </c>
      <c r="D197" s="368">
        <f>D4067</f>
        <v/>
      </c>
      <c r="E197" s="368">
        <f>H4067</f>
        <v/>
      </c>
      <c r="F197" s="524">
        <f>D197/D196-1</f>
        <v/>
      </c>
      <c r="G197" s="524">
        <f>D197/D194-1</f>
        <v/>
      </c>
      <c r="H197" s="524">
        <f>D197/D191-1</f>
        <v/>
      </c>
      <c r="I197" s="524">
        <f>D197/D185-1</f>
        <v/>
      </c>
      <c r="J197" s="524">
        <f>STDEV.S(F186:F197)*SQRT(12)</f>
        <v/>
      </c>
      <c r="K197" s="368">
        <f>IF(AND(G197&gt;$P$6,H197&gt;$P$7,I197&gt;$P$8,D197&gt;E197,J197&lt;$P$10),1,0)</f>
        <v/>
      </c>
      <c r="L197" s="525">
        <f>IF(SUM(K197,T197,AC197)=0,0,K197/SUM(K197,T197,AC197))</f>
        <v/>
      </c>
      <c r="M197" s="368">
        <f>E4067</f>
        <v/>
      </c>
      <c r="N197" s="368">
        <f>I4067</f>
        <v/>
      </c>
      <c r="O197" s="524">
        <f>M197/M196-1</f>
        <v/>
      </c>
      <c r="P197" s="524">
        <f>M197/M194-1</f>
        <v/>
      </c>
      <c r="Q197" s="524">
        <f>M197/M191-1</f>
        <v/>
      </c>
      <c r="R197" s="524">
        <f>M197/M185-1</f>
        <v/>
      </c>
      <c r="S197" s="524">
        <f>STDEV.S(O186:O197)*SQRT(12)</f>
        <v/>
      </c>
      <c r="T197" s="368">
        <f>IF(AND(P197&gt;$P$6,Q197&gt;$P$7,R197&gt;$P$8,M197&gt;N197,S197&lt;$P$10),1,0)</f>
        <v/>
      </c>
      <c r="U197" s="525">
        <f>IF(SUM(K197,T197,AC197)=0,0,T197/SUM(K197,T197,AC197))</f>
        <v/>
      </c>
      <c r="V197" s="368">
        <f>F4067</f>
        <v/>
      </c>
      <c r="W197" s="368">
        <f>J4067</f>
        <v/>
      </c>
      <c r="X197" s="524">
        <f>V197/V196-1</f>
        <v/>
      </c>
      <c r="Y197" s="524">
        <f>V197/V194-1</f>
        <v/>
      </c>
      <c r="Z197" s="524">
        <f>V197/V191-1</f>
        <v/>
      </c>
      <c r="AA197" s="524">
        <f>V197/V185-1</f>
        <v/>
      </c>
      <c r="AB197" s="524">
        <f>STDEV.S(X186:X197)*SQRT(12)</f>
        <v/>
      </c>
      <c r="AC197" s="368">
        <f>IF(AND(Y197&gt;$P$6,Z197&gt;$P$7,AA197&gt;$P$8,V197&gt;W197,AB197&lt;$P$10),1,0)</f>
        <v/>
      </c>
      <c r="AD197" s="525">
        <f>IF(SUM(K197,T197,AC197)=0,0,AC197/SUM(K197,T197,AC197))</f>
        <v/>
      </c>
      <c r="AE197" s="525">
        <f>IF(SUM(K197,T197,AC197)=0,1,0)</f>
        <v/>
      </c>
      <c r="AF197" s="368">
        <f>G4067</f>
        <v/>
      </c>
      <c r="AG197" s="524">
        <f>AF197/AF196-1</f>
        <v/>
      </c>
      <c r="AH197" s="524">
        <f>0.5*(ABS(L196-L195)+ABS(U196-U195)+ABS(AD196-AD195)+ABS(AE196-AE195))</f>
        <v/>
      </c>
      <c r="AI197" s="524">
        <f>L196*F197+U196*O197+AD196*X197+AE196*AG197</f>
        <v/>
      </c>
      <c r="AJ197" s="524">
        <f>AH197*$P$11</f>
        <v/>
      </c>
      <c r="AK197" s="524">
        <f>AI197-AJ197</f>
        <v/>
      </c>
      <c r="AL197" s="368">
        <f>AL196*(1+AK197)</f>
        <v/>
      </c>
      <c r="AM197" s="368">
        <f>MAX($AL$40:AL197)</f>
        <v/>
      </c>
      <c r="AN197" s="524">
        <f>AL197/AM197-1</f>
        <v/>
      </c>
      <c r="AO197" s="526">
        <f>AK197-AG197</f>
        <v/>
      </c>
    </row>
    <row r="198">
      <c r="C198" s="503" t="n">
        <v>45382</v>
      </c>
      <c r="D198" s="368">
        <f>D4087</f>
        <v/>
      </c>
      <c r="E198" s="368">
        <f>H4087</f>
        <v/>
      </c>
      <c r="F198" s="524">
        <f>D198/D197-1</f>
        <v/>
      </c>
      <c r="G198" s="524">
        <f>D198/D195-1</f>
        <v/>
      </c>
      <c r="H198" s="524">
        <f>D198/D192-1</f>
        <v/>
      </c>
      <c r="I198" s="524">
        <f>D198/D186-1</f>
        <v/>
      </c>
      <c r="J198" s="524">
        <f>STDEV.S(F187:F198)*SQRT(12)</f>
        <v/>
      </c>
      <c r="K198" s="368">
        <f>IF(AND(G198&gt;$P$6,H198&gt;$P$7,I198&gt;$P$8,D198&gt;E198,J198&lt;$P$10),1,0)</f>
        <v/>
      </c>
      <c r="L198" s="525">
        <f>IF(SUM(K198,T198,AC198)=0,0,K198/SUM(K198,T198,AC198))</f>
        <v/>
      </c>
      <c r="M198" s="368">
        <f>E4087</f>
        <v/>
      </c>
      <c r="N198" s="368">
        <f>I4087</f>
        <v/>
      </c>
      <c r="O198" s="524">
        <f>M198/M197-1</f>
        <v/>
      </c>
      <c r="P198" s="524">
        <f>M198/M195-1</f>
        <v/>
      </c>
      <c r="Q198" s="524">
        <f>M198/M192-1</f>
        <v/>
      </c>
      <c r="R198" s="524">
        <f>M198/M186-1</f>
        <v/>
      </c>
      <c r="S198" s="524">
        <f>STDEV.S(O187:O198)*SQRT(12)</f>
        <v/>
      </c>
      <c r="T198" s="368">
        <f>IF(AND(P198&gt;$P$6,Q198&gt;$P$7,R198&gt;$P$8,M198&gt;N198,S198&lt;$P$10),1,0)</f>
        <v/>
      </c>
      <c r="U198" s="525">
        <f>IF(SUM(K198,T198,AC198)=0,0,T198/SUM(K198,T198,AC198))</f>
        <v/>
      </c>
      <c r="V198" s="368">
        <f>F4087</f>
        <v/>
      </c>
      <c r="W198" s="368">
        <f>J4087</f>
        <v/>
      </c>
      <c r="X198" s="524">
        <f>V198/V197-1</f>
        <v/>
      </c>
      <c r="Y198" s="524">
        <f>V198/V195-1</f>
        <v/>
      </c>
      <c r="Z198" s="524">
        <f>V198/V192-1</f>
        <v/>
      </c>
      <c r="AA198" s="524">
        <f>V198/V186-1</f>
        <v/>
      </c>
      <c r="AB198" s="524">
        <f>STDEV.S(X187:X198)*SQRT(12)</f>
        <v/>
      </c>
      <c r="AC198" s="368">
        <f>IF(AND(Y198&gt;$P$6,Z198&gt;$P$7,AA198&gt;$P$8,V198&gt;W198,AB198&lt;$P$10),1,0)</f>
        <v/>
      </c>
      <c r="AD198" s="525">
        <f>IF(SUM(K198,T198,AC198)=0,0,AC198/SUM(K198,T198,AC198))</f>
        <v/>
      </c>
      <c r="AE198" s="525">
        <f>IF(SUM(K198,T198,AC198)=0,1,0)</f>
        <v/>
      </c>
      <c r="AF198" s="368">
        <f>G4087</f>
        <v/>
      </c>
      <c r="AG198" s="524">
        <f>AF198/AF197-1</f>
        <v/>
      </c>
      <c r="AH198" s="524">
        <f>0.5*(ABS(L197-L196)+ABS(U197-U196)+ABS(AD197-AD196)+ABS(AE197-AE196))</f>
        <v/>
      </c>
      <c r="AI198" s="524">
        <f>L197*F198+U197*O198+AD197*X198+AE197*AG198</f>
        <v/>
      </c>
      <c r="AJ198" s="524">
        <f>AH198*$P$11</f>
        <v/>
      </c>
      <c r="AK198" s="524">
        <f>AI198-AJ198</f>
        <v/>
      </c>
      <c r="AL198" s="368">
        <f>AL197*(1+AK198)</f>
        <v/>
      </c>
      <c r="AM198" s="368">
        <f>MAX($AL$40:AL198)</f>
        <v/>
      </c>
      <c r="AN198" s="524">
        <f>AL198/AM198-1</f>
        <v/>
      </c>
      <c r="AO198" s="526">
        <f>AK198-AG198</f>
        <v/>
      </c>
    </row>
    <row r="199">
      <c r="C199" s="503" t="n">
        <v>45412</v>
      </c>
      <c r="D199" s="368">
        <f>D4109</f>
        <v/>
      </c>
      <c r="E199" s="368">
        <f>H4109</f>
        <v/>
      </c>
      <c r="F199" s="524">
        <f>D199/D198-1</f>
        <v/>
      </c>
      <c r="G199" s="524">
        <f>D199/D196-1</f>
        <v/>
      </c>
      <c r="H199" s="524">
        <f>D199/D193-1</f>
        <v/>
      </c>
      <c r="I199" s="524">
        <f>D199/D187-1</f>
        <v/>
      </c>
      <c r="J199" s="524">
        <f>STDEV.S(F188:F199)*SQRT(12)</f>
        <v/>
      </c>
      <c r="K199" s="368">
        <f>IF(AND(G199&gt;$P$6,H199&gt;$P$7,I199&gt;$P$8,D199&gt;E199,J199&lt;$P$10),1,0)</f>
        <v/>
      </c>
      <c r="L199" s="525">
        <f>IF(SUM(K199,T199,AC199)=0,0,K199/SUM(K199,T199,AC199))</f>
        <v/>
      </c>
      <c r="M199" s="368">
        <f>E4109</f>
        <v/>
      </c>
      <c r="N199" s="368">
        <f>I4109</f>
        <v/>
      </c>
      <c r="O199" s="524">
        <f>M199/M198-1</f>
        <v/>
      </c>
      <c r="P199" s="524">
        <f>M199/M196-1</f>
        <v/>
      </c>
      <c r="Q199" s="524">
        <f>M199/M193-1</f>
        <v/>
      </c>
      <c r="R199" s="524">
        <f>M199/M187-1</f>
        <v/>
      </c>
      <c r="S199" s="524">
        <f>STDEV.S(O188:O199)*SQRT(12)</f>
        <v/>
      </c>
      <c r="T199" s="368">
        <f>IF(AND(P199&gt;$P$6,Q199&gt;$P$7,R199&gt;$P$8,M199&gt;N199,S199&lt;$P$10),1,0)</f>
        <v/>
      </c>
      <c r="U199" s="525">
        <f>IF(SUM(K199,T199,AC199)=0,0,T199/SUM(K199,T199,AC199))</f>
        <v/>
      </c>
      <c r="V199" s="368">
        <f>F4109</f>
        <v/>
      </c>
      <c r="W199" s="368">
        <f>J4109</f>
        <v/>
      </c>
      <c r="X199" s="524">
        <f>V199/V198-1</f>
        <v/>
      </c>
      <c r="Y199" s="524">
        <f>V199/V196-1</f>
        <v/>
      </c>
      <c r="Z199" s="524">
        <f>V199/V193-1</f>
        <v/>
      </c>
      <c r="AA199" s="524">
        <f>V199/V187-1</f>
        <v/>
      </c>
      <c r="AB199" s="524">
        <f>STDEV.S(X188:X199)*SQRT(12)</f>
        <v/>
      </c>
      <c r="AC199" s="368">
        <f>IF(AND(Y199&gt;$P$6,Z199&gt;$P$7,AA199&gt;$P$8,V199&gt;W199,AB199&lt;$P$10),1,0)</f>
        <v/>
      </c>
      <c r="AD199" s="525">
        <f>IF(SUM(K199,T199,AC199)=0,0,AC199/SUM(K199,T199,AC199))</f>
        <v/>
      </c>
      <c r="AE199" s="525">
        <f>IF(SUM(K199,T199,AC199)=0,1,0)</f>
        <v/>
      </c>
      <c r="AF199" s="368">
        <f>G4109</f>
        <v/>
      </c>
      <c r="AG199" s="524">
        <f>AF199/AF198-1</f>
        <v/>
      </c>
      <c r="AH199" s="524">
        <f>0.5*(ABS(L198-L197)+ABS(U198-U197)+ABS(AD198-AD197)+ABS(AE198-AE197))</f>
        <v/>
      </c>
      <c r="AI199" s="524">
        <f>L198*F199+U198*O199+AD198*X199+AE198*AG199</f>
        <v/>
      </c>
      <c r="AJ199" s="524">
        <f>AH199*$P$11</f>
        <v/>
      </c>
      <c r="AK199" s="524">
        <f>AI199-AJ199</f>
        <v/>
      </c>
      <c r="AL199" s="368">
        <f>AL198*(1+AK199)</f>
        <v/>
      </c>
      <c r="AM199" s="368">
        <f>MAX($AL$40:AL199)</f>
        <v/>
      </c>
      <c r="AN199" s="524">
        <f>AL199/AM199-1</f>
        <v/>
      </c>
      <c r="AO199" s="526">
        <f>AK199-AG199</f>
        <v/>
      </c>
    </row>
    <row r="200">
      <c r="C200" s="503" t="n">
        <v>45443</v>
      </c>
      <c r="D200" s="368">
        <f>D4131</f>
        <v/>
      </c>
      <c r="E200" s="368">
        <f>H4131</f>
        <v/>
      </c>
      <c r="F200" s="524">
        <f>D200/D199-1</f>
        <v/>
      </c>
      <c r="G200" s="524">
        <f>D200/D197-1</f>
        <v/>
      </c>
      <c r="H200" s="524">
        <f>D200/D194-1</f>
        <v/>
      </c>
      <c r="I200" s="524">
        <f>D200/D188-1</f>
        <v/>
      </c>
      <c r="J200" s="524">
        <f>STDEV.S(F189:F200)*SQRT(12)</f>
        <v/>
      </c>
      <c r="K200" s="368">
        <f>IF(AND(G200&gt;$P$6,H200&gt;$P$7,I200&gt;$P$8,D200&gt;E200,J200&lt;$P$10),1,0)</f>
        <v/>
      </c>
      <c r="L200" s="525">
        <f>IF(SUM(K200,T200,AC200)=0,0,K200/SUM(K200,T200,AC200))</f>
        <v/>
      </c>
      <c r="M200" s="368">
        <f>E4131</f>
        <v/>
      </c>
      <c r="N200" s="368">
        <f>I4131</f>
        <v/>
      </c>
      <c r="O200" s="524">
        <f>M200/M199-1</f>
        <v/>
      </c>
      <c r="P200" s="524">
        <f>M200/M197-1</f>
        <v/>
      </c>
      <c r="Q200" s="524">
        <f>M200/M194-1</f>
        <v/>
      </c>
      <c r="R200" s="524">
        <f>M200/M188-1</f>
        <v/>
      </c>
      <c r="S200" s="524">
        <f>STDEV.S(O189:O200)*SQRT(12)</f>
        <v/>
      </c>
      <c r="T200" s="368">
        <f>IF(AND(P200&gt;$P$6,Q200&gt;$P$7,R200&gt;$P$8,M200&gt;N200,S200&lt;$P$10),1,0)</f>
        <v/>
      </c>
      <c r="U200" s="525">
        <f>IF(SUM(K200,T200,AC200)=0,0,T200/SUM(K200,T200,AC200))</f>
        <v/>
      </c>
      <c r="V200" s="368">
        <f>F4131</f>
        <v/>
      </c>
      <c r="W200" s="368">
        <f>J4131</f>
        <v/>
      </c>
      <c r="X200" s="524">
        <f>V200/V199-1</f>
        <v/>
      </c>
      <c r="Y200" s="524">
        <f>V200/V197-1</f>
        <v/>
      </c>
      <c r="Z200" s="524">
        <f>V200/V194-1</f>
        <v/>
      </c>
      <c r="AA200" s="524">
        <f>V200/V188-1</f>
        <v/>
      </c>
      <c r="AB200" s="524">
        <f>STDEV.S(X189:X200)*SQRT(12)</f>
        <v/>
      </c>
      <c r="AC200" s="368">
        <f>IF(AND(Y200&gt;$P$6,Z200&gt;$P$7,AA200&gt;$P$8,V200&gt;W200,AB200&lt;$P$10),1,0)</f>
        <v/>
      </c>
      <c r="AD200" s="525">
        <f>IF(SUM(K200,T200,AC200)=0,0,AC200/SUM(K200,T200,AC200))</f>
        <v/>
      </c>
      <c r="AE200" s="525">
        <f>IF(SUM(K200,T200,AC200)=0,1,0)</f>
        <v/>
      </c>
      <c r="AF200" s="368">
        <f>G4131</f>
        <v/>
      </c>
      <c r="AG200" s="524">
        <f>AF200/AF199-1</f>
        <v/>
      </c>
      <c r="AH200" s="524">
        <f>0.5*(ABS(L199-L198)+ABS(U199-U198)+ABS(AD199-AD198)+ABS(AE199-AE198))</f>
        <v/>
      </c>
      <c r="AI200" s="524">
        <f>L199*F200+U199*O200+AD199*X200+AE199*AG200</f>
        <v/>
      </c>
      <c r="AJ200" s="524">
        <f>AH200*$P$11</f>
        <v/>
      </c>
      <c r="AK200" s="524">
        <f>AI200-AJ200</f>
        <v/>
      </c>
      <c r="AL200" s="368">
        <f>AL199*(1+AK200)</f>
        <v/>
      </c>
      <c r="AM200" s="368">
        <f>MAX($AL$40:AL200)</f>
        <v/>
      </c>
      <c r="AN200" s="524">
        <f>AL200/AM200-1</f>
        <v/>
      </c>
      <c r="AO200" s="526">
        <f>AK200-AG200</f>
        <v/>
      </c>
    </row>
    <row r="201">
      <c r="C201" s="503" t="n">
        <v>45473</v>
      </c>
      <c r="D201" s="368">
        <f>D4150</f>
        <v/>
      </c>
      <c r="E201" s="368">
        <f>H4150</f>
        <v/>
      </c>
      <c r="F201" s="524">
        <f>D201/D200-1</f>
        <v/>
      </c>
      <c r="G201" s="524">
        <f>D201/D198-1</f>
        <v/>
      </c>
      <c r="H201" s="524">
        <f>D201/D195-1</f>
        <v/>
      </c>
      <c r="I201" s="524">
        <f>D201/D189-1</f>
        <v/>
      </c>
      <c r="J201" s="524">
        <f>STDEV.S(F190:F201)*SQRT(12)</f>
        <v/>
      </c>
      <c r="K201" s="368">
        <f>IF(AND(G201&gt;$P$6,H201&gt;$P$7,I201&gt;$P$8,D201&gt;E201,J201&lt;$P$10),1,0)</f>
        <v/>
      </c>
      <c r="L201" s="525">
        <f>IF(SUM(K201,T201,AC201)=0,0,K201/SUM(K201,T201,AC201))</f>
        <v/>
      </c>
      <c r="M201" s="368">
        <f>E4150</f>
        <v/>
      </c>
      <c r="N201" s="368">
        <f>I4150</f>
        <v/>
      </c>
      <c r="O201" s="524">
        <f>M201/M200-1</f>
        <v/>
      </c>
      <c r="P201" s="524">
        <f>M201/M198-1</f>
        <v/>
      </c>
      <c r="Q201" s="524">
        <f>M201/M195-1</f>
        <v/>
      </c>
      <c r="R201" s="524">
        <f>M201/M189-1</f>
        <v/>
      </c>
      <c r="S201" s="524">
        <f>STDEV.S(O190:O201)*SQRT(12)</f>
        <v/>
      </c>
      <c r="T201" s="368">
        <f>IF(AND(P201&gt;$P$6,Q201&gt;$P$7,R201&gt;$P$8,M201&gt;N201,S201&lt;$P$10),1,0)</f>
        <v/>
      </c>
      <c r="U201" s="525">
        <f>IF(SUM(K201,T201,AC201)=0,0,T201/SUM(K201,T201,AC201))</f>
        <v/>
      </c>
      <c r="V201" s="368">
        <f>F4150</f>
        <v/>
      </c>
      <c r="W201" s="368">
        <f>J4150</f>
        <v/>
      </c>
      <c r="X201" s="524">
        <f>V201/V200-1</f>
        <v/>
      </c>
      <c r="Y201" s="524">
        <f>V201/V198-1</f>
        <v/>
      </c>
      <c r="Z201" s="524">
        <f>V201/V195-1</f>
        <v/>
      </c>
      <c r="AA201" s="524">
        <f>V201/V189-1</f>
        <v/>
      </c>
      <c r="AB201" s="524">
        <f>STDEV.S(X190:X201)*SQRT(12)</f>
        <v/>
      </c>
      <c r="AC201" s="368">
        <f>IF(AND(Y201&gt;$P$6,Z201&gt;$P$7,AA201&gt;$P$8,V201&gt;W201,AB201&lt;$P$10),1,0)</f>
        <v/>
      </c>
      <c r="AD201" s="525">
        <f>IF(SUM(K201,T201,AC201)=0,0,AC201/SUM(K201,T201,AC201))</f>
        <v/>
      </c>
      <c r="AE201" s="525">
        <f>IF(SUM(K201,T201,AC201)=0,1,0)</f>
        <v/>
      </c>
      <c r="AF201" s="368">
        <f>G4150</f>
        <v/>
      </c>
      <c r="AG201" s="524">
        <f>AF201/AF200-1</f>
        <v/>
      </c>
      <c r="AH201" s="524">
        <f>0.5*(ABS(L200-L199)+ABS(U200-U199)+ABS(AD200-AD199)+ABS(AE200-AE199))</f>
        <v/>
      </c>
      <c r="AI201" s="524">
        <f>L200*F201+U200*O201+AD200*X201+AE200*AG201</f>
        <v/>
      </c>
      <c r="AJ201" s="524">
        <f>AH201*$P$11</f>
        <v/>
      </c>
      <c r="AK201" s="524">
        <f>AI201-AJ201</f>
        <v/>
      </c>
      <c r="AL201" s="368">
        <f>AL200*(1+AK201)</f>
        <v/>
      </c>
      <c r="AM201" s="368">
        <f>MAX($AL$40:AL201)</f>
        <v/>
      </c>
      <c r="AN201" s="524">
        <f>AL201/AM201-1</f>
        <v/>
      </c>
      <c r="AO201" s="526">
        <f>AK201-AG201</f>
        <v/>
      </c>
    </row>
    <row r="202">
      <c r="C202" s="503" t="n">
        <v>45504</v>
      </c>
      <c r="D202" s="368">
        <f>D4172</f>
        <v/>
      </c>
      <c r="E202" s="368">
        <f>H4172</f>
        <v/>
      </c>
      <c r="F202" s="524">
        <f>D202/D201-1</f>
        <v/>
      </c>
      <c r="G202" s="524">
        <f>D202/D199-1</f>
        <v/>
      </c>
      <c r="H202" s="524">
        <f>D202/D196-1</f>
        <v/>
      </c>
      <c r="I202" s="524">
        <f>D202/D190-1</f>
        <v/>
      </c>
      <c r="J202" s="524">
        <f>STDEV.S(F191:F202)*SQRT(12)</f>
        <v/>
      </c>
      <c r="K202" s="368">
        <f>IF(AND(G202&gt;$P$6,H202&gt;$P$7,I202&gt;$P$8,D202&gt;E202,J202&lt;$P$10),1,0)</f>
        <v/>
      </c>
      <c r="L202" s="525">
        <f>IF(SUM(K202,T202,AC202)=0,0,K202/SUM(K202,T202,AC202))</f>
        <v/>
      </c>
      <c r="M202" s="368">
        <f>E4172</f>
        <v/>
      </c>
      <c r="N202" s="368">
        <f>I4172</f>
        <v/>
      </c>
      <c r="O202" s="524">
        <f>M202/M201-1</f>
        <v/>
      </c>
      <c r="P202" s="524">
        <f>M202/M199-1</f>
        <v/>
      </c>
      <c r="Q202" s="524">
        <f>M202/M196-1</f>
        <v/>
      </c>
      <c r="R202" s="524">
        <f>M202/M190-1</f>
        <v/>
      </c>
      <c r="S202" s="524">
        <f>STDEV.S(O191:O202)*SQRT(12)</f>
        <v/>
      </c>
      <c r="T202" s="368">
        <f>IF(AND(P202&gt;$P$6,Q202&gt;$P$7,R202&gt;$P$8,M202&gt;N202,S202&lt;$P$10),1,0)</f>
        <v/>
      </c>
      <c r="U202" s="525">
        <f>IF(SUM(K202,T202,AC202)=0,0,T202/SUM(K202,T202,AC202))</f>
        <v/>
      </c>
      <c r="V202" s="368">
        <f>F4172</f>
        <v/>
      </c>
      <c r="W202" s="368">
        <f>J4172</f>
        <v/>
      </c>
      <c r="X202" s="524">
        <f>V202/V201-1</f>
        <v/>
      </c>
      <c r="Y202" s="524">
        <f>V202/V199-1</f>
        <v/>
      </c>
      <c r="Z202" s="524">
        <f>V202/V196-1</f>
        <v/>
      </c>
      <c r="AA202" s="524">
        <f>V202/V190-1</f>
        <v/>
      </c>
      <c r="AB202" s="524">
        <f>STDEV.S(X191:X202)*SQRT(12)</f>
        <v/>
      </c>
      <c r="AC202" s="368">
        <f>IF(AND(Y202&gt;$P$6,Z202&gt;$P$7,AA202&gt;$P$8,V202&gt;W202,AB202&lt;$P$10),1,0)</f>
        <v/>
      </c>
      <c r="AD202" s="525">
        <f>IF(SUM(K202,T202,AC202)=0,0,AC202/SUM(K202,T202,AC202))</f>
        <v/>
      </c>
      <c r="AE202" s="525">
        <f>IF(SUM(K202,T202,AC202)=0,1,0)</f>
        <v/>
      </c>
      <c r="AF202" s="368">
        <f>G4172</f>
        <v/>
      </c>
      <c r="AG202" s="524">
        <f>AF202/AF201-1</f>
        <v/>
      </c>
      <c r="AH202" s="524">
        <f>0.5*(ABS(L201-L200)+ABS(U201-U200)+ABS(AD201-AD200)+ABS(AE201-AE200))</f>
        <v/>
      </c>
      <c r="AI202" s="524">
        <f>L201*F202+U201*O202+AD201*X202+AE201*AG202</f>
        <v/>
      </c>
      <c r="AJ202" s="524">
        <f>AH202*$P$11</f>
        <v/>
      </c>
      <c r="AK202" s="524">
        <f>AI202-AJ202</f>
        <v/>
      </c>
      <c r="AL202" s="368">
        <f>AL201*(1+AK202)</f>
        <v/>
      </c>
      <c r="AM202" s="368">
        <f>MAX($AL$40:AL202)</f>
        <v/>
      </c>
      <c r="AN202" s="524">
        <f>AL202/AM202-1</f>
        <v/>
      </c>
      <c r="AO202" s="526">
        <f>AK202-AG202</f>
        <v/>
      </c>
    </row>
    <row r="203">
      <c r="C203" s="503" t="n">
        <v>45535</v>
      </c>
      <c r="D203" s="368">
        <f>D4194</f>
        <v/>
      </c>
      <c r="E203" s="368">
        <f>H4194</f>
        <v/>
      </c>
      <c r="F203" s="524">
        <f>D203/D202-1</f>
        <v/>
      </c>
      <c r="G203" s="524">
        <f>D203/D200-1</f>
        <v/>
      </c>
      <c r="H203" s="524">
        <f>D203/D197-1</f>
        <v/>
      </c>
      <c r="I203" s="524">
        <f>D203/D191-1</f>
        <v/>
      </c>
      <c r="J203" s="524">
        <f>STDEV.S(F192:F203)*SQRT(12)</f>
        <v/>
      </c>
      <c r="K203" s="368">
        <f>IF(AND(G203&gt;$P$6,H203&gt;$P$7,I203&gt;$P$8,D203&gt;E203,J203&lt;$P$10),1,0)</f>
        <v/>
      </c>
      <c r="L203" s="525">
        <f>IF(SUM(K203,T203,AC203)=0,0,K203/SUM(K203,T203,AC203))</f>
        <v/>
      </c>
      <c r="M203" s="368">
        <f>E4194</f>
        <v/>
      </c>
      <c r="N203" s="368">
        <f>I4194</f>
        <v/>
      </c>
      <c r="O203" s="524">
        <f>M203/M202-1</f>
        <v/>
      </c>
      <c r="P203" s="524">
        <f>M203/M200-1</f>
        <v/>
      </c>
      <c r="Q203" s="524">
        <f>M203/M197-1</f>
        <v/>
      </c>
      <c r="R203" s="524">
        <f>M203/M191-1</f>
        <v/>
      </c>
      <c r="S203" s="524">
        <f>STDEV.S(O192:O203)*SQRT(12)</f>
        <v/>
      </c>
      <c r="T203" s="368">
        <f>IF(AND(P203&gt;$P$6,Q203&gt;$P$7,R203&gt;$P$8,M203&gt;N203,S203&lt;$P$10),1,0)</f>
        <v/>
      </c>
      <c r="U203" s="525">
        <f>IF(SUM(K203,T203,AC203)=0,0,T203/SUM(K203,T203,AC203))</f>
        <v/>
      </c>
      <c r="V203" s="368">
        <f>F4194</f>
        <v/>
      </c>
      <c r="W203" s="368">
        <f>J4194</f>
        <v/>
      </c>
      <c r="X203" s="524">
        <f>V203/V202-1</f>
        <v/>
      </c>
      <c r="Y203" s="524">
        <f>V203/V200-1</f>
        <v/>
      </c>
      <c r="Z203" s="524">
        <f>V203/V197-1</f>
        <v/>
      </c>
      <c r="AA203" s="524">
        <f>V203/V191-1</f>
        <v/>
      </c>
      <c r="AB203" s="524">
        <f>STDEV.S(X192:X203)*SQRT(12)</f>
        <v/>
      </c>
      <c r="AC203" s="368">
        <f>IF(AND(Y203&gt;$P$6,Z203&gt;$P$7,AA203&gt;$P$8,V203&gt;W203,AB203&lt;$P$10),1,0)</f>
        <v/>
      </c>
      <c r="AD203" s="525">
        <f>IF(SUM(K203,T203,AC203)=0,0,AC203/SUM(K203,T203,AC203))</f>
        <v/>
      </c>
      <c r="AE203" s="525">
        <f>IF(SUM(K203,T203,AC203)=0,1,0)</f>
        <v/>
      </c>
      <c r="AF203" s="368">
        <f>G4194</f>
        <v/>
      </c>
      <c r="AG203" s="524">
        <f>AF203/AF202-1</f>
        <v/>
      </c>
      <c r="AH203" s="524">
        <f>0.5*(ABS(L202-L201)+ABS(U202-U201)+ABS(AD202-AD201)+ABS(AE202-AE201))</f>
        <v/>
      </c>
      <c r="AI203" s="524">
        <f>L202*F203+U202*O203+AD202*X203+AE202*AG203</f>
        <v/>
      </c>
      <c r="AJ203" s="524">
        <f>AH203*$P$11</f>
        <v/>
      </c>
      <c r="AK203" s="524">
        <f>AI203-AJ203</f>
        <v/>
      </c>
      <c r="AL203" s="368">
        <f>AL202*(1+AK203)</f>
        <v/>
      </c>
      <c r="AM203" s="368">
        <f>MAX($AL$40:AL203)</f>
        <v/>
      </c>
      <c r="AN203" s="524">
        <f>AL203/AM203-1</f>
        <v/>
      </c>
      <c r="AO203" s="526">
        <f>AK203-AG203</f>
        <v/>
      </c>
    </row>
    <row r="204">
      <c r="C204" s="503" t="n">
        <v>45565</v>
      </c>
      <c r="D204" s="368">
        <f>D4214</f>
        <v/>
      </c>
      <c r="E204" s="368">
        <f>H4214</f>
        <v/>
      </c>
      <c r="F204" s="524">
        <f>D204/D203-1</f>
        <v/>
      </c>
      <c r="G204" s="524">
        <f>D204/D201-1</f>
        <v/>
      </c>
      <c r="H204" s="524">
        <f>D204/D198-1</f>
        <v/>
      </c>
      <c r="I204" s="524">
        <f>D204/D192-1</f>
        <v/>
      </c>
      <c r="J204" s="524">
        <f>STDEV.S(F193:F204)*SQRT(12)</f>
        <v/>
      </c>
      <c r="K204" s="368">
        <f>IF(AND(G204&gt;$P$6,H204&gt;$P$7,I204&gt;$P$8,D204&gt;E204,J204&lt;$P$10),1,0)</f>
        <v/>
      </c>
      <c r="L204" s="525">
        <f>IF(SUM(K204,T204,AC204)=0,0,K204/SUM(K204,T204,AC204))</f>
        <v/>
      </c>
      <c r="M204" s="368">
        <f>E4214</f>
        <v/>
      </c>
      <c r="N204" s="368">
        <f>I4214</f>
        <v/>
      </c>
      <c r="O204" s="524">
        <f>M204/M203-1</f>
        <v/>
      </c>
      <c r="P204" s="524">
        <f>M204/M201-1</f>
        <v/>
      </c>
      <c r="Q204" s="524">
        <f>M204/M198-1</f>
        <v/>
      </c>
      <c r="R204" s="524">
        <f>M204/M192-1</f>
        <v/>
      </c>
      <c r="S204" s="524">
        <f>STDEV.S(O193:O204)*SQRT(12)</f>
        <v/>
      </c>
      <c r="T204" s="368">
        <f>IF(AND(P204&gt;$P$6,Q204&gt;$P$7,R204&gt;$P$8,M204&gt;N204,S204&lt;$P$10),1,0)</f>
        <v/>
      </c>
      <c r="U204" s="525">
        <f>IF(SUM(K204,T204,AC204)=0,0,T204/SUM(K204,T204,AC204))</f>
        <v/>
      </c>
      <c r="V204" s="368">
        <f>F4214</f>
        <v/>
      </c>
      <c r="W204" s="368">
        <f>J4214</f>
        <v/>
      </c>
      <c r="X204" s="524">
        <f>V204/V203-1</f>
        <v/>
      </c>
      <c r="Y204" s="524">
        <f>V204/V201-1</f>
        <v/>
      </c>
      <c r="Z204" s="524">
        <f>V204/V198-1</f>
        <v/>
      </c>
      <c r="AA204" s="524">
        <f>V204/V192-1</f>
        <v/>
      </c>
      <c r="AB204" s="524">
        <f>STDEV.S(X193:X204)*SQRT(12)</f>
        <v/>
      </c>
      <c r="AC204" s="368">
        <f>IF(AND(Y204&gt;$P$6,Z204&gt;$P$7,AA204&gt;$P$8,V204&gt;W204,AB204&lt;$P$10),1,0)</f>
        <v/>
      </c>
      <c r="AD204" s="525">
        <f>IF(SUM(K204,T204,AC204)=0,0,AC204/SUM(K204,T204,AC204))</f>
        <v/>
      </c>
      <c r="AE204" s="525">
        <f>IF(SUM(K204,T204,AC204)=0,1,0)</f>
        <v/>
      </c>
      <c r="AF204" s="368">
        <f>G4214</f>
        <v/>
      </c>
      <c r="AG204" s="524">
        <f>AF204/AF203-1</f>
        <v/>
      </c>
      <c r="AH204" s="524">
        <f>0.5*(ABS(L203-L202)+ABS(U203-U202)+ABS(AD203-AD202)+ABS(AE203-AE202))</f>
        <v/>
      </c>
      <c r="AI204" s="524">
        <f>L203*F204+U203*O204+AD203*X204+AE203*AG204</f>
        <v/>
      </c>
      <c r="AJ204" s="524">
        <f>AH204*$P$11</f>
        <v/>
      </c>
      <c r="AK204" s="524">
        <f>AI204-AJ204</f>
        <v/>
      </c>
      <c r="AL204" s="368">
        <f>AL203*(1+AK204)</f>
        <v/>
      </c>
      <c r="AM204" s="368">
        <f>MAX($AL$40:AL204)</f>
        <v/>
      </c>
      <c r="AN204" s="524">
        <f>AL204/AM204-1</f>
        <v/>
      </c>
      <c r="AO204" s="526">
        <f>AK204-AG204</f>
        <v/>
      </c>
    </row>
    <row r="205">
      <c r="C205" s="503" t="n">
        <v>45596</v>
      </c>
      <c r="D205" s="368">
        <f>D4237</f>
        <v/>
      </c>
      <c r="E205" s="368">
        <f>H4237</f>
        <v/>
      </c>
      <c r="F205" s="524">
        <f>D205/D204-1</f>
        <v/>
      </c>
      <c r="G205" s="524">
        <f>D205/D202-1</f>
        <v/>
      </c>
      <c r="H205" s="524">
        <f>D205/D199-1</f>
        <v/>
      </c>
      <c r="I205" s="524">
        <f>D205/D193-1</f>
        <v/>
      </c>
      <c r="J205" s="524">
        <f>STDEV.S(F194:F205)*SQRT(12)</f>
        <v/>
      </c>
      <c r="K205" s="368">
        <f>IF(AND(G205&gt;$P$6,H205&gt;$P$7,I205&gt;$P$8,D205&gt;E205,J205&lt;$P$10),1,0)</f>
        <v/>
      </c>
      <c r="L205" s="525">
        <f>IF(SUM(K205,T205,AC205)=0,0,K205/SUM(K205,T205,AC205))</f>
        <v/>
      </c>
      <c r="M205" s="368">
        <f>E4237</f>
        <v/>
      </c>
      <c r="N205" s="368">
        <f>I4237</f>
        <v/>
      </c>
      <c r="O205" s="524">
        <f>M205/M204-1</f>
        <v/>
      </c>
      <c r="P205" s="524">
        <f>M205/M202-1</f>
        <v/>
      </c>
      <c r="Q205" s="524">
        <f>M205/M199-1</f>
        <v/>
      </c>
      <c r="R205" s="524">
        <f>M205/M193-1</f>
        <v/>
      </c>
      <c r="S205" s="524">
        <f>STDEV.S(O194:O205)*SQRT(12)</f>
        <v/>
      </c>
      <c r="T205" s="368">
        <f>IF(AND(P205&gt;$P$6,Q205&gt;$P$7,R205&gt;$P$8,M205&gt;N205,S205&lt;$P$10),1,0)</f>
        <v/>
      </c>
      <c r="U205" s="525">
        <f>IF(SUM(K205,T205,AC205)=0,0,T205/SUM(K205,T205,AC205))</f>
        <v/>
      </c>
      <c r="V205" s="368">
        <f>F4237</f>
        <v/>
      </c>
      <c r="W205" s="368">
        <f>J4237</f>
        <v/>
      </c>
      <c r="X205" s="524">
        <f>V205/V204-1</f>
        <v/>
      </c>
      <c r="Y205" s="524">
        <f>V205/V202-1</f>
        <v/>
      </c>
      <c r="Z205" s="524">
        <f>V205/V199-1</f>
        <v/>
      </c>
      <c r="AA205" s="524">
        <f>V205/V193-1</f>
        <v/>
      </c>
      <c r="AB205" s="524">
        <f>STDEV.S(X194:X205)*SQRT(12)</f>
        <v/>
      </c>
      <c r="AC205" s="368">
        <f>IF(AND(Y205&gt;$P$6,Z205&gt;$P$7,AA205&gt;$P$8,V205&gt;W205,AB205&lt;$P$10),1,0)</f>
        <v/>
      </c>
      <c r="AD205" s="525">
        <f>IF(SUM(K205,T205,AC205)=0,0,AC205/SUM(K205,T205,AC205))</f>
        <v/>
      </c>
      <c r="AE205" s="525">
        <f>IF(SUM(K205,T205,AC205)=0,1,0)</f>
        <v/>
      </c>
      <c r="AF205" s="368">
        <f>G4237</f>
        <v/>
      </c>
      <c r="AG205" s="524">
        <f>AF205/AF204-1</f>
        <v/>
      </c>
      <c r="AH205" s="524">
        <f>0.5*(ABS(L204-L203)+ABS(U204-U203)+ABS(AD204-AD203)+ABS(AE204-AE203))</f>
        <v/>
      </c>
      <c r="AI205" s="524">
        <f>L204*F205+U204*O205+AD204*X205+AE204*AG205</f>
        <v/>
      </c>
      <c r="AJ205" s="524">
        <f>AH205*$P$11</f>
        <v/>
      </c>
      <c r="AK205" s="524">
        <f>AI205-AJ205</f>
        <v/>
      </c>
      <c r="AL205" s="368">
        <f>AL204*(1+AK205)</f>
        <v/>
      </c>
      <c r="AM205" s="368">
        <f>MAX($AL$40:AL205)</f>
        <v/>
      </c>
      <c r="AN205" s="524">
        <f>AL205/AM205-1</f>
        <v/>
      </c>
      <c r="AO205" s="526">
        <f>AK205-AG205</f>
        <v/>
      </c>
    </row>
    <row r="206">
      <c r="C206" s="503" t="n">
        <v>45626</v>
      </c>
      <c r="D206" s="368">
        <f>D4257</f>
        <v/>
      </c>
      <c r="E206" s="368">
        <f>H4257</f>
        <v/>
      </c>
      <c r="F206" s="524">
        <f>D206/D205-1</f>
        <v/>
      </c>
      <c r="G206" s="524">
        <f>D206/D203-1</f>
        <v/>
      </c>
      <c r="H206" s="524">
        <f>D206/D200-1</f>
        <v/>
      </c>
      <c r="I206" s="524">
        <f>D206/D194-1</f>
        <v/>
      </c>
      <c r="J206" s="524">
        <f>STDEV.S(F195:F206)*SQRT(12)</f>
        <v/>
      </c>
      <c r="K206" s="368">
        <f>IF(AND(G206&gt;$P$6,H206&gt;$P$7,I206&gt;$P$8,D206&gt;E206,J206&lt;$P$10),1,0)</f>
        <v/>
      </c>
      <c r="L206" s="525">
        <f>IF(SUM(K206,T206,AC206)=0,0,K206/SUM(K206,T206,AC206))</f>
        <v/>
      </c>
      <c r="M206" s="368">
        <f>E4257</f>
        <v/>
      </c>
      <c r="N206" s="368">
        <f>I4257</f>
        <v/>
      </c>
      <c r="O206" s="524">
        <f>M206/M205-1</f>
        <v/>
      </c>
      <c r="P206" s="524">
        <f>M206/M203-1</f>
        <v/>
      </c>
      <c r="Q206" s="524">
        <f>M206/M200-1</f>
        <v/>
      </c>
      <c r="R206" s="524">
        <f>M206/M194-1</f>
        <v/>
      </c>
      <c r="S206" s="524">
        <f>STDEV.S(O195:O206)*SQRT(12)</f>
        <v/>
      </c>
      <c r="T206" s="368">
        <f>IF(AND(P206&gt;$P$6,Q206&gt;$P$7,R206&gt;$P$8,M206&gt;N206,S206&lt;$P$10),1,0)</f>
        <v/>
      </c>
      <c r="U206" s="525">
        <f>IF(SUM(K206,T206,AC206)=0,0,T206/SUM(K206,T206,AC206))</f>
        <v/>
      </c>
      <c r="V206" s="368">
        <f>F4257</f>
        <v/>
      </c>
      <c r="W206" s="368">
        <f>J4257</f>
        <v/>
      </c>
      <c r="X206" s="524">
        <f>V206/V205-1</f>
        <v/>
      </c>
      <c r="Y206" s="524">
        <f>V206/V203-1</f>
        <v/>
      </c>
      <c r="Z206" s="524">
        <f>V206/V200-1</f>
        <v/>
      </c>
      <c r="AA206" s="524">
        <f>V206/V194-1</f>
        <v/>
      </c>
      <c r="AB206" s="524">
        <f>STDEV.S(X195:X206)*SQRT(12)</f>
        <v/>
      </c>
      <c r="AC206" s="368">
        <f>IF(AND(Y206&gt;$P$6,Z206&gt;$P$7,AA206&gt;$P$8,V206&gt;W206,AB206&lt;$P$10),1,0)</f>
        <v/>
      </c>
      <c r="AD206" s="525">
        <f>IF(SUM(K206,T206,AC206)=0,0,AC206/SUM(K206,T206,AC206))</f>
        <v/>
      </c>
      <c r="AE206" s="525">
        <f>IF(SUM(K206,T206,AC206)=0,1,0)</f>
        <v/>
      </c>
      <c r="AF206" s="368">
        <f>G4257</f>
        <v/>
      </c>
      <c r="AG206" s="524">
        <f>AF206/AF205-1</f>
        <v/>
      </c>
      <c r="AH206" s="524">
        <f>0.5*(ABS(L205-L204)+ABS(U205-U204)+ABS(AD205-AD204)+ABS(AE205-AE204))</f>
        <v/>
      </c>
      <c r="AI206" s="524">
        <f>L205*F206+U205*O206+AD205*X206+AE205*AG206</f>
        <v/>
      </c>
      <c r="AJ206" s="524">
        <f>AH206*$P$11</f>
        <v/>
      </c>
      <c r="AK206" s="524">
        <f>AI206-AJ206</f>
        <v/>
      </c>
      <c r="AL206" s="368">
        <f>AL205*(1+AK206)</f>
        <v/>
      </c>
      <c r="AM206" s="368">
        <f>MAX($AL$40:AL206)</f>
        <v/>
      </c>
      <c r="AN206" s="524">
        <f>AL206/AM206-1</f>
        <v/>
      </c>
      <c r="AO206" s="526">
        <f>AK206-AG206</f>
        <v/>
      </c>
    </row>
    <row r="207">
      <c r="C207" s="503" t="n">
        <v>45657</v>
      </c>
      <c r="D207" s="368">
        <f>D4278</f>
        <v/>
      </c>
      <c r="E207" s="368">
        <f>H4278</f>
        <v/>
      </c>
      <c r="F207" s="524">
        <f>D207/D206-1</f>
        <v/>
      </c>
      <c r="G207" s="524">
        <f>D207/D204-1</f>
        <v/>
      </c>
      <c r="H207" s="524">
        <f>D207/D201-1</f>
        <v/>
      </c>
      <c r="I207" s="524">
        <f>D207/D195-1</f>
        <v/>
      </c>
      <c r="J207" s="524">
        <f>STDEV.S(F196:F207)*SQRT(12)</f>
        <v/>
      </c>
      <c r="K207" s="368">
        <f>IF(AND(G207&gt;$P$6,H207&gt;$P$7,I207&gt;$P$8,D207&gt;E207,J207&lt;$P$10),1,0)</f>
        <v/>
      </c>
      <c r="L207" s="525">
        <f>IF(SUM(K207,T207,AC207)=0,0,K207/SUM(K207,T207,AC207))</f>
        <v/>
      </c>
      <c r="M207" s="368">
        <f>E4278</f>
        <v/>
      </c>
      <c r="N207" s="368">
        <f>I4278</f>
        <v/>
      </c>
      <c r="O207" s="524">
        <f>M207/M206-1</f>
        <v/>
      </c>
      <c r="P207" s="524">
        <f>M207/M204-1</f>
        <v/>
      </c>
      <c r="Q207" s="524">
        <f>M207/M201-1</f>
        <v/>
      </c>
      <c r="R207" s="524">
        <f>M207/M195-1</f>
        <v/>
      </c>
      <c r="S207" s="524">
        <f>STDEV.S(O196:O207)*SQRT(12)</f>
        <v/>
      </c>
      <c r="T207" s="368">
        <f>IF(AND(P207&gt;$P$6,Q207&gt;$P$7,R207&gt;$P$8,M207&gt;N207,S207&lt;$P$10),1,0)</f>
        <v/>
      </c>
      <c r="U207" s="525">
        <f>IF(SUM(K207,T207,AC207)=0,0,T207/SUM(K207,T207,AC207))</f>
        <v/>
      </c>
      <c r="V207" s="368">
        <f>F4278</f>
        <v/>
      </c>
      <c r="W207" s="368">
        <f>J4278</f>
        <v/>
      </c>
      <c r="X207" s="524">
        <f>V207/V206-1</f>
        <v/>
      </c>
      <c r="Y207" s="524">
        <f>V207/V204-1</f>
        <v/>
      </c>
      <c r="Z207" s="524">
        <f>V207/V201-1</f>
        <v/>
      </c>
      <c r="AA207" s="524">
        <f>V207/V195-1</f>
        <v/>
      </c>
      <c r="AB207" s="524">
        <f>STDEV.S(X196:X207)*SQRT(12)</f>
        <v/>
      </c>
      <c r="AC207" s="368">
        <f>IF(AND(Y207&gt;$P$6,Z207&gt;$P$7,AA207&gt;$P$8,V207&gt;W207,AB207&lt;$P$10),1,0)</f>
        <v/>
      </c>
      <c r="AD207" s="525">
        <f>IF(SUM(K207,T207,AC207)=0,0,AC207/SUM(K207,T207,AC207))</f>
        <v/>
      </c>
      <c r="AE207" s="525">
        <f>IF(SUM(K207,T207,AC207)=0,1,0)</f>
        <v/>
      </c>
      <c r="AF207" s="368">
        <f>G4278</f>
        <v/>
      </c>
      <c r="AG207" s="524">
        <f>AF207/AF206-1</f>
        <v/>
      </c>
      <c r="AH207" s="524">
        <f>0.5*(ABS(L206-L205)+ABS(U206-U205)+ABS(AD206-AD205)+ABS(AE206-AE205))</f>
        <v/>
      </c>
      <c r="AI207" s="524">
        <f>L206*F207+U206*O207+AD206*X207+AE206*AG207</f>
        <v/>
      </c>
      <c r="AJ207" s="524">
        <f>AH207*$P$11</f>
        <v/>
      </c>
      <c r="AK207" s="524">
        <f>AI207-AJ207</f>
        <v/>
      </c>
      <c r="AL207" s="368">
        <f>AL206*(1+AK207)</f>
        <v/>
      </c>
      <c r="AM207" s="368">
        <f>MAX($AL$40:AL207)</f>
        <v/>
      </c>
      <c r="AN207" s="524">
        <f>AL207/AM207-1</f>
        <v/>
      </c>
      <c r="AO207" s="526">
        <f>AK207-AG207</f>
        <v/>
      </c>
    </row>
    <row r="208">
      <c r="C208" s="503" t="n">
        <v>45688</v>
      </c>
      <c r="D208" s="368">
        <f>D4298</f>
        <v/>
      </c>
      <c r="E208" s="368">
        <f>H4298</f>
        <v/>
      </c>
      <c r="F208" s="524">
        <f>D208/D207-1</f>
        <v/>
      </c>
      <c r="G208" s="524">
        <f>D208/D205-1</f>
        <v/>
      </c>
      <c r="H208" s="524">
        <f>D208/D202-1</f>
        <v/>
      </c>
      <c r="I208" s="524">
        <f>D208/D196-1</f>
        <v/>
      </c>
      <c r="J208" s="524">
        <f>STDEV.S(F197:F208)*SQRT(12)</f>
        <v/>
      </c>
      <c r="K208" s="368">
        <f>IF(AND(G208&gt;$P$6,H208&gt;$P$7,I208&gt;$P$8,D208&gt;E208,J208&lt;$P$10),1,0)</f>
        <v/>
      </c>
      <c r="L208" s="525">
        <f>IF(SUM(K208,T208,AC208)=0,0,K208/SUM(K208,T208,AC208))</f>
        <v/>
      </c>
      <c r="M208" s="368">
        <f>E4298</f>
        <v/>
      </c>
      <c r="N208" s="368">
        <f>I4298</f>
        <v/>
      </c>
      <c r="O208" s="524">
        <f>M208/M207-1</f>
        <v/>
      </c>
      <c r="P208" s="524">
        <f>M208/M205-1</f>
        <v/>
      </c>
      <c r="Q208" s="524">
        <f>M208/M202-1</f>
        <v/>
      </c>
      <c r="R208" s="524">
        <f>M208/M196-1</f>
        <v/>
      </c>
      <c r="S208" s="524">
        <f>STDEV.S(O197:O208)*SQRT(12)</f>
        <v/>
      </c>
      <c r="T208" s="368">
        <f>IF(AND(P208&gt;$P$6,Q208&gt;$P$7,R208&gt;$P$8,M208&gt;N208,S208&lt;$P$10),1,0)</f>
        <v/>
      </c>
      <c r="U208" s="525">
        <f>IF(SUM(K208,T208,AC208)=0,0,T208/SUM(K208,T208,AC208))</f>
        <v/>
      </c>
      <c r="V208" s="368">
        <f>F4298</f>
        <v/>
      </c>
      <c r="W208" s="368">
        <f>J4298</f>
        <v/>
      </c>
      <c r="X208" s="524">
        <f>V208/V207-1</f>
        <v/>
      </c>
      <c r="Y208" s="524">
        <f>V208/V205-1</f>
        <v/>
      </c>
      <c r="Z208" s="524">
        <f>V208/V202-1</f>
        <v/>
      </c>
      <c r="AA208" s="524">
        <f>V208/V196-1</f>
        <v/>
      </c>
      <c r="AB208" s="524">
        <f>STDEV.S(X197:X208)*SQRT(12)</f>
        <v/>
      </c>
      <c r="AC208" s="368">
        <f>IF(AND(Y208&gt;$P$6,Z208&gt;$P$7,AA208&gt;$P$8,V208&gt;W208,AB208&lt;$P$10),1,0)</f>
        <v/>
      </c>
      <c r="AD208" s="525">
        <f>IF(SUM(K208,T208,AC208)=0,0,AC208/SUM(K208,T208,AC208))</f>
        <v/>
      </c>
      <c r="AE208" s="525">
        <f>IF(SUM(K208,T208,AC208)=0,1,0)</f>
        <v/>
      </c>
      <c r="AF208" s="368">
        <f>G4298</f>
        <v/>
      </c>
      <c r="AG208" s="524">
        <f>AF208/AF207-1</f>
        <v/>
      </c>
      <c r="AH208" s="524">
        <f>0.5*(ABS(L207-L206)+ABS(U207-U206)+ABS(AD207-AD206)+ABS(AE207-AE206))</f>
        <v/>
      </c>
      <c r="AI208" s="524">
        <f>L207*F208+U207*O208+AD207*X208+AE207*AG208</f>
        <v/>
      </c>
      <c r="AJ208" s="524">
        <f>AH208*$P$11</f>
        <v/>
      </c>
      <c r="AK208" s="524">
        <f>AI208-AJ208</f>
        <v/>
      </c>
      <c r="AL208" s="368">
        <f>AL207*(1+AK208)</f>
        <v/>
      </c>
      <c r="AM208" s="368">
        <f>MAX($AL$40:AL208)</f>
        <v/>
      </c>
      <c r="AN208" s="524">
        <f>AL208/AM208-1</f>
        <v/>
      </c>
      <c r="AO208" s="526">
        <f>AK208-AG208</f>
        <v/>
      </c>
    </row>
    <row r="209">
      <c r="C209" s="503" t="n">
        <v>45716</v>
      </c>
      <c r="D209" s="368">
        <f>D4317</f>
        <v/>
      </c>
      <c r="E209" s="368">
        <f>H4317</f>
        <v/>
      </c>
      <c r="F209" s="524">
        <f>D209/D208-1</f>
        <v/>
      </c>
      <c r="G209" s="524">
        <f>D209/D206-1</f>
        <v/>
      </c>
      <c r="H209" s="524">
        <f>D209/D203-1</f>
        <v/>
      </c>
      <c r="I209" s="524">
        <f>D209/D197-1</f>
        <v/>
      </c>
      <c r="J209" s="524">
        <f>STDEV.S(F198:F209)*SQRT(12)</f>
        <v/>
      </c>
      <c r="K209" s="368">
        <f>IF(AND(G209&gt;$P$6,H209&gt;$P$7,I209&gt;$P$8,D209&gt;E209,J209&lt;$P$10),1,0)</f>
        <v/>
      </c>
      <c r="L209" s="525">
        <f>IF(SUM(K209,T209,AC209)=0,0,K209/SUM(K209,T209,AC209))</f>
        <v/>
      </c>
      <c r="M209" s="368">
        <f>E4317</f>
        <v/>
      </c>
      <c r="N209" s="368">
        <f>I4317</f>
        <v/>
      </c>
      <c r="O209" s="524">
        <f>M209/M208-1</f>
        <v/>
      </c>
      <c r="P209" s="524">
        <f>M209/M206-1</f>
        <v/>
      </c>
      <c r="Q209" s="524">
        <f>M209/M203-1</f>
        <v/>
      </c>
      <c r="R209" s="524">
        <f>M209/M197-1</f>
        <v/>
      </c>
      <c r="S209" s="524">
        <f>STDEV.S(O198:O209)*SQRT(12)</f>
        <v/>
      </c>
      <c r="T209" s="368">
        <f>IF(AND(P209&gt;$P$6,Q209&gt;$P$7,R209&gt;$P$8,M209&gt;N209,S209&lt;$P$10),1,0)</f>
        <v/>
      </c>
      <c r="U209" s="525">
        <f>IF(SUM(K209,T209,AC209)=0,0,T209/SUM(K209,T209,AC209))</f>
        <v/>
      </c>
      <c r="V209" s="368">
        <f>F4317</f>
        <v/>
      </c>
      <c r="W209" s="368">
        <f>J4317</f>
        <v/>
      </c>
      <c r="X209" s="524">
        <f>V209/V208-1</f>
        <v/>
      </c>
      <c r="Y209" s="524">
        <f>V209/V206-1</f>
        <v/>
      </c>
      <c r="Z209" s="524">
        <f>V209/V203-1</f>
        <v/>
      </c>
      <c r="AA209" s="524">
        <f>V209/V197-1</f>
        <v/>
      </c>
      <c r="AB209" s="524">
        <f>STDEV.S(X198:X209)*SQRT(12)</f>
        <v/>
      </c>
      <c r="AC209" s="368">
        <f>IF(AND(Y209&gt;$P$6,Z209&gt;$P$7,AA209&gt;$P$8,V209&gt;W209,AB209&lt;$P$10),1,0)</f>
        <v/>
      </c>
      <c r="AD209" s="525">
        <f>IF(SUM(K209,T209,AC209)=0,0,AC209/SUM(K209,T209,AC209))</f>
        <v/>
      </c>
      <c r="AE209" s="525">
        <f>IF(SUM(K209,T209,AC209)=0,1,0)</f>
        <v/>
      </c>
      <c r="AF209" s="368">
        <f>G4317</f>
        <v/>
      </c>
      <c r="AG209" s="524">
        <f>AF209/AF208-1</f>
        <v/>
      </c>
      <c r="AH209" s="524">
        <f>0.5*(ABS(L208-L207)+ABS(U208-U207)+ABS(AD208-AD207)+ABS(AE208-AE207))</f>
        <v/>
      </c>
      <c r="AI209" s="524">
        <f>L208*F209+U208*O209+AD208*X209+AE208*AG209</f>
        <v/>
      </c>
      <c r="AJ209" s="524">
        <f>AH209*$P$11</f>
        <v/>
      </c>
      <c r="AK209" s="524">
        <f>AI209-AJ209</f>
        <v/>
      </c>
      <c r="AL209" s="368">
        <f>AL208*(1+AK209)</f>
        <v/>
      </c>
      <c r="AM209" s="368">
        <f>MAX($AL$40:AL209)</f>
        <v/>
      </c>
      <c r="AN209" s="524">
        <f>AL209/AM209-1</f>
        <v/>
      </c>
      <c r="AO209" s="526">
        <f>AK209-AG209</f>
        <v/>
      </c>
    </row>
    <row r="210">
      <c r="C210" s="503" t="n">
        <v>45747</v>
      </c>
      <c r="D210" s="368">
        <f>D4338</f>
        <v/>
      </c>
      <c r="E210" s="368">
        <f>H4338</f>
        <v/>
      </c>
      <c r="F210" s="524">
        <f>D210/D209-1</f>
        <v/>
      </c>
      <c r="G210" s="524">
        <f>D210/D207-1</f>
        <v/>
      </c>
      <c r="H210" s="524">
        <f>D210/D204-1</f>
        <v/>
      </c>
      <c r="I210" s="524">
        <f>D210/D198-1</f>
        <v/>
      </c>
      <c r="J210" s="524">
        <f>STDEV.S(F199:F210)*SQRT(12)</f>
        <v/>
      </c>
      <c r="K210" s="368">
        <f>IF(AND(G210&gt;$P$6,H210&gt;$P$7,I210&gt;$P$8,D210&gt;E210,J210&lt;$P$10),1,0)</f>
        <v/>
      </c>
      <c r="L210" s="525">
        <f>IF(SUM(K210,T210,AC210)=0,0,K210/SUM(K210,T210,AC210))</f>
        <v/>
      </c>
      <c r="M210" s="368">
        <f>E4338</f>
        <v/>
      </c>
      <c r="N210" s="368">
        <f>I4338</f>
        <v/>
      </c>
      <c r="O210" s="524">
        <f>M210/M209-1</f>
        <v/>
      </c>
      <c r="P210" s="524">
        <f>M210/M207-1</f>
        <v/>
      </c>
      <c r="Q210" s="524">
        <f>M210/M204-1</f>
        <v/>
      </c>
      <c r="R210" s="524">
        <f>M210/M198-1</f>
        <v/>
      </c>
      <c r="S210" s="524">
        <f>STDEV.S(O199:O210)*SQRT(12)</f>
        <v/>
      </c>
      <c r="T210" s="368">
        <f>IF(AND(P210&gt;$P$6,Q210&gt;$P$7,R210&gt;$P$8,M210&gt;N210,S210&lt;$P$10),1,0)</f>
        <v/>
      </c>
      <c r="U210" s="525">
        <f>IF(SUM(K210,T210,AC210)=0,0,T210/SUM(K210,T210,AC210))</f>
        <v/>
      </c>
      <c r="V210" s="368">
        <f>F4338</f>
        <v/>
      </c>
      <c r="W210" s="368">
        <f>J4338</f>
        <v/>
      </c>
      <c r="X210" s="524">
        <f>V210/V209-1</f>
        <v/>
      </c>
      <c r="Y210" s="524">
        <f>V210/V207-1</f>
        <v/>
      </c>
      <c r="Z210" s="524">
        <f>V210/V204-1</f>
        <v/>
      </c>
      <c r="AA210" s="524">
        <f>V210/V198-1</f>
        <v/>
      </c>
      <c r="AB210" s="524">
        <f>STDEV.S(X199:X210)*SQRT(12)</f>
        <v/>
      </c>
      <c r="AC210" s="368">
        <f>IF(AND(Y210&gt;$P$6,Z210&gt;$P$7,AA210&gt;$P$8,V210&gt;W210,AB210&lt;$P$10),1,0)</f>
        <v/>
      </c>
      <c r="AD210" s="525">
        <f>IF(SUM(K210,T210,AC210)=0,0,AC210/SUM(K210,T210,AC210))</f>
        <v/>
      </c>
      <c r="AE210" s="525">
        <f>IF(SUM(K210,T210,AC210)=0,1,0)</f>
        <v/>
      </c>
      <c r="AF210" s="368">
        <f>G4338</f>
        <v/>
      </c>
      <c r="AG210" s="524">
        <f>AF210/AF209-1</f>
        <v/>
      </c>
      <c r="AH210" s="524">
        <f>0.5*(ABS(L209-L208)+ABS(U209-U208)+ABS(AD209-AD208)+ABS(AE209-AE208))</f>
        <v/>
      </c>
      <c r="AI210" s="524">
        <f>L209*F210+U209*O210+AD209*X210+AE209*AG210</f>
        <v/>
      </c>
      <c r="AJ210" s="524">
        <f>AH210*$P$11</f>
        <v/>
      </c>
      <c r="AK210" s="524">
        <f>AI210-AJ210</f>
        <v/>
      </c>
      <c r="AL210" s="368">
        <f>AL209*(1+AK210)</f>
        <v/>
      </c>
      <c r="AM210" s="368">
        <f>MAX($AL$40:AL210)</f>
        <v/>
      </c>
      <c r="AN210" s="524">
        <f>AL210/AM210-1</f>
        <v/>
      </c>
      <c r="AO210" s="526">
        <f>AK210-AG210</f>
        <v/>
      </c>
    </row>
    <row r="211">
      <c r="C211" s="503" t="n">
        <v>45777</v>
      </c>
      <c r="D211" s="368">
        <f>D4359</f>
        <v/>
      </c>
      <c r="E211" s="368">
        <f>H4359</f>
        <v/>
      </c>
      <c r="F211" s="524">
        <f>D211/D210-1</f>
        <v/>
      </c>
      <c r="G211" s="524">
        <f>D211/D208-1</f>
        <v/>
      </c>
      <c r="H211" s="524">
        <f>D211/D205-1</f>
        <v/>
      </c>
      <c r="I211" s="524">
        <f>D211/D199-1</f>
        <v/>
      </c>
      <c r="J211" s="524">
        <f>STDEV.S(F200:F211)*SQRT(12)</f>
        <v/>
      </c>
      <c r="K211" s="368">
        <f>IF(AND(G211&gt;$P$6,H211&gt;$P$7,I211&gt;$P$8,D211&gt;E211,J211&lt;$P$10),1,0)</f>
        <v/>
      </c>
      <c r="L211" s="525">
        <f>IF(SUM(K211,T211,AC211)=0,0,K211/SUM(K211,T211,AC211))</f>
        <v/>
      </c>
      <c r="M211" s="368">
        <f>E4359</f>
        <v/>
      </c>
      <c r="N211" s="368">
        <f>I4359</f>
        <v/>
      </c>
      <c r="O211" s="524">
        <f>M211/M210-1</f>
        <v/>
      </c>
      <c r="P211" s="524">
        <f>M211/M208-1</f>
        <v/>
      </c>
      <c r="Q211" s="524">
        <f>M211/M205-1</f>
        <v/>
      </c>
      <c r="R211" s="524">
        <f>M211/M199-1</f>
        <v/>
      </c>
      <c r="S211" s="524">
        <f>STDEV.S(O200:O211)*SQRT(12)</f>
        <v/>
      </c>
      <c r="T211" s="368">
        <f>IF(AND(P211&gt;$P$6,Q211&gt;$P$7,R211&gt;$P$8,M211&gt;N211,S211&lt;$P$10),1,0)</f>
        <v/>
      </c>
      <c r="U211" s="525">
        <f>IF(SUM(K211,T211,AC211)=0,0,T211/SUM(K211,T211,AC211))</f>
        <v/>
      </c>
      <c r="V211" s="368">
        <f>F4359</f>
        <v/>
      </c>
      <c r="W211" s="368">
        <f>J4359</f>
        <v/>
      </c>
      <c r="X211" s="524">
        <f>V211/V210-1</f>
        <v/>
      </c>
      <c r="Y211" s="524">
        <f>V211/V208-1</f>
        <v/>
      </c>
      <c r="Z211" s="524">
        <f>V211/V205-1</f>
        <v/>
      </c>
      <c r="AA211" s="524">
        <f>V211/V199-1</f>
        <v/>
      </c>
      <c r="AB211" s="524">
        <f>STDEV.S(X200:X211)*SQRT(12)</f>
        <v/>
      </c>
      <c r="AC211" s="368">
        <f>IF(AND(Y211&gt;$P$6,Z211&gt;$P$7,AA211&gt;$P$8,V211&gt;W211,AB211&lt;$P$10),1,0)</f>
        <v/>
      </c>
      <c r="AD211" s="525">
        <f>IF(SUM(K211,T211,AC211)=0,0,AC211/SUM(K211,T211,AC211))</f>
        <v/>
      </c>
      <c r="AE211" s="525">
        <f>IF(SUM(K211,T211,AC211)=0,1,0)</f>
        <v/>
      </c>
      <c r="AF211" s="368">
        <f>G4359</f>
        <v/>
      </c>
      <c r="AG211" s="524">
        <f>AF211/AF210-1</f>
        <v/>
      </c>
      <c r="AH211" s="524">
        <f>0.5*(ABS(L210-L209)+ABS(U210-U209)+ABS(AD210-AD209)+ABS(AE210-AE209))</f>
        <v/>
      </c>
      <c r="AI211" s="524">
        <f>L210*F211+U210*O211+AD210*X211+AE210*AG211</f>
        <v/>
      </c>
      <c r="AJ211" s="524">
        <f>AH211*$P$11</f>
        <v/>
      </c>
      <c r="AK211" s="524">
        <f>AI211-AJ211</f>
        <v/>
      </c>
      <c r="AL211" s="368">
        <f>AL210*(1+AK211)</f>
        <v/>
      </c>
      <c r="AM211" s="368">
        <f>MAX($AL$40:AL211)</f>
        <v/>
      </c>
      <c r="AN211" s="524">
        <f>AL211/AM211-1</f>
        <v/>
      </c>
      <c r="AO211" s="526">
        <f>AK211-AG211</f>
        <v/>
      </c>
    </row>
    <row r="212">
      <c r="C212" s="503" t="n">
        <v>45808</v>
      </c>
      <c r="D212" s="368">
        <f>D4380</f>
        <v/>
      </c>
      <c r="E212" s="368">
        <f>H4380</f>
        <v/>
      </c>
      <c r="F212" s="524">
        <f>D212/D211-1</f>
        <v/>
      </c>
      <c r="G212" s="524">
        <f>D212/D209-1</f>
        <v/>
      </c>
      <c r="H212" s="524">
        <f>D212/D206-1</f>
        <v/>
      </c>
      <c r="I212" s="524">
        <f>D212/D200-1</f>
        <v/>
      </c>
      <c r="J212" s="524">
        <f>STDEV.S(F201:F212)*SQRT(12)</f>
        <v/>
      </c>
      <c r="K212" s="368">
        <f>IF(AND(G212&gt;$P$6,H212&gt;$P$7,I212&gt;$P$8,D212&gt;E212,J212&lt;$P$10),1,0)</f>
        <v/>
      </c>
      <c r="L212" s="525">
        <f>IF(SUM(K212,T212,AC212)=0,0,K212/SUM(K212,T212,AC212))</f>
        <v/>
      </c>
      <c r="M212" s="368">
        <f>E4380</f>
        <v/>
      </c>
      <c r="N212" s="368">
        <f>I4380</f>
        <v/>
      </c>
      <c r="O212" s="524">
        <f>M212/M211-1</f>
        <v/>
      </c>
      <c r="P212" s="524">
        <f>M212/M209-1</f>
        <v/>
      </c>
      <c r="Q212" s="524">
        <f>M212/M206-1</f>
        <v/>
      </c>
      <c r="R212" s="524">
        <f>M212/M200-1</f>
        <v/>
      </c>
      <c r="S212" s="524">
        <f>STDEV.S(O201:O212)*SQRT(12)</f>
        <v/>
      </c>
      <c r="T212" s="368">
        <f>IF(AND(P212&gt;$P$6,Q212&gt;$P$7,R212&gt;$P$8,M212&gt;N212,S212&lt;$P$10),1,0)</f>
        <v/>
      </c>
      <c r="U212" s="525">
        <f>IF(SUM(K212,T212,AC212)=0,0,T212/SUM(K212,T212,AC212))</f>
        <v/>
      </c>
      <c r="V212" s="368">
        <f>F4380</f>
        <v/>
      </c>
      <c r="W212" s="368">
        <f>J4380</f>
        <v/>
      </c>
      <c r="X212" s="524">
        <f>V212/V211-1</f>
        <v/>
      </c>
      <c r="Y212" s="524">
        <f>V212/V209-1</f>
        <v/>
      </c>
      <c r="Z212" s="524">
        <f>V212/V206-1</f>
        <v/>
      </c>
      <c r="AA212" s="524">
        <f>V212/V200-1</f>
        <v/>
      </c>
      <c r="AB212" s="524">
        <f>STDEV.S(X201:X212)*SQRT(12)</f>
        <v/>
      </c>
      <c r="AC212" s="368">
        <f>IF(AND(Y212&gt;$P$6,Z212&gt;$P$7,AA212&gt;$P$8,V212&gt;W212,AB212&lt;$P$10),1,0)</f>
        <v/>
      </c>
      <c r="AD212" s="525">
        <f>IF(SUM(K212,T212,AC212)=0,0,AC212/SUM(K212,T212,AC212))</f>
        <v/>
      </c>
      <c r="AE212" s="525">
        <f>IF(SUM(K212,T212,AC212)=0,1,0)</f>
        <v/>
      </c>
      <c r="AF212" s="368">
        <f>G4380</f>
        <v/>
      </c>
      <c r="AG212" s="524">
        <f>AF212/AF211-1</f>
        <v/>
      </c>
      <c r="AH212" s="524">
        <f>0.5*(ABS(L211-L210)+ABS(U211-U210)+ABS(AD211-AD210)+ABS(AE211-AE210))</f>
        <v/>
      </c>
      <c r="AI212" s="524">
        <f>L211*F212+U211*O212+AD211*X212+AE211*AG212</f>
        <v/>
      </c>
      <c r="AJ212" s="524">
        <f>AH212*$P$11</f>
        <v/>
      </c>
      <c r="AK212" s="524">
        <f>AI212-AJ212</f>
        <v/>
      </c>
      <c r="AL212" s="368">
        <f>AL211*(1+AK212)</f>
        <v/>
      </c>
      <c r="AM212" s="368">
        <f>MAX($AL$40:AL212)</f>
        <v/>
      </c>
      <c r="AN212" s="524">
        <f>AL212/AM212-1</f>
        <v/>
      </c>
      <c r="AO212" s="526">
        <f>AK212-AG212</f>
        <v/>
      </c>
    </row>
    <row r="213">
      <c r="C213" s="503" t="n">
        <v>45838</v>
      </c>
      <c r="D213" s="368">
        <f>D4400</f>
        <v/>
      </c>
      <c r="E213" s="368">
        <f>H4400</f>
        <v/>
      </c>
      <c r="F213" s="524">
        <f>D213/D212-1</f>
        <v/>
      </c>
      <c r="G213" s="524">
        <f>D213/D210-1</f>
        <v/>
      </c>
      <c r="H213" s="524">
        <f>D213/D207-1</f>
        <v/>
      </c>
      <c r="I213" s="524">
        <f>D213/D201-1</f>
        <v/>
      </c>
      <c r="J213" s="524">
        <f>STDEV.S(F202:F213)*SQRT(12)</f>
        <v/>
      </c>
      <c r="K213" s="368">
        <f>IF(AND(G213&gt;$P$6,H213&gt;$P$7,I213&gt;$P$8,D213&gt;E213,J213&lt;$P$10),1,0)</f>
        <v/>
      </c>
      <c r="L213" s="525">
        <f>IF(SUM(K213,T213,AC213)=0,0,K213/SUM(K213,T213,AC213))</f>
        <v/>
      </c>
      <c r="M213" s="368">
        <f>E4400</f>
        <v/>
      </c>
      <c r="N213" s="368">
        <f>I4400</f>
        <v/>
      </c>
      <c r="O213" s="524">
        <f>M213/M212-1</f>
        <v/>
      </c>
      <c r="P213" s="524">
        <f>M213/M210-1</f>
        <v/>
      </c>
      <c r="Q213" s="524">
        <f>M213/M207-1</f>
        <v/>
      </c>
      <c r="R213" s="524">
        <f>M213/M201-1</f>
        <v/>
      </c>
      <c r="S213" s="524">
        <f>STDEV.S(O202:O213)*SQRT(12)</f>
        <v/>
      </c>
      <c r="T213" s="368">
        <f>IF(AND(P213&gt;$P$6,Q213&gt;$P$7,R213&gt;$P$8,M213&gt;N213,S213&lt;$P$10),1,0)</f>
        <v/>
      </c>
      <c r="U213" s="525">
        <f>IF(SUM(K213,T213,AC213)=0,0,T213/SUM(K213,T213,AC213))</f>
        <v/>
      </c>
      <c r="V213" s="368">
        <f>F4400</f>
        <v/>
      </c>
      <c r="W213" s="368">
        <f>J4400</f>
        <v/>
      </c>
      <c r="X213" s="524">
        <f>V213/V212-1</f>
        <v/>
      </c>
      <c r="Y213" s="524">
        <f>V213/V210-1</f>
        <v/>
      </c>
      <c r="Z213" s="524">
        <f>V213/V207-1</f>
        <v/>
      </c>
      <c r="AA213" s="524">
        <f>V213/V201-1</f>
        <v/>
      </c>
      <c r="AB213" s="524">
        <f>STDEV.S(X202:X213)*SQRT(12)</f>
        <v/>
      </c>
      <c r="AC213" s="368">
        <f>IF(AND(Y213&gt;$P$6,Z213&gt;$P$7,AA213&gt;$P$8,V213&gt;W213,AB213&lt;$P$10),1,0)</f>
        <v/>
      </c>
      <c r="AD213" s="525">
        <f>IF(SUM(K213,T213,AC213)=0,0,AC213/SUM(K213,T213,AC213))</f>
        <v/>
      </c>
      <c r="AE213" s="525">
        <f>IF(SUM(K213,T213,AC213)=0,1,0)</f>
        <v/>
      </c>
      <c r="AF213" s="368">
        <f>G4400</f>
        <v/>
      </c>
      <c r="AG213" s="524">
        <f>AF213/AF212-1</f>
        <v/>
      </c>
      <c r="AH213" s="524">
        <f>0.5*(ABS(L212-L211)+ABS(U212-U211)+ABS(AD212-AD211)+ABS(AE212-AE211))</f>
        <v/>
      </c>
      <c r="AI213" s="524">
        <f>L212*F213+U212*O213+AD212*X213+AE212*AG213</f>
        <v/>
      </c>
      <c r="AJ213" s="524">
        <f>AH213*$P$11</f>
        <v/>
      </c>
      <c r="AK213" s="524">
        <f>AI213-AJ213</f>
        <v/>
      </c>
      <c r="AL213" s="368">
        <f>AL212*(1+AK213)</f>
        <v/>
      </c>
      <c r="AM213" s="368">
        <f>MAX($AL$40:AL213)</f>
        <v/>
      </c>
      <c r="AN213" s="524">
        <f>AL213/AM213-1</f>
        <v/>
      </c>
      <c r="AO213" s="526">
        <f>AK213-AG213</f>
        <v/>
      </c>
    </row>
    <row r="214">
      <c r="C214" s="503" t="n">
        <v>45869</v>
      </c>
      <c r="D214" s="368">
        <f>D4422</f>
        <v/>
      </c>
      <c r="E214" s="368">
        <f>H4422</f>
        <v/>
      </c>
      <c r="F214" s="524">
        <f>D214/D213-1</f>
        <v/>
      </c>
      <c r="G214" s="524">
        <f>D214/D211-1</f>
        <v/>
      </c>
      <c r="H214" s="524">
        <f>D214/D208-1</f>
        <v/>
      </c>
      <c r="I214" s="524">
        <f>D214/D202-1</f>
        <v/>
      </c>
      <c r="J214" s="524">
        <f>STDEV.S(F203:F214)*SQRT(12)</f>
        <v/>
      </c>
      <c r="K214" s="368">
        <f>IF(AND(G214&gt;$P$6,H214&gt;$P$7,I214&gt;$P$8,D214&gt;E214,J214&lt;$P$10),1,0)</f>
        <v/>
      </c>
      <c r="L214" s="525">
        <f>IF(SUM(K214,T214,AC214)=0,0,K214/SUM(K214,T214,AC214))</f>
        <v/>
      </c>
      <c r="M214" s="368">
        <f>E4422</f>
        <v/>
      </c>
      <c r="N214" s="368">
        <f>I4422</f>
        <v/>
      </c>
      <c r="O214" s="524">
        <f>M214/M213-1</f>
        <v/>
      </c>
      <c r="P214" s="524">
        <f>M214/M211-1</f>
        <v/>
      </c>
      <c r="Q214" s="524">
        <f>M214/M208-1</f>
        <v/>
      </c>
      <c r="R214" s="524">
        <f>M214/M202-1</f>
        <v/>
      </c>
      <c r="S214" s="524">
        <f>STDEV.S(O203:O214)*SQRT(12)</f>
        <v/>
      </c>
      <c r="T214" s="368">
        <f>IF(AND(P214&gt;$P$6,Q214&gt;$P$7,R214&gt;$P$8,M214&gt;N214,S214&lt;$P$10),1,0)</f>
        <v/>
      </c>
      <c r="U214" s="525">
        <f>IF(SUM(K214,T214,AC214)=0,0,T214/SUM(K214,T214,AC214))</f>
        <v/>
      </c>
      <c r="V214" s="368">
        <f>F4422</f>
        <v/>
      </c>
      <c r="W214" s="368">
        <f>J4422</f>
        <v/>
      </c>
      <c r="X214" s="524">
        <f>V214/V213-1</f>
        <v/>
      </c>
      <c r="Y214" s="524">
        <f>V214/V211-1</f>
        <v/>
      </c>
      <c r="Z214" s="524">
        <f>V214/V208-1</f>
        <v/>
      </c>
      <c r="AA214" s="524">
        <f>V214/V202-1</f>
        <v/>
      </c>
      <c r="AB214" s="524">
        <f>STDEV.S(X203:X214)*SQRT(12)</f>
        <v/>
      </c>
      <c r="AC214" s="368">
        <f>IF(AND(Y214&gt;$P$6,Z214&gt;$P$7,AA214&gt;$P$8,V214&gt;W214,AB214&lt;$P$10),1,0)</f>
        <v/>
      </c>
      <c r="AD214" s="525">
        <f>IF(SUM(K214,T214,AC214)=0,0,AC214/SUM(K214,T214,AC214))</f>
        <v/>
      </c>
      <c r="AE214" s="525">
        <f>IF(SUM(K214,T214,AC214)=0,1,0)</f>
        <v/>
      </c>
      <c r="AF214" s="368">
        <f>G4422</f>
        <v/>
      </c>
      <c r="AG214" s="524">
        <f>AF214/AF213-1</f>
        <v/>
      </c>
      <c r="AH214" s="524">
        <f>0.5*(ABS(L213-L212)+ABS(U213-U212)+ABS(AD213-AD212)+ABS(AE213-AE212))</f>
        <v/>
      </c>
      <c r="AI214" s="524">
        <f>L213*F214+U213*O214+AD213*X214+AE213*AG214</f>
        <v/>
      </c>
      <c r="AJ214" s="524">
        <f>AH214*$P$11</f>
        <v/>
      </c>
      <c r="AK214" s="524">
        <f>AI214-AJ214</f>
        <v/>
      </c>
      <c r="AL214" s="368">
        <f>AL213*(1+AK214)</f>
        <v/>
      </c>
      <c r="AM214" s="368">
        <f>MAX($AL$40:AL214)</f>
        <v/>
      </c>
      <c r="AN214" s="524">
        <f>AL214/AM214-1</f>
        <v/>
      </c>
      <c r="AO214" s="526">
        <f>AK214-AG214</f>
        <v/>
      </c>
    </row>
    <row r="215">
      <c r="C215" s="503" t="n">
        <v>45900</v>
      </c>
      <c r="D215" s="368">
        <f>D4443</f>
        <v/>
      </c>
      <c r="E215" s="368">
        <f>H4443</f>
        <v/>
      </c>
      <c r="F215" s="524">
        <f>D215/D214-1</f>
        <v/>
      </c>
      <c r="G215" s="524">
        <f>D215/D212-1</f>
        <v/>
      </c>
      <c r="H215" s="524">
        <f>D215/D209-1</f>
        <v/>
      </c>
      <c r="I215" s="524">
        <f>D215/D203-1</f>
        <v/>
      </c>
      <c r="J215" s="524">
        <f>STDEV.S(F204:F215)*SQRT(12)</f>
        <v/>
      </c>
      <c r="K215" s="368">
        <f>IF(AND(G215&gt;$P$6,H215&gt;$P$7,I215&gt;$P$8,D215&gt;E215,J215&lt;$P$10),1,0)</f>
        <v/>
      </c>
      <c r="L215" s="525">
        <f>IF(SUM(K215,T215,AC215)=0,0,K215/SUM(K215,T215,AC215))</f>
        <v/>
      </c>
      <c r="M215" s="368">
        <f>E4443</f>
        <v/>
      </c>
      <c r="N215" s="368">
        <f>I4443</f>
        <v/>
      </c>
      <c r="O215" s="524">
        <f>M215/M214-1</f>
        <v/>
      </c>
      <c r="P215" s="524">
        <f>M215/M212-1</f>
        <v/>
      </c>
      <c r="Q215" s="524">
        <f>M215/M209-1</f>
        <v/>
      </c>
      <c r="R215" s="524">
        <f>M215/M203-1</f>
        <v/>
      </c>
      <c r="S215" s="524">
        <f>STDEV.S(O204:O215)*SQRT(12)</f>
        <v/>
      </c>
      <c r="T215" s="368">
        <f>IF(AND(P215&gt;$P$6,Q215&gt;$P$7,R215&gt;$P$8,M215&gt;N215,S215&lt;$P$10),1,0)</f>
        <v/>
      </c>
      <c r="U215" s="525">
        <f>IF(SUM(K215,T215,AC215)=0,0,T215/SUM(K215,T215,AC215))</f>
        <v/>
      </c>
      <c r="V215" s="368">
        <f>F4443</f>
        <v/>
      </c>
      <c r="W215" s="368">
        <f>J4443</f>
        <v/>
      </c>
      <c r="X215" s="524">
        <f>V215/V214-1</f>
        <v/>
      </c>
      <c r="Y215" s="524">
        <f>V215/V212-1</f>
        <v/>
      </c>
      <c r="Z215" s="524">
        <f>V215/V209-1</f>
        <v/>
      </c>
      <c r="AA215" s="524">
        <f>V215/V203-1</f>
        <v/>
      </c>
      <c r="AB215" s="524">
        <f>STDEV.S(X204:X215)*SQRT(12)</f>
        <v/>
      </c>
      <c r="AC215" s="368">
        <f>IF(AND(Y215&gt;$P$6,Z215&gt;$P$7,AA215&gt;$P$8,V215&gt;W215,AB215&lt;$P$10),1,0)</f>
        <v/>
      </c>
      <c r="AD215" s="525">
        <f>IF(SUM(K215,T215,AC215)=0,0,AC215/SUM(K215,T215,AC215))</f>
        <v/>
      </c>
      <c r="AE215" s="525">
        <f>IF(SUM(K215,T215,AC215)=0,1,0)</f>
        <v/>
      </c>
      <c r="AF215" s="368">
        <f>G4443</f>
        <v/>
      </c>
      <c r="AG215" s="524">
        <f>AF215/AF214-1</f>
        <v/>
      </c>
      <c r="AH215" s="524">
        <f>0.5*(ABS(L214-L213)+ABS(U214-U213)+ABS(AD214-AD213)+ABS(AE214-AE213))</f>
        <v/>
      </c>
      <c r="AI215" s="524">
        <f>L214*F215+U214*O215+AD214*X215+AE214*AG215</f>
        <v/>
      </c>
      <c r="AJ215" s="524">
        <f>AH215*$P$11</f>
        <v/>
      </c>
      <c r="AK215" s="524">
        <f>AI215-AJ215</f>
        <v/>
      </c>
      <c r="AL215" s="368">
        <f>AL214*(1+AK215)</f>
        <v/>
      </c>
      <c r="AM215" s="368">
        <f>MAX($AL$40:AL215)</f>
        <v/>
      </c>
      <c r="AN215" s="524">
        <f>AL215/AM215-1</f>
        <v/>
      </c>
      <c r="AO215" s="526">
        <f>AK215-AG215</f>
        <v/>
      </c>
    </row>
    <row r="216">
      <c r="C216" s="503" t="n">
        <v>45930</v>
      </c>
      <c r="D216" s="368">
        <f>D4464</f>
        <v/>
      </c>
      <c r="E216" s="368">
        <f>H4464</f>
        <v/>
      </c>
      <c r="F216" s="524">
        <f>D216/D215-1</f>
        <v/>
      </c>
      <c r="G216" s="524">
        <f>D216/D213-1</f>
        <v/>
      </c>
      <c r="H216" s="524">
        <f>D216/D210-1</f>
        <v/>
      </c>
      <c r="I216" s="524">
        <f>D216/D204-1</f>
        <v/>
      </c>
      <c r="J216" s="524">
        <f>STDEV.S(F205:F216)*SQRT(12)</f>
        <v/>
      </c>
      <c r="K216" s="368">
        <f>IF(AND(G216&gt;$P$6,H216&gt;$P$7,I216&gt;$P$8,D216&gt;E216,J216&lt;$P$10),1,0)</f>
        <v/>
      </c>
      <c r="L216" s="525">
        <f>IF(SUM(K216,T216,AC216)=0,0,K216/SUM(K216,T216,AC216))</f>
        <v/>
      </c>
      <c r="M216" s="368">
        <f>E4464</f>
        <v/>
      </c>
      <c r="N216" s="368">
        <f>I4464</f>
        <v/>
      </c>
      <c r="O216" s="524">
        <f>M216/M215-1</f>
        <v/>
      </c>
      <c r="P216" s="524">
        <f>M216/M213-1</f>
        <v/>
      </c>
      <c r="Q216" s="524">
        <f>M216/M210-1</f>
        <v/>
      </c>
      <c r="R216" s="524">
        <f>M216/M204-1</f>
        <v/>
      </c>
      <c r="S216" s="524">
        <f>STDEV.S(O205:O216)*SQRT(12)</f>
        <v/>
      </c>
      <c r="T216" s="368">
        <f>IF(AND(P216&gt;$P$6,Q216&gt;$P$7,R216&gt;$P$8,M216&gt;N216,S216&lt;$P$10),1,0)</f>
        <v/>
      </c>
      <c r="U216" s="525">
        <f>IF(SUM(K216,T216,AC216)=0,0,T216/SUM(K216,T216,AC216))</f>
        <v/>
      </c>
      <c r="V216" s="368">
        <f>F4464</f>
        <v/>
      </c>
      <c r="W216" s="368">
        <f>J4464</f>
        <v/>
      </c>
      <c r="X216" s="524">
        <f>V216/V215-1</f>
        <v/>
      </c>
      <c r="Y216" s="524">
        <f>V216/V213-1</f>
        <v/>
      </c>
      <c r="Z216" s="524">
        <f>V216/V210-1</f>
        <v/>
      </c>
      <c r="AA216" s="524">
        <f>V216/V204-1</f>
        <v/>
      </c>
      <c r="AB216" s="524">
        <f>STDEV.S(X205:X216)*SQRT(12)</f>
        <v/>
      </c>
      <c r="AC216" s="368">
        <f>IF(AND(Y216&gt;$P$6,Z216&gt;$P$7,AA216&gt;$P$8,V216&gt;W216,AB216&lt;$P$10),1,0)</f>
        <v/>
      </c>
      <c r="AD216" s="525">
        <f>IF(SUM(K216,T216,AC216)=0,0,AC216/SUM(K216,T216,AC216))</f>
        <v/>
      </c>
      <c r="AE216" s="525">
        <f>IF(SUM(K216,T216,AC216)=0,1,0)</f>
        <v/>
      </c>
      <c r="AF216" s="368">
        <f>G4464</f>
        <v/>
      </c>
      <c r="AG216" s="524">
        <f>AF216/AF215-1</f>
        <v/>
      </c>
      <c r="AH216" s="524">
        <f>0.5*(ABS(L215-L214)+ABS(U215-U214)+ABS(AD215-AD214)+ABS(AE215-AE214))</f>
        <v/>
      </c>
      <c r="AI216" s="524">
        <f>L215*F216+U215*O216+AD215*X216+AE215*AG216</f>
        <v/>
      </c>
      <c r="AJ216" s="524">
        <f>AH216*$P$11</f>
        <v/>
      </c>
      <c r="AK216" s="524">
        <f>AI216-AJ216</f>
        <v/>
      </c>
      <c r="AL216" s="368">
        <f>AL215*(1+AK216)</f>
        <v/>
      </c>
      <c r="AM216" s="368">
        <f>MAX($AL$40:AL216)</f>
        <v/>
      </c>
      <c r="AN216" s="524">
        <f>AL216/AM216-1</f>
        <v/>
      </c>
      <c r="AO216" s="526">
        <f>AK216-AG216</f>
        <v/>
      </c>
    </row>
    <row r="217">
      <c r="C217" s="503" t="n">
        <v>45961</v>
      </c>
      <c r="D217" s="368">
        <f>D4487</f>
        <v/>
      </c>
      <c r="E217" s="368">
        <f>H4487</f>
        <v/>
      </c>
      <c r="F217" s="524">
        <f>D217/D216-1</f>
        <v/>
      </c>
      <c r="G217" s="524">
        <f>D217/D214-1</f>
        <v/>
      </c>
      <c r="H217" s="524">
        <f>D217/D211-1</f>
        <v/>
      </c>
      <c r="I217" s="524">
        <f>D217/D205-1</f>
        <v/>
      </c>
      <c r="J217" s="524">
        <f>STDEV.S(F206:F217)*SQRT(12)</f>
        <v/>
      </c>
      <c r="K217" s="368">
        <f>IF(AND(G217&gt;$P$6,H217&gt;$P$7,I217&gt;$P$8,D217&gt;E217,J217&lt;$P$10),1,0)</f>
        <v/>
      </c>
      <c r="L217" s="525">
        <f>IF(SUM(K217,T217,AC217)=0,0,K217/SUM(K217,T217,AC217))</f>
        <v/>
      </c>
      <c r="M217" s="368">
        <f>E4487</f>
        <v/>
      </c>
      <c r="N217" s="368">
        <f>I4487</f>
        <v/>
      </c>
      <c r="O217" s="524">
        <f>M217/M216-1</f>
        <v/>
      </c>
      <c r="P217" s="524">
        <f>M217/M214-1</f>
        <v/>
      </c>
      <c r="Q217" s="524">
        <f>M217/M211-1</f>
        <v/>
      </c>
      <c r="R217" s="524">
        <f>M217/M205-1</f>
        <v/>
      </c>
      <c r="S217" s="524">
        <f>STDEV.S(O206:O217)*SQRT(12)</f>
        <v/>
      </c>
      <c r="T217" s="368">
        <f>IF(AND(P217&gt;$P$6,Q217&gt;$P$7,R217&gt;$P$8,M217&gt;N217,S217&lt;$P$10),1,0)</f>
        <v/>
      </c>
      <c r="U217" s="525">
        <f>IF(SUM(K217,T217,AC217)=0,0,T217/SUM(K217,T217,AC217))</f>
        <v/>
      </c>
      <c r="V217" s="368">
        <f>F4487</f>
        <v/>
      </c>
      <c r="W217" s="368">
        <f>J4487</f>
        <v/>
      </c>
      <c r="X217" s="524">
        <f>V217/V216-1</f>
        <v/>
      </c>
      <c r="Y217" s="524">
        <f>V217/V214-1</f>
        <v/>
      </c>
      <c r="Z217" s="524">
        <f>V217/V211-1</f>
        <v/>
      </c>
      <c r="AA217" s="524">
        <f>V217/V205-1</f>
        <v/>
      </c>
      <c r="AB217" s="524">
        <f>STDEV.S(X206:X217)*SQRT(12)</f>
        <v/>
      </c>
      <c r="AC217" s="368">
        <f>IF(AND(Y217&gt;$P$6,Z217&gt;$P$7,AA217&gt;$P$8,V217&gt;W217,AB217&lt;$P$10),1,0)</f>
        <v/>
      </c>
      <c r="AD217" s="525">
        <f>IF(SUM(K217,T217,AC217)=0,0,AC217/SUM(K217,T217,AC217))</f>
        <v/>
      </c>
      <c r="AE217" s="525">
        <f>IF(SUM(K217,T217,AC217)=0,1,0)</f>
        <v/>
      </c>
      <c r="AF217" s="368">
        <f>G4487</f>
        <v/>
      </c>
      <c r="AG217" s="524">
        <f>AF217/AF216-1</f>
        <v/>
      </c>
      <c r="AH217" s="524">
        <f>0.5*(ABS(L216-L215)+ABS(U216-U215)+ABS(AD216-AD215)+ABS(AE216-AE215))</f>
        <v/>
      </c>
      <c r="AI217" s="524">
        <f>L216*F217+U216*O217+AD216*X217+AE216*AG217</f>
        <v/>
      </c>
      <c r="AJ217" s="524">
        <f>AH217*$P$11</f>
        <v/>
      </c>
      <c r="AK217" s="524">
        <f>AI217-AJ217</f>
        <v/>
      </c>
      <c r="AL217" s="368">
        <f>AL216*(1+AK217)</f>
        <v/>
      </c>
      <c r="AM217" s="368">
        <f>MAX($AL$40:AL217)</f>
        <v/>
      </c>
      <c r="AN217" s="524">
        <f>AL217/AM217-1</f>
        <v/>
      </c>
      <c r="AO217" s="526">
        <f>AK217-AG217</f>
        <v/>
      </c>
    </row>
    <row r="218">
      <c r="C218" s="503" t="n">
        <v>45991</v>
      </c>
      <c r="D218" s="368">
        <f>D4506</f>
        <v/>
      </c>
      <c r="E218" s="368">
        <f>H4506</f>
        <v/>
      </c>
      <c r="F218" s="524">
        <f>D218/D217-1</f>
        <v/>
      </c>
      <c r="G218" s="524">
        <f>D218/D215-1</f>
        <v/>
      </c>
      <c r="H218" s="524">
        <f>D218/D212-1</f>
        <v/>
      </c>
      <c r="I218" s="524">
        <f>D218/D206-1</f>
        <v/>
      </c>
      <c r="J218" s="524">
        <f>STDEV.S(F207:F218)*SQRT(12)</f>
        <v/>
      </c>
      <c r="K218" s="368">
        <f>IF(AND(G218&gt;$P$6,H218&gt;$P$7,I218&gt;$P$8,D218&gt;E218,J218&lt;$P$10),1,0)</f>
        <v/>
      </c>
      <c r="L218" s="525">
        <f>IF(SUM(K218,T218,AC218)=0,0,K218/SUM(K218,T218,AC218))</f>
        <v/>
      </c>
      <c r="M218" s="368">
        <f>E4506</f>
        <v/>
      </c>
      <c r="N218" s="368">
        <f>I4506</f>
        <v/>
      </c>
      <c r="O218" s="524">
        <f>M218/M217-1</f>
        <v/>
      </c>
      <c r="P218" s="524">
        <f>M218/M215-1</f>
        <v/>
      </c>
      <c r="Q218" s="524">
        <f>M218/M212-1</f>
        <v/>
      </c>
      <c r="R218" s="524">
        <f>M218/M206-1</f>
        <v/>
      </c>
      <c r="S218" s="524">
        <f>STDEV.S(O207:O218)*SQRT(12)</f>
        <v/>
      </c>
      <c r="T218" s="368">
        <f>IF(AND(P218&gt;$P$6,Q218&gt;$P$7,R218&gt;$P$8,M218&gt;N218,S218&lt;$P$10),1,0)</f>
        <v/>
      </c>
      <c r="U218" s="525">
        <f>IF(SUM(K218,T218,AC218)=0,0,T218/SUM(K218,T218,AC218))</f>
        <v/>
      </c>
      <c r="V218" s="368">
        <f>F4506</f>
        <v/>
      </c>
      <c r="W218" s="368">
        <f>J4506</f>
        <v/>
      </c>
      <c r="X218" s="524">
        <f>V218/V217-1</f>
        <v/>
      </c>
      <c r="Y218" s="524">
        <f>V218/V215-1</f>
        <v/>
      </c>
      <c r="Z218" s="524">
        <f>V218/V212-1</f>
        <v/>
      </c>
      <c r="AA218" s="524">
        <f>V218/V206-1</f>
        <v/>
      </c>
      <c r="AB218" s="524">
        <f>STDEV.S(X207:X218)*SQRT(12)</f>
        <v/>
      </c>
      <c r="AC218" s="368">
        <f>IF(AND(Y218&gt;$P$6,Z218&gt;$P$7,AA218&gt;$P$8,V218&gt;W218,AB218&lt;$P$10),1,0)</f>
        <v/>
      </c>
      <c r="AD218" s="525">
        <f>IF(SUM(K218,T218,AC218)=0,0,AC218/SUM(K218,T218,AC218))</f>
        <v/>
      </c>
      <c r="AE218" s="525">
        <f>IF(SUM(K218,T218,AC218)=0,1,0)</f>
        <v/>
      </c>
      <c r="AF218" s="368">
        <f>G4506</f>
        <v/>
      </c>
      <c r="AG218" s="524">
        <f>AF218/AF217-1</f>
        <v/>
      </c>
      <c r="AH218" s="524">
        <f>0.5*(ABS(L217-L216)+ABS(U217-U216)+ABS(AD217-AD216)+ABS(AE217-AE216))</f>
        <v/>
      </c>
      <c r="AI218" s="524">
        <f>L217*F218+U217*O218+AD217*X218+AE217*AG218</f>
        <v/>
      </c>
      <c r="AJ218" s="524">
        <f>AH218*$P$11</f>
        <v/>
      </c>
      <c r="AK218" s="524">
        <f>AI218-AJ218</f>
        <v/>
      </c>
      <c r="AL218" s="368">
        <f>AL217*(1+AK218)</f>
        <v/>
      </c>
      <c r="AM218" s="368">
        <f>MAX($AL$40:AL218)</f>
        <v/>
      </c>
      <c r="AN218" s="524">
        <f>AL218/AM218-1</f>
        <v/>
      </c>
      <c r="AO218" s="526">
        <f>AK218-AG218</f>
        <v/>
      </c>
    </row>
    <row r="219">
      <c r="C219" s="503" t="n">
        <v>46022</v>
      </c>
      <c r="D219" s="368">
        <f>D4528</f>
        <v/>
      </c>
      <c r="E219" s="368">
        <f>H4528</f>
        <v/>
      </c>
      <c r="F219" s="524">
        <f>D219/D218-1</f>
        <v/>
      </c>
      <c r="G219" s="524">
        <f>D219/D216-1</f>
        <v/>
      </c>
      <c r="H219" s="524">
        <f>D219/D213-1</f>
        <v/>
      </c>
      <c r="I219" s="524">
        <f>D219/D207-1</f>
        <v/>
      </c>
      <c r="J219" s="524">
        <f>STDEV.S(F208:F219)*SQRT(12)</f>
        <v/>
      </c>
      <c r="K219" s="368">
        <f>IF(AND(G219&gt;$P$6,H219&gt;$P$7,I219&gt;$P$8,D219&gt;E219,J219&lt;$P$10),1,0)</f>
        <v/>
      </c>
      <c r="L219" s="525">
        <f>IF(SUM(K219,T219,AC219)=0,0,K219/SUM(K219,T219,AC219))</f>
        <v/>
      </c>
      <c r="M219" s="368">
        <f>E4528</f>
        <v/>
      </c>
      <c r="N219" s="368">
        <f>I4528</f>
        <v/>
      </c>
      <c r="O219" s="524">
        <f>M219/M218-1</f>
        <v/>
      </c>
      <c r="P219" s="524">
        <f>M219/M216-1</f>
        <v/>
      </c>
      <c r="Q219" s="524">
        <f>M219/M213-1</f>
        <v/>
      </c>
      <c r="R219" s="524">
        <f>M219/M207-1</f>
        <v/>
      </c>
      <c r="S219" s="524">
        <f>STDEV.S(O208:O219)*SQRT(12)</f>
        <v/>
      </c>
      <c r="T219" s="368">
        <f>IF(AND(P219&gt;$P$6,Q219&gt;$P$7,R219&gt;$P$8,M219&gt;N219,S219&lt;$P$10),1,0)</f>
        <v/>
      </c>
      <c r="U219" s="525">
        <f>IF(SUM(K219,T219,AC219)=0,0,T219/SUM(K219,T219,AC219))</f>
        <v/>
      </c>
      <c r="V219" s="368">
        <f>F4528</f>
        <v/>
      </c>
      <c r="W219" s="368">
        <f>J4528</f>
        <v/>
      </c>
      <c r="X219" s="524">
        <f>V219/V218-1</f>
        <v/>
      </c>
      <c r="Y219" s="524">
        <f>V219/V216-1</f>
        <v/>
      </c>
      <c r="Z219" s="524">
        <f>V219/V213-1</f>
        <v/>
      </c>
      <c r="AA219" s="524">
        <f>V219/V207-1</f>
        <v/>
      </c>
      <c r="AB219" s="524">
        <f>STDEV.S(X208:X219)*SQRT(12)</f>
        <v/>
      </c>
      <c r="AC219" s="368">
        <f>IF(AND(Y219&gt;$P$6,Z219&gt;$P$7,AA219&gt;$P$8,V219&gt;W219,AB219&lt;$P$10),1,0)</f>
        <v/>
      </c>
      <c r="AD219" s="525">
        <f>IF(SUM(K219,T219,AC219)=0,0,AC219/SUM(K219,T219,AC219))</f>
        <v/>
      </c>
      <c r="AE219" s="525">
        <f>IF(SUM(K219,T219,AC219)=0,1,0)</f>
        <v/>
      </c>
      <c r="AF219" s="368">
        <f>G4528</f>
        <v/>
      </c>
      <c r="AG219" s="524">
        <f>AF219/AF218-1</f>
        <v/>
      </c>
      <c r="AH219" s="524">
        <f>0.5*(ABS(L218-L217)+ABS(U218-U217)+ABS(AD218-AD217)+ABS(AE218-AE217))</f>
        <v/>
      </c>
      <c r="AI219" s="524">
        <f>L218*F219+U218*O219+AD218*X219+AE218*AG219</f>
        <v/>
      </c>
      <c r="AJ219" s="524">
        <f>AH219*$P$11</f>
        <v/>
      </c>
      <c r="AK219" s="524">
        <f>AI219-AJ219</f>
        <v/>
      </c>
      <c r="AL219" s="368">
        <f>AL218*(1+AK219)</f>
        <v/>
      </c>
      <c r="AM219" s="368">
        <f>MAX($AL$40:AL219)</f>
        <v/>
      </c>
      <c r="AN219" s="524">
        <f>AL219/AM219-1</f>
        <v/>
      </c>
      <c r="AO219" s="526">
        <f>AK219-AG219</f>
        <v/>
      </c>
    </row>
    <row r="220">
      <c r="C220" s="527" t="inlineStr">
        <is>
          <t>DATOS DIARIOS DE SOPORTE Y MEDIAS MÓVILES</t>
        </is>
      </c>
      <c r="D220" s="528" t="n"/>
      <c r="E220" s="528" t="n"/>
      <c r="F220" s="528" t="n"/>
      <c r="G220" s="528" t="n"/>
      <c r="H220" s="528" t="n"/>
      <c r="I220" s="528" t="n"/>
      <c r="J220" s="529" t="n"/>
      <c r="K220" s="368">
        <f>IF(AND(G220&gt;$P$6,H220&gt;$P$7,I220&gt;$P$8,D220&gt;E220,J220&lt;$P$10),1,0)</f>
        <v/>
      </c>
      <c r="L220" s="525">
        <f>IF(SUM(K220,T220,AC220)=0,0,K220/SUM(K220,T220,AC220))</f>
        <v/>
      </c>
      <c r="M220" s="368">
        <f>E4548</f>
        <v/>
      </c>
      <c r="N220" s="368">
        <f>I4548</f>
        <v/>
      </c>
      <c r="O220" s="524">
        <f>M220/M219-1</f>
        <v/>
      </c>
      <c r="P220" s="524">
        <f>M220/M217-1</f>
        <v/>
      </c>
      <c r="Q220" s="524">
        <f>M220/M214-1</f>
        <v/>
      </c>
      <c r="R220" s="524">
        <f>M220/M208-1</f>
        <v/>
      </c>
      <c r="S220" s="524">
        <f>STDEV.S(O209:O220)*SQRT(12)</f>
        <v/>
      </c>
      <c r="T220" s="368">
        <f>IF(AND(P220&gt;$P$6,Q220&gt;$P$7,R220&gt;$P$8,M220&gt;N220,S220&lt;$P$10),1,0)</f>
        <v/>
      </c>
      <c r="U220" s="525">
        <f>IF(SUM(K220,T220,AC220)=0,0,T220/SUM(K220,T220,AC220))</f>
        <v/>
      </c>
      <c r="V220" s="368">
        <f>F4548</f>
        <v/>
      </c>
      <c r="W220" s="368">
        <f>J4548</f>
        <v/>
      </c>
      <c r="X220" s="524">
        <f>V220/V219-1</f>
        <v/>
      </c>
      <c r="Y220" s="524">
        <f>V220/V217-1</f>
        <v/>
      </c>
      <c r="Z220" s="524">
        <f>V220/V214-1</f>
        <v/>
      </c>
      <c r="AA220" s="524">
        <f>V220/V208-1</f>
        <v/>
      </c>
      <c r="AB220" s="524">
        <f>STDEV.S(X209:X220)*SQRT(12)</f>
        <v/>
      </c>
      <c r="AC220" s="368">
        <f>IF(AND(Y220&gt;$P$6,Z220&gt;$P$7,AA220&gt;$P$8,V220&gt;W220,AB220&lt;$P$10),1,0)</f>
        <v/>
      </c>
      <c r="AD220" s="525">
        <f>IF(SUM(K220,T220,AC220)=0,0,AC220/SUM(K220,T220,AC220))</f>
        <v/>
      </c>
      <c r="AE220" s="525">
        <f>IF(SUM(K220,T220,AC220)=0,1,0)</f>
        <v/>
      </c>
      <c r="AF220" s="368">
        <f>G4548</f>
        <v/>
      </c>
      <c r="AG220" s="524">
        <f>AF220/AF219-1</f>
        <v/>
      </c>
      <c r="AH220" s="524">
        <f>0.5*(ABS(L219-L218)+ABS(U219-U218)+ABS(AD219-AD218)+ABS(AE219-AE218))</f>
        <v/>
      </c>
      <c r="AI220" s="524">
        <f>L219*F220+U219*O220+AD219*X220+AE219*AG220</f>
        <v/>
      </c>
      <c r="AJ220" s="524">
        <f>AH220*$P$11</f>
        <v/>
      </c>
      <c r="AK220" s="524">
        <f>AI220-AJ220</f>
        <v/>
      </c>
      <c r="AL220" s="368">
        <f>AL219*(1+AK220)</f>
        <v/>
      </c>
      <c r="AM220" s="368">
        <f>MAX($AL$40:AL220)</f>
        <v/>
      </c>
      <c r="AN220" s="524">
        <f>AL220/AM220-1</f>
        <v/>
      </c>
      <c r="AO220" s="526">
        <f>AK220-AG220</f>
        <v/>
      </c>
    </row>
    <row r="221">
      <c r="C221" s="530" t="inlineStr">
        <is>
          <t>Fuente: Yahoo Finance Adjusted Close, consultado el 10-sep-2026. Las medias móviles usan exactamente 200 ruedas. El backtest mensual referencia el último día negociado de cada mes. USO incorpora el efecto económico de la estructura de futuros y gastos del ETF; por eso no equivale al retorno spot del petróleo.</t>
        </is>
      </c>
      <c r="D221" s="531" t="n"/>
      <c r="E221" s="531" t="n"/>
      <c r="F221" s="531" t="n"/>
      <c r="G221" s="531" t="n"/>
      <c r="H221" s="531" t="n"/>
      <c r="I221" s="531" t="n"/>
      <c r="J221" s="532" t="n"/>
      <c r="K221" s="368">
        <f>IF(AND(G221&gt;$P$6,H221&gt;$P$7,I221&gt;$P$8,D221&gt;E221,J221&lt;$P$10),1,0)</f>
        <v/>
      </c>
      <c r="L221" s="525">
        <f>IF(SUM(K221,T221,AC221)=0,0,K221/SUM(K221,T221,AC221))</f>
        <v/>
      </c>
      <c r="M221" s="368">
        <f>E4567</f>
        <v/>
      </c>
      <c r="N221" s="368">
        <f>I4567</f>
        <v/>
      </c>
      <c r="O221" s="524">
        <f>M221/M220-1</f>
        <v/>
      </c>
      <c r="P221" s="524">
        <f>M221/M218-1</f>
        <v/>
      </c>
      <c r="Q221" s="524">
        <f>M221/M215-1</f>
        <v/>
      </c>
      <c r="R221" s="524">
        <f>M221/M209-1</f>
        <v/>
      </c>
      <c r="S221" s="524">
        <f>STDEV.S(O210:O221)*SQRT(12)</f>
        <v/>
      </c>
      <c r="T221" s="368">
        <f>IF(AND(P221&gt;$P$6,Q221&gt;$P$7,R221&gt;$P$8,M221&gt;N221,S221&lt;$P$10),1,0)</f>
        <v/>
      </c>
      <c r="U221" s="525">
        <f>IF(SUM(K221,T221,AC221)=0,0,T221/SUM(K221,T221,AC221))</f>
        <v/>
      </c>
      <c r="V221" s="368">
        <f>F4567</f>
        <v/>
      </c>
      <c r="W221" s="368">
        <f>J4567</f>
        <v/>
      </c>
      <c r="X221" s="524">
        <f>V221/V220-1</f>
        <v/>
      </c>
      <c r="Y221" s="524">
        <f>V221/V218-1</f>
        <v/>
      </c>
      <c r="Z221" s="524">
        <f>V221/V215-1</f>
        <v/>
      </c>
      <c r="AA221" s="524">
        <f>V221/V209-1</f>
        <v/>
      </c>
      <c r="AB221" s="524">
        <f>STDEV.S(X210:X221)*SQRT(12)</f>
        <v/>
      </c>
      <c r="AC221" s="368">
        <f>IF(AND(Y221&gt;$P$6,Z221&gt;$P$7,AA221&gt;$P$8,V221&gt;W221,AB221&lt;$P$10),1,0)</f>
        <v/>
      </c>
      <c r="AD221" s="525">
        <f>IF(SUM(K221,T221,AC221)=0,0,AC221/SUM(K221,T221,AC221))</f>
        <v/>
      </c>
      <c r="AE221" s="525">
        <f>IF(SUM(K221,T221,AC221)=0,1,0)</f>
        <v/>
      </c>
      <c r="AF221" s="368">
        <f>G4567</f>
        <v/>
      </c>
      <c r="AG221" s="524">
        <f>AF221/AF220-1</f>
        <v/>
      </c>
      <c r="AH221" s="524">
        <f>0.5*(ABS(L220-L219)+ABS(U220-U219)+ABS(AD220-AD219)+ABS(AE220-AE219))</f>
        <v/>
      </c>
      <c r="AI221" s="524">
        <f>L220*F221+U220*O221+AD220*X221+AE220*AG221</f>
        <v/>
      </c>
      <c r="AJ221" s="524">
        <f>AH221*$P$11</f>
        <v/>
      </c>
      <c r="AK221" s="524">
        <f>AI221-AJ221</f>
        <v/>
      </c>
      <c r="AL221" s="368">
        <f>AL220*(1+AK221)</f>
        <v/>
      </c>
      <c r="AM221" s="368">
        <f>MAX($AL$40:AL221)</f>
        <v/>
      </c>
      <c r="AN221" s="524">
        <f>AL221/AM221-1</f>
        <v/>
      </c>
      <c r="AO221" s="526">
        <f>AK221-AG221</f>
        <v/>
      </c>
    </row>
    <row r="222">
      <c r="C222" s="533" t="n"/>
      <c r="J222" s="534" t="n"/>
      <c r="K222" s="368">
        <f>IF(AND(G222&gt;$P$6,H222&gt;$P$7,I222&gt;$P$8,D222&gt;E222,J222&lt;$P$10),1,0)</f>
        <v/>
      </c>
      <c r="L222" s="525">
        <f>IF(SUM(K222,T222,AC222)=0,0,K222/SUM(K222,T222,AC222))</f>
        <v/>
      </c>
      <c r="M222" s="368">
        <f>E4589</f>
        <v/>
      </c>
      <c r="N222" s="368">
        <f>I4589</f>
        <v/>
      </c>
      <c r="O222" s="524">
        <f>M222/M221-1</f>
        <v/>
      </c>
      <c r="P222" s="524">
        <f>M222/M219-1</f>
        <v/>
      </c>
      <c r="Q222" s="524">
        <f>M222/M216-1</f>
        <v/>
      </c>
      <c r="R222" s="524">
        <f>M222/M210-1</f>
        <v/>
      </c>
      <c r="S222" s="524">
        <f>STDEV.S(O211:O222)*SQRT(12)</f>
        <v/>
      </c>
      <c r="T222" s="368">
        <f>IF(AND(P222&gt;$P$6,Q222&gt;$P$7,R222&gt;$P$8,M222&gt;N222,S222&lt;$P$10),1,0)</f>
        <v/>
      </c>
      <c r="U222" s="525">
        <f>IF(SUM(K222,T222,AC222)=0,0,T222/SUM(K222,T222,AC222))</f>
        <v/>
      </c>
      <c r="V222" s="368">
        <f>F4589</f>
        <v/>
      </c>
      <c r="W222" s="368">
        <f>J4589</f>
        <v/>
      </c>
      <c r="X222" s="524">
        <f>V222/V221-1</f>
        <v/>
      </c>
      <c r="Y222" s="524">
        <f>V222/V219-1</f>
        <v/>
      </c>
      <c r="Z222" s="524">
        <f>V222/V216-1</f>
        <v/>
      </c>
      <c r="AA222" s="524">
        <f>V222/V210-1</f>
        <v/>
      </c>
      <c r="AB222" s="524">
        <f>STDEV.S(X211:X222)*SQRT(12)</f>
        <v/>
      </c>
      <c r="AC222" s="368">
        <f>IF(AND(Y222&gt;$P$6,Z222&gt;$P$7,AA222&gt;$P$8,V222&gt;W222,AB222&lt;$P$10),1,0)</f>
        <v/>
      </c>
      <c r="AD222" s="525">
        <f>IF(SUM(K222,T222,AC222)=0,0,AC222/SUM(K222,T222,AC222))</f>
        <v/>
      </c>
      <c r="AE222" s="525">
        <f>IF(SUM(K222,T222,AC222)=0,1,0)</f>
        <v/>
      </c>
      <c r="AF222" s="368">
        <f>G4589</f>
        <v/>
      </c>
      <c r="AG222" s="524">
        <f>AF222/AF221-1</f>
        <v/>
      </c>
      <c r="AH222" s="524">
        <f>0.5*(ABS(L221-L220)+ABS(U221-U220)+ABS(AD221-AD220)+ABS(AE221-AE220))</f>
        <v/>
      </c>
      <c r="AI222" s="524">
        <f>L221*F222+U221*O222+AD221*X222+AE221*AG222</f>
        <v/>
      </c>
      <c r="AJ222" s="524">
        <f>AH222*$P$11</f>
        <v/>
      </c>
      <c r="AK222" s="524">
        <f>AI222-AJ222</f>
        <v/>
      </c>
      <c r="AL222" s="368">
        <f>AL221*(1+AK222)</f>
        <v/>
      </c>
      <c r="AM222" s="368">
        <f>MAX($AL$40:AL222)</f>
        <v/>
      </c>
      <c r="AN222" s="524">
        <f>AL222/AM222-1</f>
        <v/>
      </c>
      <c r="AO222" s="526">
        <f>AK222-AG222</f>
        <v/>
      </c>
    </row>
    <row r="223">
      <c r="C223" s="533" t="n"/>
      <c r="J223" s="534" t="n"/>
      <c r="K223" s="368">
        <f>IF(AND(G223&gt;$P$6,H223&gt;$P$7,I223&gt;$P$8,D223&gt;E223,J223&lt;$P$10),1,0)</f>
        <v/>
      </c>
      <c r="L223" s="525">
        <f>IF(SUM(K223,T223,AC223)=0,0,K223/SUM(K223,T223,AC223))</f>
        <v/>
      </c>
      <c r="M223" s="368">
        <f>E4610</f>
        <v/>
      </c>
      <c r="N223" s="368">
        <f>I4610</f>
        <v/>
      </c>
      <c r="O223" s="524">
        <f>M223/M222-1</f>
        <v/>
      </c>
      <c r="P223" s="524">
        <f>M223/M220-1</f>
        <v/>
      </c>
      <c r="Q223" s="524">
        <f>M223/M217-1</f>
        <v/>
      </c>
      <c r="R223" s="524">
        <f>M223/M211-1</f>
        <v/>
      </c>
      <c r="S223" s="524">
        <f>STDEV.S(O212:O223)*SQRT(12)</f>
        <v/>
      </c>
      <c r="T223" s="368">
        <f>IF(AND(P223&gt;$P$6,Q223&gt;$P$7,R223&gt;$P$8,M223&gt;N223,S223&lt;$P$10),1,0)</f>
        <v/>
      </c>
      <c r="U223" s="525">
        <f>IF(SUM(K223,T223,AC223)=0,0,T223/SUM(K223,T223,AC223))</f>
        <v/>
      </c>
      <c r="V223" s="368">
        <f>F4610</f>
        <v/>
      </c>
      <c r="W223" s="368">
        <f>J4610</f>
        <v/>
      </c>
      <c r="X223" s="524">
        <f>V223/V222-1</f>
        <v/>
      </c>
      <c r="Y223" s="524">
        <f>V223/V220-1</f>
        <v/>
      </c>
      <c r="Z223" s="524">
        <f>V223/V217-1</f>
        <v/>
      </c>
      <c r="AA223" s="524">
        <f>V223/V211-1</f>
        <v/>
      </c>
      <c r="AB223" s="524">
        <f>STDEV.S(X212:X223)*SQRT(12)</f>
        <v/>
      </c>
      <c r="AC223" s="368">
        <f>IF(AND(Y223&gt;$P$6,Z223&gt;$P$7,AA223&gt;$P$8,V223&gt;W223,AB223&lt;$P$10),1,0)</f>
        <v/>
      </c>
      <c r="AD223" s="525">
        <f>IF(SUM(K223,T223,AC223)=0,0,AC223/SUM(K223,T223,AC223))</f>
        <v/>
      </c>
      <c r="AE223" s="525">
        <f>IF(SUM(K223,T223,AC223)=0,1,0)</f>
        <v/>
      </c>
      <c r="AF223" s="368">
        <f>G4610</f>
        <v/>
      </c>
      <c r="AG223" s="524">
        <f>AF223/AF222-1</f>
        <v/>
      </c>
      <c r="AH223" s="524">
        <f>0.5*(ABS(L222-L221)+ABS(U222-U221)+ABS(AD222-AD221)+ABS(AE222-AE221))</f>
        <v/>
      </c>
      <c r="AI223" s="524">
        <f>L222*F223+U222*O223+AD222*X223+AE222*AG223</f>
        <v/>
      </c>
      <c r="AJ223" s="524">
        <f>AH223*$P$11</f>
        <v/>
      </c>
      <c r="AK223" s="524">
        <f>AI223-AJ223</f>
        <v/>
      </c>
      <c r="AL223" s="368">
        <f>AL222*(1+AK223)</f>
        <v/>
      </c>
      <c r="AM223" s="368">
        <f>MAX($AL$40:AL223)</f>
        <v/>
      </c>
      <c r="AN223" s="524">
        <f>AL223/AM223-1</f>
        <v/>
      </c>
      <c r="AO223" s="526">
        <f>AK223-AG223</f>
        <v/>
      </c>
    </row>
    <row r="224">
      <c r="C224" s="533" t="n"/>
      <c r="J224" s="534" t="n"/>
      <c r="K224" s="368">
        <f>IF(AND(G224&gt;$P$6,H224&gt;$P$7,I224&gt;$P$8,D224&gt;E224,J224&lt;$P$10),1,0)</f>
        <v/>
      </c>
      <c r="L224" s="525">
        <f>IF(SUM(K224,T224,AC224)=0,0,K224/SUM(K224,T224,AC224))</f>
        <v/>
      </c>
      <c r="M224" s="368">
        <f>E4630</f>
        <v/>
      </c>
      <c r="N224" s="368">
        <f>I4630</f>
        <v/>
      </c>
      <c r="O224" s="524">
        <f>M224/M223-1</f>
        <v/>
      </c>
      <c r="P224" s="524">
        <f>M224/M221-1</f>
        <v/>
      </c>
      <c r="Q224" s="524">
        <f>M224/M218-1</f>
        <v/>
      </c>
      <c r="R224" s="524">
        <f>M224/M212-1</f>
        <v/>
      </c>
      <c r="S224" s="524">
        <f>STDEV.S(O213:O224)*SQRT(12)</f>
        <v/>
      </c>
      <c r="T224" s="368">
        <f>IF(AND(P224&gt;$P$6,Q224&gt;$P$7,R224&gt;$P$8,M224&gt;N224,S224&lt;$P$10),1,0)</f>
        <v/>
      </c>
      <c r="U224" s="525">
        <f>IF(SUM(K224,T224,AC224)=0,0,T224/SUM(K224,T224,AC224))</f>
        <v/>
      </c>
      <c r="V224" s="368">
        <f>F4630</f>
        <v/>
      </c>
      <c r="W224" s="368">
        <f>J4630</f>
        <v/>
      </c>
      <c r="X224" s="524">
        <f>V224/V223-1</f>
        <v/>
      </c>
      <c r="Y224" s="524">
        <f>V224/V221-1</f>
        <v/>
      </c>
      <c r="Z224" s="524">
        <f>V224/V218-1</f>
        <v/>
      </c>
      <c r="AA224" s="524">
        <f>V224/V212-1</f>
        <v/>
      </c>
      <c r="AB224" s="524">
        <f>STDEV.S(X213:X224)*SQRT(12)</f>
        <v/>
      </c>
      <c r="AC224" s="368">
        <f>IF(AND(Y224&gt;$P$6,Z224&gt;$P$7,AA224&gt;$P$8,V224&gt;W224,AB224&lt;$P$10),1,0)</f>
        <v/>
      </c>
      <c r="AD224" s="525">
        <f>IF(SUM(K224,T224,AC224)=0,0,AC224/SUM(K224,T224,AC224))</f>
        <v/>
      </c>
      <c r="AE224" s="525">
        <f>IF(SUM(K224,T224,AC224)=0,1,0)</f>
        <v/>
      </c>
      <c r="AF224" s="368">
        <f>G4630</f>
        <v/>
      </c>
      <c r="AG224" s="524">
        <f>AF224/AF223-1</f>
        <v/>
      </c>
      <c r="AH224" s="524">
        <f>0.5*(ABS(L223-L222)+ABS(U223-U222)+ABS(AD223-AD222)+ABS(AE223-AE222))</f>
        <v/>
      </c>
      <c r="AI224" s="524">
        <f>L223*F224+U223*O224+AD223*X224+AE223*AG224</f>
        <v/>
      </c>
      <c r="AJ224" s="524">
        <f>AH224*$P$11</f>
        <v/>
      </c>
      <c r="AK224" s="524">
        <f>AI224-AJ224</f>
        <v/>
      </c>
      <c r="AL224" s="368">
        <f>AL223*(1+AK224)</f>
        <v/>
      </c>
      <c r="AM224" s="368">
        <f>MAX($AL$40:AL224)</f>
        <v/>
      </c>
      <c r="AN224" s="524">
        <f>AL224/AM224-1</f>
        <v/>
      </c>
      <c r="AO224" s="526">
        <f>AK224-AG224</f>
        <v/>
      </c>
    </row>
    <row r="225">
      <c r="C225" s="535" t="n"/>
      <c r="D225" s="536" t="n"/>
      <c r="E225" s="536" t="n"/>
      <c r="F225" s="536" t="n"/>
      <c r="G225" s="536" t="n"/>
      <c r="H225" s="536" t="n"/>
      <c r="I225" s="536" t="n"/>
      <c r="J225" s="537" t="n"/>
      <c r="K225" s="368">
        <f>IF(AND(G225&gt;$P$6,H225&gt;$P$7,I225&gt;$P$8,D225&gt;E225,J225&lt;$P$10),1,0)</f>
        <v/>
      </c>
      <c r="L225" s="525">
        <f>IF(SUM(K225,T225,AC225)=0,0,K225/SUM(K225,T225,AC225))</f>
        <v/>
      </c>
      <c r="M225" s="368">
        <f>E4651</f>
        <v/>
      </c>
      <c r="N225" s="368">
        <f>I4651</f>
        <v/>
      </c>
      <c r="O225" s="524">
        <f>M225/M224-1</f>
        <v/>
      </c>
      <c r="P225" s="524">
        <f>M225/M222-1</f>
        <v/>
      </c>
      <c r="Q225" s="524">
        <f>M225/M219-1</f>
        <v/>
      </c>
      <c r="R225" s="524">
        <f>M225/M213-1</f>
        <v/>
      </c>
      <c r="S225" s="524">
        <f>STDEV.S(O214:O225)*SQRT(12)</f>
        <v/>
      </c>
      <c r="T225" s="368">
        <f>IF(AND(P225&gt;$P$6,Q225&gt;$P$7,R225&gt;$P$8,M225&gt;N225,S225&lt;$P$10),1,0)</f>
        <v/>
      </c>
      <c r="U225" s="525">
        <f>IF(SUM(K225,T225,AC225)=0,0,T225/SUM(K225,T225,AC225))</f>
        <v/>
      </c>
      <c r="V225" s="368">
        <f>F4651</f>
        <v/>
      </c>
      <c r="W225" s="368">
        <f>J4651</f>
        <v/>
      </c>
      <c r="X225" s="524">
        <f>V225/V224-1</f>
        <v/>
      </c>
      <c r="Y225" s="524">
        <f>V225/V222-1</f>
        <v/>
      </c>
      <c r="Z225" s="524">
        <f>V225/V219-1</f>
        <v/>
      </c>
      <c r="AA225" s="524">
        <f>V225/V213-1</f>
        <v/>
      </c>
      <c r="AB225" s="524">
        <f>STDEV.S(X214:X225)*SQRT(12)</f>
        <v/>
      </c>
      <c r="AC225" s="368">
        <f>IF(AND(Y225&gt;$P$6,Z225&gt;$P$7,AA225&gt;$P$8,V225&gt;W225,AB225&lt;$P$10),1,0)</f>
        <v/>
      </c>
      <c r="AD225" s="525">
        <f>IF(SUM(K225,T225,AC225)=0,0,AC225/SUM(K225,T225,AC225))</f>
        <v/>
      </c>
      <c r="AE225" s="525">
        <f>IF(SUM(K225,T225,AC225)=0,1,0)</f>
        <v/>
      </c>
      <c r="AF225" s="368">
        <f>G4651</f>
        <v/>
      </c>
      <c r="AG225" s="524">
        <f>AF225/AF224-1</f>
        <v/>
      </c>
      <c r="AH225" s="524">
        <f>0.5*(ABS(L224-L223)+ABS(U224-U223)+ABS(AD224-AD223)+ABS(AE224-AE223))</f>
        <v/>
      </c>
      <c r="AI225" s="524">
        <f>L224*F225+U224*O225+AD224*X225+AE224*AG225</f>
        <v/>
      </c>
      <c r="AJ225" s="524">
        <f>AH225*$P$11</f>
        <v/>
      </c>
      <c r="AK225" s="524">
        <f>AI225-AJ225</f>
        <v/>
      </c>
      <c r="AL225" s="368">
        <f>AL224*(1+AK225)</f>
        <v/>
      </c>
      <c r="AM225" s="368">
        <f>MAX($AL$40:AL225)</f>
        <v/>
      </c>
      <c r="AN225" s="524">
        <f>AL225/AM225-1</f>
        <v/>
      </c>
      <c r="AO225" s="526">
        <f>AK225-AG225</f>
        <v/>
      </c>
    </row>
    <row r="226">
      <c r="C226" s="503" t="n">
        <v>46234</v>
      </c>
      <c r="D226" s="368">
        <f>D4673</f>
        <v/>
      </c>
      <c r="E226" s="368">
        <f>H4673</f>
        <v/>
      </c>
      <c r="F226" s="524">
        <f>D226/D225-1</f>
        <v/>
      </c>
      <c r="G226" s="524">
        <f>D226/D223-1</f>
        <v/>
      </c>
      <c r="H226" s="524">
        <f>D226/D220-1</f>
        <v/>
      </c>
      <c r="I226" s="524">
        <f>D226/D214-1</f>
        <v/>
      </c>
      <c r="J226" s="524">
        <f>STDEV.S(F215:F226)*SQRT(12)</f>
        <v/>
      </c>
      <c r="K226" s="368">
        <f>IF(AND(G226&gt;$P$6,H226&gt;$P$7,I226&gt;$P$8,D226&gt;E226,J226&lt;$P$10),1,0)</f>
        <v/>
      </c>
      <c r="L226" s="525">
        <f>IF(SUM(K226,T226,AC226)=0,0,K226/SUM(K226,T226,AC226))</f>
        <v/>
      </c>
      <c r="M226" s="368">
        <f>E4673</f>
        <v/>
      </c>
      <c r="N226" s="368">
        <f>I4673</f>
        <v/>
      </c>
      <c r="O226" s="524">
        <f>M226/M225-1</f>
        <v/>
      </c>
      <c r="P226" s="524">
        <f>M226/M223-1</f>
        <v/>
      </c>
      <c r="Q226" s="524">
        <f>M226/M220-1</f>
        <v/>
      </c>
      <c r="R226" s="524">
        <f>M226/M214-1</f>
        <v/>
      </c>
      <c r="S226" s="524">
        <f>STDEV.S(O215:O226)*SQRT(12)</f>
        <v/>
      </c>
      <c r="T226" s="368">
        <f>IF(AND(P226&gt;$P$6,Q226&gt;$P$7,R226&gt;$P$8,M226&gt;N226,S226&lt;$P$10),1,0)</f>
        <v/>
      </c>
      <c r="U226" s="525">
        <f>IF(SUM(K226,T226,AC226)=0,0,T226/SUM(K226,T226,AC226))</f>
        <v/>
      </c>
      <c r="V226" s="368">
        <f>F4673</f>
        <v/>
      </c>
      <c r="W226" s="368">
        <f>J4673</f>
        <v/>
      </c>
      <c r="X226" s="524">
        <f>V226/V225-1</f>
        <v/>
      </c>
      <c r="Y226" s="524">
        <f>V226/V223-1</f>
        <v/>
      </c>
      <c r="Z226" s="524">
        <f>V226/V220-1</f>
        <v/>
      </c>
      <c r="AA226" s="524">
        <f>V226/V214-1</f>
        <v/>
      </c>
      <c r="AB226" s="524">
        <f>STDEV.S(X215:X226)*SQRT(12)</f>
        <v/>
      </c>
      <c r="AC226" s="368">
        <f>IF(AND(Y226&gt;$P$6,Z226&gt;$P$7,AA226&gt;$P$8,V226&gt;W226,AB226&lt;$P$10),1,0)</f>
        <v/>
      </c>
      <c r="AD226" s="525">
        <f>IF(SUM(K226,T226,AC226)=0,0,AC226/SUM(K226,T226,AC226))</f>
        <v/>
      </c>
      <c r="AE226" s="525">
        <f>IF(SUM(K226,T226,AC226)=0,1,0)</f>
        <v/>
      </c>
      <c r="AF226" s="368">
        <f>G4673</f>
        <v/>
      </c>
      <c r="AG226" s="524">
        <f>AF226/AF225-1</f>
        <v/>
      </c>
      <c r="AH226" s="524">
        <f>0.5*(ABS(L225-L224)+ABS(U225-U224)+ABS(AD225-AD224)+ABS(AE225-AE224))</f>
        <v/>
      </c>
      <c r="AI226" s="524">
        <f>L225*F226+U225*O226+AD225*X226+AE225*AG226</f>
        <v/>
      </c>
      <c r="AJ226" s="524">
        <f>AH226*$P$11</f>
        <v/>
      </c>
      <c r="AK226" s="524">
        <f>AI226-AJ226</f>
        <v/>
      </c>
      <c r="AL226" s="368">
        <f>AL225*(1+AK226)</f>
        <v/>
      </c>
      <c r="AM226" s="368">
        <f>MAX($AL$40:AL226)</f>
        <v/>
      </c>
      <c r="AN226" s="524">
        <f>AL226/AM226-1</f>
        <v/>
      </c>
      <c r="AO226" s="526">
        <f>AK226-AG226</f>
        <v/>
      </c>
    </row>
    <row r="227">
      <c r="C227" s="503" t="n">
        <v>46265</v>
      </c>
      <c r="D227" s="368">
        <f>D4694</f>
        <v/>
      </c>
      <c r="E227" s="368">
        <f>H4694</f>
        <v/>
      </c>
      <c r="F227" s="524">
        <f>D227/D226-1</f>
        <v/>
      </c>
      <c r="G227" s="524">
        <f>D227/D224-1</f>
        <v/>
      </c>
      <c r="H227" s="524">
        <f>D227/D221-1</f>
        <v/>
      </c>
      <c r="I227" s="524">
        <f>D227/D215-1</f>
        <v/>
      </c>
      <c r="J227" s="524">
        <f>STDEV.S(F216:F227)*SQRT(12)</f>
        <v/>
      </c>
      <c r="K227" s="368">
        <f>IF(AND(G227&gt;$P$6,H227&gt;$P$7,I227&gt;$P$8,D227&gt;E227,J227&lt;$P$10),1,0)</f>
        <v/>
      </c>
      <c r="L227" s="525">
        <f>IF(SUM(K227,T227,AC227)=0,0,K227/SUM(K227,T227,AC227))</f>
        <v/>
      </c>
      <c r="M227" s="368">
        <f>E4694</f>
        <v/>
      </c>
      <c r="N227" s="368">
        <f>I4694</f>
        <v/>
      </c>
      <c r="O227" s="524">
        <f>M227/M226-1</f>
        <v/>
      </c>
      <c r="P227" s="524">
        <f>M227/M224-1</f>
        <v/>
      </c>
      <c r="Q227" s="524">
        <f>M227/M221-1</f>
        <v/>
      </c>
      <c r="R227" s="524">
        <f>M227/M215-1</f>
        <v/>
      </c>
      <c r="S227" s="524">
        <f>STDEV.S(O216:O227)*SQRT(12)</f>
        <v/>
      </c>
      <c r="T227" s="368">
        <f>IF(AND(P227&gt;$P$6,Q227&gt;$P$7,R227&gt;$P$8,M227&gt;N227,S227&lt;$P$10),1,0)</f>
        <v/>
      </c>
      <c r="U227" s="525">
        <f>IF(SUM(K227,T227,AC227)=0,0,T227/SUM(K227,T227,AC227))</f>
        <v/>
      </c>
      <c r="V227" s="368">
        <f>F4694</f>
        <v/>
      </c>
      <c r="W227" s="368">
        <f>J4694</f>
        <v/>
      </c>
      <c r="X227" s="524">
        <f>V227/V226-1</f>
        <v/>
      </c>
      <c r="Y227" s="524">
        <f>V227/V224-1</f>
        <v/>
      </c>
      <c r="Z227" s="524">
        <f>V227/V221-1</f>
        <v/>
      </c>
      <c r="AA227" s="524">
        <f>V227/V215-1</f>
        <v/>
      </c>
      <c r="AB227" s="524">
        <f>STDEV.S(X216:X227)*SQRT(12)</f>
        <v/>
      </c>
      <c r="AC227" s="368">
        <f>IF(AND(Y227&gt;$P$6,Z227&gt;$P$7,AA227&gt;$P$8,V227&gt;W227,AB227&lt;$P$10),1,0)</f>
        <v/>
      </c>
      <c r="AD227" s="525">
        <f>IF(SUM(K227,T227,AC227)=0,0,AC227/SUM(K227,T227,AC227))</f>
        <v/>
      </c>
      <c r="AE227" s="525">
        <f>IF(SUM(K227,T227,AC227)=0,1,0)</f>
        <v/>
      </c>
      <c r="AF227" s="368">
        <f>G4694</f>
        <v/>
      </c>
      <c r="AG227" s="524">
        <f>AF227/AF226-1</f>
        <v/>
      </c>
      <c r="AH227" s="524">
        <f>0.5*(ABS(L226-L225)+ABS(U226-U225)+ABS(AD226-AD225)+ABS(AE226-AE225))</f>
        <v/>
      </c>
      <c r="AI227" s="524">
        <f>L226*F227+U226*O227+AD226*X227+AE226*AG227</f>
        <v/>
      </c>
      <c r="AJ227" s="524">
        <f>AH227*$P$11</f>
        <v/>
      </c>
      <c r="AK227" s="524">
        <f>AI227-AJ227</f>
        <v/>
      </c>
      <c r="AL227" s="368">
        <f>AL226*(1+AK227)</f>
        <v/>
      </c>
      <c r="AM227" s="368">
        <f>MAX($AL$40:AL227)</f>
        <v/>
      </c>
      <c r="AN227" s="524">
        <f>AL227/AM227-1</f>
        <v/>
      </c>
      <c r="AO227" s="526">
        <f>AK227-AG227</f>
        <v/>
      </c>
    </row>
    <row r="230">
      <c r="C230" s="538" t="inlineStr">
        <is>
          <t>Fecha diaria</t>
        </is>
      </c>
      <c r="D230" s="358" t="inlineStr">
        <is>
          <t>GLD Adj</t>
        </is>
      </c>
      <c r="E230" s="358" t="inlineStr">
        <is>
          <t>USO Adj</t>
        </is>
      </c>
      <c r="F230" s="358" t="inlineStr">
        <is>
          <t>DBA Adj</t>
        </is>
      </c>
      <c r="G230" s="358" t="inlineStr">
        <is>
          <t>BIL Adj</t>
        </is>
      </c>
      <c r="H230" s="358" t="inlineStr">
        <is>
          <t>GLD MM200</t>
        </is>
      </c>
      <c r="I230" s="358" t="inlineStr">
        <is>
          <t>USO MM200</t>
        </is>
      </c>
      <c r="J230" s="358" t="inlineStr">
        <is>
          <t>DBA MM200</t>
        </is>
      </c>
      <c r="K230" t="inlineStr">
        <is>
          <t>BIL MM200 (no usado; BIL es el activo sin señal)</t>
        </is>
      </c>
    </row>
    <row r="231">
      <c r="C231" s="539" t="n">
        <v>39783</v>
      </c>
      <c r="D231" t="n">
        <v>75.65000152587891</v>
      </c>
      <c r="E231" t="n">
        <v>319.1199951171875</v>
      </c>
      <c r="F231" t="n">
        <v>20.04098510742188</v>
      </c>
      <c r="G231" t="n">
        <v>73.23745727539062</v>
      </c>
    </row>
    <row r="232">
      <c r="C232" s="539" t="n">
        <v>39784</v>
      </c>
      <c r="D232" t="n">
        <v>76.94999694824219</v>
      </c>
      <c r="E232" t="n">
        <v>308</v>
      </c>
      <c r="F232" t="n">
        <v>19.92290306091309</v>
      </c>
      <c r="G232" t="n">
        <v>73.30124664306641</v>
      </c>
    </row>
    <row r="233">
      <c r="C233" s="539" t="n">
        <v>39785</v>
      </c>
      <c r="D233" t="n">
        <v>76.18000030517578</v>
      </c>
      <c r="E233" t="n">
        <v>304.3999938964844</v>
      </c>
      <c r="F233" t="n">
        <v>19.75420188903809</v>
      </c>
      <c r="G233" t="n">
        <v>73.18962860107422</v>
      </c>
    </row>
    <row r="234">
      <c r="C234" s="539" t="n">
        <v>39786</v>
      </c>
      <c r="D234" t="n">
        <v>75.5</v>
      </c>
      <c r="E234" t="n">
        <v>283.2799987792969</v>
      </c>
      <c r="F234" t="n">
        <v>18.98664093017578</v>
      </c>
      <c r="G234" t="n">
        <v>73.15778350830078</v>
      </c>
    </row>
    <row r="235">
      <c r="C235" s="539" t="n">
        <v>39787</v>
      </c>
      <c r="D235" t="n">
        <v>74.51999664306641</v>
      </c>
      <c r="E235" t="n">
        <v>274</v>
      </c>
      <c r="F235" t="n">
        <v>18.53116416931152</v>
      </c>
      <c r="G235" t="n">
        <v>73.15778350830078</v>
      </c>
    </row>
    <row r="236">
      <c r="C236" s="539" t="n">
        <v>39790</v>
      </c>
      <c r="D236" t="n">
        <v>76.19999694824219</v>
      </c>
      <c r="E236" t="n">
        <v>288.9599914550781</v>
      </c>
      <c r="F236" t="n">
        <v>19.42525100708008</v>
      </c>
      <c r="G236" t="n">
        <v>73.17366027832031</v>
      </c>
    </row>
    <row r="237">
      <c r="C237" s="539" t="n">
        <v>39791</v>
      </c>
      <c r="D237" t="n">
        <v>76.33000183105469</v>
      </c>
      <c r="E237" t="n">
        <v>275.6000061035156</v>
      </c>
      <c r="F237" t="n">
        <v>19.11316108703613</v>
      </c>
      <c r="G237" t="n">
        <v>73.14178466796875</v>
      </c>
    </row>
    <row r="238">
      <c r="C238" s="539" t="n">
        <v>39792</v>
      </c>
      <c r="D238" t="n">
        <v>79.75</v>
      </c>
      <c r="E238" t="n">
        <v>286.4800109863281</v>
      </c>
      <c r="F238" t="n">
        <v>19.8132495880127</v>
      </c>
      <c r="G238" t="n">
        <v>73.18962860107422</v>
      </c>
    </row>
    <row r="239">
      <c r="C239" s="539" t="n">
        <v>39793</v>
      </c>
      <c r="D239" t="n">
        <v>80.65000152587891</v>
      </c>
      <c r="E239" t="n">
        <v>309.1199951171875</v>
      </c>
      <c r="F239" t="n">
        <v>19.88916206359863</v>
      </c>
      <c r="G239" t="n">
        <v>73.10989379882812</v>
      </c>
    </row>
    <row r="240">
      <c r="C240" s="539" t="n">
        <v>39794</v>
      </c>
      <c r="D240" t="n">
        <v>80.80999755859375</v>
      </c>
      <c r="E240" t="n">
        <v>304.7999877929688</v>
      </c>
      <c r="F240" t="n">
        <v>20.24342155456543</v>
      </c>
      <c r="G240" t="n">
        <v>73.14178466796875</v>
      </c>
    </row>
    <row r="241">
      <c r="C241" s="539" t="n">
        <v>39797</v>
      </c>
      <c r="D241" t="n">
        <v>82.59999847412109</v>
      </c>
      <c r="E241" t="n">
        <v>294.7200012207031</v>
      </c>
      <c r="F241" t="n">
        <v>20.19184684753418</v>
      </c>
      <c r="G241" t="n">
        <v>73.12586975097656</v>
      </c>
    </row>
    <row r="242">
      <c r="C242" s="539" t="n">
        <v>39798</v>
      </c>
      <c r="D242" t="n">
        <v>84.45999908447266</v>
      </c>
      <c r="E242" t="n">
        <v>291.5199890136719</v>
      </c>
      <c r="F242" t="n">
        <v>21.12020683288574</v>
      </c>
      <c r="G242" t="n">
        <v>73.17366027832031</v>
      </c>
    </row>
    <row r="243">
      <c r="C243" s="539" t="n">
        <v>39799</v>
      </c>
      <c r="D243" t="n">
        <v>85.43000030517578</v>
      </c>
      <c r="E243" t="n">
        <v>278.4800109863281</v>
      </c>
      <c r="F243" t="n">
        <v>21.07722663879395</v>
      </c>
      <c r="G243" t="n">
        <v>73.12586975097656</v>
      </c>
    </row>
    <row r="244">
      <c r="C244" s="539" t="n">
        <v>39800</v>
      </c>
      <c r="D244" t="n">
        <v>83.87000274658203</v>
      </c>
      <c r="E244" t="n">
        <v>261.8399963378906</v>
      </c>
      <c r="F244" t="n">
        <v>21.18897247314453</v>
      </c>
      <c r="G244" t="n">
        <v>73.0780029296875</v>
      </c>
    </row>
    <row r="245">
      <c r="C245" s="539" t="n">
        <v>39801</v>
      </c>
      <c r="D245" t="n">
        <v>82.62999725341797</v>
      </c>
      <c r="E245" t="n">
        <v>264.4800109863281</v>
      </c>
      <c r="F245" t="n">
        <v>20.38954925537109</v>
      </c>
      <c r="G245" t="n">
        <v>73.12586975097656</v>
      </c>
    </row>
    <row r="246">
      <c r="C246" s="539" t="n">
        <v>39804</v>
      </c>
      <c r="D246" t="n">
        <v>83.45999908447266</v>
      </c>
      <c r="E246" t="n">
        <v>245.0399932861328</v>
      </c>
      <c r="F246" t="n">
        <v>20.91390419006348</v>
      </c>
      <c r="G246" t="n">
        <v>73.22152709960938</v>
      </c>
    </row>
    <row r="247">
      <c r="C247" s="539" t="n">
        <v>39805</v>
      </c>
      <c r="D247" t="n">
        <v>82.62999725341797</v>
      </c>
      <c r="E247" t="n">
        <v>240</v>
      </c>
      <c r="F247" t="n">
        <v>21.16318702697754</v>
      </c>
      <c r="G247" t="n">
        <v>73.14178466796875</v>
      </c>
    </row>
    <row r="248">
      <c r="C248" s="539" t="n">
        <v>39806</v>
      </c>
      <c r="D248" t="n">
        <v>83.45999908447266</v>
      </c>
      <c r="E248" t="n">
        <v>232.1600036621094</v>
      </c>
      <c r="F248" t="n">
        <v>21.36089324951172</v>
      </c>
      <c r="G248" t="n">
        <v>73.22152709960938</v>
      </c>
    </row>
    <row r="249">
      <c r="C249" s="539" t="n">
        <v>39808</v>
      </c>
      <c r="D249" t="n">
        <v>85.59999847412109</v>
      </c>
      <c r="E249" t="n">
        <v>232.8000030517578</v>
      </c>
      <c r="F249" t="n">
        <v>22.0485668182373</v>
      </c>
      <c r="G249" t="n">
        <v>73.22152709960938</v>
      </c>
    </row>
    <row r="250">
      <c r="C250" s="539" t="n">
        <v>39811</v>
      </c>
      <c r="D250" t="n">
        <v>86.34999847412109</v>
      </c>
      <c r="E250" t="n">
        <v>247.3600006103516</v>
      </c>
      <c r="F250" t="n">
        <v>21.56719398498535</v>
      </c>
      <c r="G250" t="n">
        <v>72.96303558349609</v>
      </c>
    </row>
    <row r="251">
      <c r="C251" s="539" t="n">
        <v>39812</v>
      </c>
      <c r="D251" t="n">
        <v>85.90000152587891</v>
      </c>
      <c r="E251" t="n">
        <v>241.6000061035156</v>
      </c>
      <c r="F251" t="n">
        <v>21.87664794921875</v>
      </c>
      <c r="G251" t="n">
        <v>73.21834564208984</v>
      </c>
    </row>
    <row r="252">
      <c r="C252" s="539" t="n">
        <v>39813</v>
      </c>
      <c r="D252" t="n">
        <v>86.51999664306641</v>
      </c>
      <c r="E252" t="n">
        <v>264.7999877929688</v>
      </c>
      <c r="F252" t="n">
        <v>22.50415420532227</v>
      </c>
      <c r="G252" t="n">
        <v>73.05877685546875</v>
      </c>
    </row>
    <row r="253">
      <c r="C253" s="539" t="n">
        <v>39815</v>
      </c>
      <c r="D253" t="n">
        <v>86.23000335693359</v>
      </c>
      <c r="E253" t="n">
        <v>285.0400085449219</v>
      </c>
      <c r="F253" t="n">
        <v>22.46976661682129</v>
      </c>
      <c r="G253" t="n">
        <v>73.07475280761719</v>
      </c>
    </row>
    <row r="254">
      <c r="C254" s="539" t="n">
        <v>39818</v>
      </c>
      <c r="D254" t="n">
        <v>84.48000335693359</v>
      </c>
      <c r="E254" t="n">
        <v>298.3999938964844</v>
      </c>
      <c r="F254" t="n">
        <v>22.62449645996094</v>
      </c>
      <c r="G254" t="n">
        <v>73.07475280761719</v>
      </c>
    </row>
    <row r="255">
      <c r="C255" s="539" t="n">
        <v>39819</v>
      </c>
      <c r="D255" t="n">
        <v>85.12999725341797</v>
      </c>
      <c r="E255" t="n">
        <v>298</v>
      </c>
      <c r="F255" t="n">
        <v>23.33795356750488</v>
      </c>
      <c r="G255" t="n">
        <v>73.09068298339844</v>
      </c>
    </row>
    <row r="256">
      <c r="C256" s="539" t="n">
        <v>39820</v>
      </c>
      <c r="D256" t="n">
        <v>82.75</v>
      </c>
      <c r="E256" t="n">
        <v>266.1600036621094</v>
      </c>
      <c r="F256" t="n">
        <v>22.49555587768555</v>
      </c>
      <c r="G256" t="n">
        <v>73.20240020751953</v>
      </c>
    </row>
    <row r="257">
      <c r="C257" s="539" t="n">
        <v>39821</v>
      </c>
      <c r="D257" t="n">
        <v>84.45999908447266</v>
      </c>
      <c r="E257" t="n">
        <v>265.6000061035156</v>
      </c>
      <c r="F257" t="n">
        <v>22.56432342529297</v>
      </c>
      <c r="G257" t="n">
        <v>73.12258911132812</v>
      </c>
    </row>
    <row r="258">
      <c r="C258" s="539" t="n">
        <v>39822</v>
      </c>
      <c r="D258" t="n">
        <v>83.91999816894531</v>
      </c>
      <c r="E258" t="n">
        <v>258.9599914550781</v>
      </c>
      <c r="F258" t="n">
        <v>22.73624229431152</v>
      </c>
      <c r="G258" t="n">
        <v>73.17047119140625</v>
      </c>
    </row>
    <row r="259">
      <c r="C259" s="539" t="n">
        <v>39825</v>
      </c>
      <c r="D259" t="n">
        <v>80.76000213623047</v>
      </c>
      <c r="E259" t="n">
        <v>245.1999969482422</v>
      </c>
      <c r="F259" t="n">
        <v>21.2061653137207</v>
      </c>
      <c r="G259" t="n">
        <v>73.13857269287109</v>
      </c>
    </row>
    <row r="260">
      <c r="C260" s="539" t="n">
        <v>39826</v>
      </c>
      <c r="D260" t="n">
        <v>80.87999725341797</v>
      </c>
      <c r="E260" t="n">
        <v>254.7200012207031</v>
      </c>
      <c r="F260" t="n">
        <v>21.2061653137207</v>
      </c>
      <c r="G260" t="n">
        <v>73.23430633544922</v>
      </c>
    </row>
    <row r="261">
      <c r="C261" s="539" t="n">
        <v>39827</v>
      </c>
      <c r="D261" t="n">
        <v>79.79000091552734</v>
      </c>
      <c r="E261" t="n">
        <v>249.8399963378906</v>
      </c>
      <c r="F261" t="n">
        <v>21.15458869934082</v>
      </c>
      <c r="G261" t="n">
        <v>73.25022125244141</v>
      </c>
    </row>
    <row r="262">
      <c r="C262" s="539" t="n">
        <v>39828</v>
      </c>
      <c r="D262" t="n">
        <v>80.38999938964844</v>
      </c>
      <c r="E262" t="n">
        <v>241.4400024414062</v>
      </c>
      <c r="F262" t="n">
        <v>21.45544815063477</v>
      </c>
      <c r="G262" t="n">
        <v>73.26617431640625</v>
      </c>
    </row>
    <row r="263">
      <c r="C263" s="539" t="n">
        <v>39829</v>
      </c>
      <c r="D263" t="n">
        <v>82.70999908447266</v>
      </c>
      <c r="E263" t="n">
        <v>238.8800048828125</v>
      </c>
      <c r="F263" t="n">
        <v>21.73911285400391</v>
      </c>
      <c r="G263" t="n">
        <v>73.21834564208984</v>
      </c>
    </row>
    <row r="264">
      <c r="C264" s="539" t="n">
        <v>39833</v>
      </c>
      <c r="D264" t="n">
        <v>84.51999664306641</v>
      </c>
      <c r="E264" t="n">
        <v>229.2799987792969</v>
      </c>
      <c r="F264" t="n">
        <v>21.41246795654297</v>
      </c>
      <c r="G264" t="n">
        <v>73.09068298339844</v>
      </c>
    </row>
    <row r="265">
      <c r="C265" s="539" t="n">
        <v>39834</v>
      </c>
      <c r="D265" t="n">
        <v>84.15000152587891</v>
      </c>
      <c r="E265" t="n">
        <v>248.2400054931641</v>
      </c>
      <c r="F265" t="n">
        <v>22.14312553405762</v>
      </c>
      <c r="G265" t="n">
        <v>73.21834564208984</v>
      </c>
    </row>
    <row r="266">
      <c r="C266" s="539" t="n">
        <v>39835</v>
      </c>
      <c r="D266" t="n">
        <v>84.58000183105469</v>
      </c>
      <c r="E266" t="n">
        <v>240.1600036621094</v>
      </c>
      <c r="F266" t="n">
        <v>21.62736511230469</v>
      </c>
      <c r="G266" t="n">
        <v>73.23430633544922</v>
      </c>
    </row>
    <row r="267">
      <c r="C267" s="539" t="n">
        <v>39836</v>
      </c>
      <c r="D267" t="n">
        <v>88.52999877929688</v>
      </c>
      <c r="E267" t="n">
        <v>258.6400146484375</v>
      </c>
      <c r="F267" t="n">
        <v>21.77349662780762</v>
      </c>
      <c r="G267" t="n">
        <v>73.21834564208984</v>
      </c>
    </row>
    <row r="268">
      <c r="C268" s="539" t="n">
        <v>39839</v>
      </c>
      <c r="D268" t="n">
        <v>88.94999694824219</v>
      </c>
      <c r="E268" t="n">
        <v>257.1199951171875</v>
      </c>
      <c r="F268" t="n">
        <v>21.91103172302246</v>
      </c>
      <c r="G268" t="n">
        <v>73.20240020751953</v>
      </c>
    </row>
    <row r="269">
      <c r="C269" s="539" t="n">
        <v>39840</v>
      </c>
      <c r="D269" t="n">
        <v>88.37999725341797</v>
      </c>
      <c r="E269" t="n">
        <v>236</v>
      </c>
      <c r="F269" t="n">
        <v>21.6617488861084</v>
      </c>
      <c r="G269" t="n">
        <v>73.17047119140625</v>
      </c>
    </row>
    <row r="270">
      <c r="C270" s="539" t="n">
        <v>39841</v>
      </c>
      <c r="D270" t="n">
        <v>87.41999816894531</v>
      </c>
      <c r="E270" t="n">
        <v>238</v>
      </c>
      <c r="F270" t="n">
        <v>22.0485668182373</v>
      </c>
      <c r="G270" t="n">
        <v>73.13857269287109</v>
      </c>
    </row>
    <row r="271">
      <c r="C271" s="539" t="n">
        <v>39842</v>
      </c>
      <c r="D271" t="n">
        <v>89.5</v>
      </c>
      <c r="E271" t="n">
        <v>233.7599945068359</v>
      </c>
      <c r="F271" t="n">
        <v>21.58438873291016</v>
      </c>
      <c r="G271" t="n">
        <v>73.13857269287109</v>
      </c>
    </row>
    <row r="272">
      <c r="C272" s="539" t="n">
        <v>39843</v>
      </c>
      <c r="D272" t="n">
        <v>91.30999755859375</v>
      </c>
      <c r="E272" t="n">
        <v>233.7599945068359</v>
      </c>
      <c r="F272" t="n">
        <v>21.43825531005859</v>
      </c>
      <c r="G272" t="n">
        <v>73.20240020751953</v>
      </c>
    </row>
    <row r="273">
      <c r="C273" s="539" t="n">
        <v>39846</v>
      </c>
      <c r="D273" t="n">
        <v>88.83999633789062</v>
      </c>
      <c r="E273" t="n">
        <v>227.1999969482422</v>
      </c>
      <c r="F273" t="n">
        <v>21.28353118896484</v>
      </c>
      <c r="G273" t="n">
        <v>73.2470703125</v>
      </c>
    </row>
    <row r="274">
      <c r="C274" s="539" t="n">
        <v>39847</v>
      </c>
      <c r="D274" t="n">
        <v>88.47000122070312</v>
      </c>
      <c r="E274" t="n">
        <v>230.9600067138672</v>
      </c>
      <c r="F274" t="n">
        <v>20.8193473815918</v>
      </c>
      <c r="G274" t="n">
        <v>73.18323516845703</v>
      </c>
    </row>
    <row r="275">
      <c r="C275" s="539" t="n">
        <v>39848</v>
      </c>
      <c r="D275" t="n">
        <v>89.18000030517578</v>
      </c>
      <c r="E275" t="n">
        <v>226.1600036621094</v>
      </c>
      <c r="F275" t="n">
        <v>20.6732177734375</v>
      </c>
      <c r="G275" t="n">
        <v>73.23110198974609</v>
      </c>
    </row>
    <row r="276">
      <c r="C276" s="539" t="n">
        <v>39849</v>
      </c>
      <c r="D276" t="n">
        <v>90.12000274658203</v>
      </c>
      <c r="E276" t="n">
        <v>230.4799957275391</v>
      </c>
      <c r="F276" t="n">
        <v>21.25774002075195</v>
      </c>
      <c r="G276" t="n">
        <v>73.19917297363281</v>
      </c>
    </row>
    <row r="277">
      <c r="C277" s="539" t="n">
        <v>39850</v>
      </c>
      <c r="D277" t="n">
        <v>89.58999633789062</v>
      </c>
      <c r="E277" t="n">
        <v>225.6000061035156</v>
      </c>
      <c r="F277" t="n">
        <v>21.5585994720459</v>
      </c>
      <c r="G277" t="n">
        <v>73.08746337890625</v>
      </c>
    </row>
    <row r="278">
      <c r="C278" s="539" t="n">
        <v>39853</v>
      </c>
      <c r="D278" t="n">
        <v>88.31999969482422</v>
      </c>
      <c r="E278" t="n">
        <v>226</v>
      </c>
      <c r="F278" t="n">
        <v>21.68753623962402</v>
      </c>
      <c r="G278" t="n">
        <v>73.18323516845703</v>
      </c>
    </row>
    <row r="279">
      <c r="C279" s="539" t="n">
        <v>39854</v>
      </c>
      <c r="D279" t="n">
        <v>90.20999908447266</v>
      </c>
      <c r="E279" t="n">
        <v>215.2799987792969</v>
      </c>
      <c r="F279" t="n">
        <v>21.43825531005859</v>
      </c>
      <c r="G279" t="n">
        <v>73.16726684570312</v>
      </c>
    </row>
    <row r="280">
      <c r="C280" s="539" t="n">
        <v>39855</v>
      </c>
      <c r="D280" t="n">
        <v>92.29000091552734</v>
      </c>
      <c r="E280" t="n">
        <v>208.6399993896484</v>
      </c>
      <c r="F280" t="n">
        <v>21.21476364135742</v>
      </c>
      <c r="G280" t="n">
        <v>73.15133666992188</v>
      </c>
    </row>
    <row r="281">
      <c r="C281" s="539" t="n">
        <v>39856</v>
      </c>
      <c r="D281" t="n">
        <v>93.16999816894531</v>
      </c>
      <c r="E281" t="n">
        <v>209.0399932861328</v>
      </c>
      <c r="F281" t="n">
        <v>21.11160850524902</v>
      </c>
      <c r="G281" t="n">
        <v>73.15133666992188</v>
      </c>
    </row>
    <row r="282">
      <c r="C282" s="539" t="n">
        <v>39857</v>
      </c>
      <c r="D282" t="n">
        <v>92.55000305175781</v>
      </c>
      <c r="E282" t="n">
        <v>204.8000030517578</v>
      </c>
      <c r="F282" t="n">
        <v>21.05143737792969</v>
      </c>
      <c r="G282" t="n">
        <v>73.21515655517578</v>
      </c>
    </row>
    <row r="283">
      <c r="C283" s="539" t="n">
        <v>39861</v>
      </c>
      <c r="D283" t="n">
        <v>95.44999694824219</v>
      </c>
      <c r="E283" t="n">
        <v>187.6799926757812</v>
      </c>
      <c r="F283" t="n">
        <v>20.33797645568848</v>
      </c>
      <c r="G283" t="n">
        <v>73.21515655517578</v>
      </c>
    </row>
    <row r="284">
      <c r="C284" s="539" t="n">
        <v>39862</v>
      </c>
      <c r="D284" t="n">
        <v>96.91000366210938</v>
      </c>
      <c r="E284" t="n">
        <v>182.8800048828125</v>
      </c>
      <c r="F284" t="n">
        <v>19.88239097595215</v>
      </c>
      <c r="G284" t="n">
        <v>73.23110198974609</v>
      </c>
    </row>
    <row r="285">
      <c r="C285" s="539" t="n">
        <v>39863</v>
      </c>
      <c r="D285" t="n">
        <v>95.76999664306641</v>
      </c>
      <c r="E285" t="n">
        <v>194.2400054931641</v>
      </c>
      <c r="F285" t="n">
        <v>20.33797645568848</v>
      </c>
      <c r="G285" t="n">
        <v>73.23110198974609</v>
      </c>
    </row>
    <row r="286">
      <c r="C286" s="539" t="n">
        <v>39864</v>
      </c>
      <c r="D286" t="n">
        <v>97.80000305175781</v>
      </c>
      <c r="E286" t="n">
        <v>194.8000030517578</v>
      </c>
      <c r="F286" t="n">
        <v>20.05431175231934</v>
      </c>
      <c r="G286" t="n">
        <v>73.23110198974609</v>
      </c>
    </row>
    <row r="287">
      <c r="C287" s="539" t="n">
        <v>39867</v>
      </c>
      <c r="D287" t="n">
        <v>97.73000335693359</v>
      </c>
      <c r="E287" t="n">
        <v>186.5599975585938</v>
      </c>
      <c r="F287" t="n">
        <v>20.08869552612305</v>
      </c>
      <c r="G287" t="n">
        <v>73.21515655517578</v>
      </c>
    </row>
    <row r="288">
      <c r="C288" s="539" t="n">
        <v>39868</v>
      </c>
      <c r="D288" t="n">
        <v>94.73000335693359</v>
      </c>
      <c r="E288" t="n">
        <v>195.5200042724609</v>
      </c>
      <c r="F288" t="n">
        <v>20.28640174865723</v>
      </c>
      <c r="G288" t="n">
        <v>73.16726684570312</v>
      </c>
    </row>
    <row r="289">
      <c r="C289" s="539" t="n">
        <v>39869</v>
      </c>
      <c r="D289" t="n">
        <v>93.15000152587891</v>
      </c>
      <c r="E289" t="n">
        <v>208</v>
      </c>
      <c r="F289" t="n">
        <v>20.4669132232666</v>
      </c>
      <c r="G289" t="n">
        <v>73.13532257080078</v>
      </c>
    </row>
    <row r="290">
      <c r="C290" s="539" t="n">
        <v>39870</v>
      </c>
      <c r="D290" t="n">
        <v>93.05999755859375</v>
      </c>
      <c r="E290" t="n">
        <v>217.8399963378906</v>
      </c>
      <c r="F290" t="n">
        <v>20.5098934173584</v>
      </c>
      <c r="G290" t="n">
        <v>73.15133666992188</v>
      </c>
    </row>
    <row r="291">
      <c r="C291" s="539" t="n">
        <v>39871</v>
      </c>
      <c r="D291" t="n">
        <v>92.62999725341797</v>
      </c>
      <c r="E291" t="n">
        <v>216.3999938964844</v>
      </c>
      <c r="F291" t="n">
        <v>20.30359268188477</v>
      </c>
      <c r="G291" t="n">
        <v>73.19917297363281</v>
      </c>
    </row>
    <row r="292">
      <c r="C292" s="539" t="n">
        <v>39874</v>
      </c>
      <c r="D292" t="n">
        <v>90.93000030517578</v>
      </c>
      <c r="E292" t="n">
        <v>195.8399963378906</v>
      </c>
      <c r="F292" t="n">
        <v>19.34084701538086</v>
      </c>
      <c r="G292" t="n">
        <v>73.24227905273438</v>
      </c>
    </row>
    <row r="293">
      <c r="C293" s="539" t="n">
        <v>39875</v>
      </c>
      <c r="D293" t="n">
        <v>90.04000091552734</v>
      </c>
      <c r="E293" t="n">
        <v>203.1199951171875</v>
      </c>
      <c r="F293" t="n">
        <v>19.39242172241211</v>
      </c>
      <c r="G293" t="n">
        <v>73.226318359375</v>
      </c>
    </row>
    <row r="294">
      <c r="C294" s="539" t="n">
        <v>39876</v>
      </c>
      <c r="D294" t="n">
        <v>88.98999786376953</v>
      </c>
      <c r="E294" t="n">
        <v>220.8800048828125</v>
      </c>
      <c r="F294" t="n">
        <v>20.1402702331543</v>
      </c>
      <c r="G294" t="n">
        <v>73.226318359375</v>
      </c>
    </row>
    <row r="295">
      <c r="C295" s="539" t="n">
        <v>39877</v>
      </c>
      <c r="D295" t="n">
        <v>91.98999786376953</v>
      </c>
      <c r="E295" t="n">
        <v>212.4799957275391</v>
      </c>
      <c r="F295" t="n">
        <v>19.7878360748291</v>
      </c>
      <c r="G295" t="n">
        <v>73.24227905273438</v>
      </c>
    </row>
    <row r="296">
      <c r="C296" s="539" t="n">
        <v>39878</v>
      </c>
      <c r="D296" t="n">
        <v>92.29000091552734</v>
      </c>
      <c r="E296" t="n">
        <v>223.9199981689453</v>
      </c>
      <c r="F296" t="n">
        <v>20.11448097229004</v>
      </c>
      <c r="G296" t="n">
        <v>73.226318359375</v>
      </c>
    </row>
    <row r="297">
      <c r="C297" s="539" t="n">
        <v>39881</v>
      </c>
      <c r="D297" t="n">
        <v>90.56999969482422</v>
      </c>
      <c r="E297" t="n">
        <v>229.1999969482422</v>
      </c>
      <c r="F297" t="n">
        <v>19.94256401062012</v>
      </c>
      <c r="G297" t="n">
        <v>73.226318359375</v>
      </c>
    </row>
    <row r="298">
      <c r="C298" s="539" t="n">
        <v>39882</v>
      </c>
      <c r="D298" t="n">
        <v>88.13999938964844</v>
      </c>
      <c r="E298" t="n">
        <v>222.6399993896484</v>
      </c>
      <c r="F298" t="n">
        <v>20.28640174865723</v>
      </c>
      <c r="G298" t="n">
        <v>73.226318359375</v>
      </c>
    </row>
    <row r="299">
      <c r="C299" s="539" t="n">
        <v>39883</v>
      </c>
      <c r="D299" t="n">
        <v>89.22000122070312</v>
      </c>
      <c r="E299" t="n">
        <v>210.3999938964844</v>
      </c>
      <c r="F299" t="n">
        <v>19.96834945678711</v>
      </c>
      <c r="G299" t="n">
        <v>73.226318359375</v>
      </c>
    </row>
    <row r="300">
      <c r="C300" s="539" t="n">
        <v>39884</v>
      </c>
      <c r="D300" t="n">
        <v>91.09999847412109</v>
      </c>
      <c r="E300" t="n">
        <v>225.8399963378906</v>
      </c>
      <c r="F300" t="n">
        <v>20.47551155090332</v>
      </c>
      <c r="G300" t="n">
        <v>73.19442749023438</v>
      </c>
    </row>
    <row r="301">
      <c r="C301" s="539" t="n">
        <v>39885</v>
      </c>
      <c r="D301" t="n">
        <v>91.30000305175781</v>
      </c>
      <c r="E301" t="n">
        <v>221.0399932861328</v>
      </c>
      <c r="F301" t="n">
        <v>20.38095474243164</v>
      </c>
      <c r="G301" t="n">
        <v>73.17843627929688</v>
      </c>
    </row>
    <row r="302">
      <c r="C302" s="539" t="n">
        <v>39888</v>
      </c>
      <c r="D302" t="n">
        <v>90.80000305175781</v>
      </c>
      <c r="E302" t="n">
        <v>226</v>
      </c>
      <c r="F302" t="n">
        <v>20.80215644836426</v>
      </c>
      <c r="G302" t="n">
        <v>73.16246795654297</v>
      </c>
    </row>
    <row r="303">
      <c r="C303" s="539" t="n">
        <v>39889</v>
      </c>
      <c r="D303" t="n">
        <v>90.04000091552734</v>
      </c>
      <c r="E303" t="n">
        <v>235.5200042724609</v>
      </c>
      <c r="F303" t="n">
        <v>20.98266983032227</v>
      </c>
      <c r="G303" t="n">
        <v>73.21035003662109</v>
      </c>
    </row>
    <row r="304">
      <c r="C304" s="539" t="n">
        <v>39890</v>
      </c>
      <c r="D304" t="n">
        <v>93.08999633789062</v>
      </c>
      <c r="E304" t="n">
        <v>236.8800048828125</v>
      </c>
      <c r="F304" t="n">
        <v>21.11160850524902</v>
      </c>
      <c r="G304" t="n">
        <v>73.226318359375</v>
      </c>
    </row>
    <row r="305">
      <c r="C305" s="539" t="n">
        <v>39891</v>
      </c>
      <c r="D305" t="n">
        <v>94.34999847412109</v>
      </c>
      <c r="E305" t="n">
        <v>242.8800048828125</v>
      </c>
      <c r="F305" t="n">
        <v>21.4726390838623</v>
      </c>
      <c r="G305" t="n">
        <v>73.17843627929688</v>
      </c>
    </row>
    <row r="306">
      <c r="C306" s="539" t="n">
        <v>39892</v>
      </c>
      <c r="D306" t="n">
        <v>93.58999633789062</v>
      </c>
      <c r="E306" t="n">
        <v>246.0800018310547</v>
      </c>
      <c r="F306" t="n">
        <v>21.49842643737793</v>
      </c>
      <c r="G306" t="n">
        <v>73.21035003662109</v>
      </c>
    </row>
    <row r="307">
      <c r="C307" s="539" t="n">
        <v>39895</v>
      </c>
      <c r="D307" t="n">
        <v>92.08000183105469</v>
      </c>
      <c r="E307" t="n">
        <v>254.2400054931641</v>
      </c>
      <c r="F307" t="n">
        <v>21.68753623962402</v>
      </c>
      <c r="G307" t="n">
        <v>73.226318359375</v>
      </c>
    </row>
    <row r="308">
      <c r="C308" s="539" t="n">
        <v>39896</v>
      </c>
      <c r="D308" t="n">
        <v>90.94999694824219</v>
      </c>
      <c r="E308" t="n">
        <v>252.8800048828125</v>
      </c>
      <c r="F308" t="n">
        <v>21.09441947937012</v>
      </c>
      <c r="G308" t="n">
        <v>73.21035003662109</v>
      </c>
    </row>
    <row r="309">
      <c r="C309" s="539" t="n">
        <v>39897</v>
      </c>
      <c r="D309" t="n">
        <v>91.98000335693359</v>
      </c>
      <c r="E309" t="n">
        <v>249.6799926757812</v>
      </c>
      <c r="F309" t="n">
        <v>20.66462326049805</v>
      </c>
      <c r="G309" t="n">
        <v>73.24227905273438</v>
      </c>
    </row>
    <row r="310">
      <c r="C310" s="539" t="n">
        <v>39898</v>
      </c>
      <c r="D310" t="n">
        <v>91.93000030517578</v>
      </c>
      <c r="E310" t="n">
        <v>256.1600036621094</v>
      </c>
      <c r="F310" t="n">
        <v>20.78496551513672</v>
      </c>
      <c r="G310" t="n">
        <v>73.226318359375</v>
      </c>
    </row>
    <row r="311">
      <c r="C311" s="539" t="n">
        <v>39899</v>
      </c>
      <c r="D311" t="n">
        <v>90.69000244140625</v>
      </c>
      <c r="E311" t="n">
        <v>246</v>
      </c>
      <c r="F311" t="n">
        <v>20.50129890441895</v>
      </c>
      <c r="G311" t="n">
        <v>73.24227905273438</v>
      </c>
    </row>
    <row r="312">
      <c r="C312" s="539" t="n">
        <v>39902</v>
      </c>
      <c r="D312" t="n">
        <v>89.98000335693359</v>
      </c>
      <c r="E312" t="n">
        <v>229.6000061035156</v>
      </c>
      <c r="F312" t="n">
        <v>20.54427719116211</v>
      </c>
      <c r="G312" t="n">
        <v>73.226318359375</v>
      </c>
    </row>
    <row r="313">
      <c r="C313" s="539" t="n">
        <v>39903</v>
      </c>
      <c r="D313" t="n">
        <v>90.27999877929688</v>
      </c>
      <c r="E313" t="n">
        <v>232.3999938964844</v>
      </c>
      <c r="F313" t="n">
        <v>21.05143737792969</v>
      </c>
      <c r="G313" t="n">
        <v>73.19442749023438</v>
      </c>
    </row>
    <row r="314">
      <c r="C314" s="539" t="n">
        <v>39904</v>
      </c>
      <c r="D314" t="n">
        <v>91.02999877929688</v>
      </c>
      <c r="E314" t="n">
        <v>228.6399993896484</v>
      </c>
      <c r="F314" t="n">
        <v>20.86232566833496</v>
      </c>
      <c r="G314" t="n">
        <v>73.20716857910156</v>
      </c>
    </row>
    <row r="315">
      <c r="C315" s="539" t="n">
        <v>39905</v>
      </c>
      <c r="D315" t="n">
        <v>88.80000305175781</v>
      </c>
      <c r="E315" t="n">
        <v>247.8399963378906</v>
      </c>
      <c r="F315" t="n">
        <v>21.3694896697998</v>
      </c>
      <c r="G315" t="n">
        <v>73.15926361083984</v>
      </c>
    </row>
    <row r="316">
      <c r="C316" s="539" t="n">
        <v>39906</v>
      </c>
      <c r="D316" t="n">
        <v>87.58999633789062</v>
      </c>
      <c r="E316" t="n">
        <v>247.4400024414062</v>
      </c>
      <c r="F316" t="n">
        <v>21.48983001708984</v>
      </c>
      <c r="G316" t="n">
        <v>73.20716857910156</v>
      </c>
    </row>
    <row r="317">
      <c r="C317" s="539" t="n">
        <v>39909</v>
      </c>
      <c r="D317" t="n">
        <v>85.26999664306641</v>
      </c>
      <c r="E317" t="n">
        <v>241.8399963378906</v>
      </c>
      <c r="F317" t="n">
        <v>21.31791114807129</v>
      </c>
      <c r="G317" t="n">
        <v>73.19121551513672</v>
      </c>
    </row>
    <row r="318">
      <c r="C318" s="539" t="n">
        <v>39910</v>
      </c>
      <c r="D318" t="n">
        <v>86.73999786376953</v>
      </c>
      <c r="E318" t="n">
        <v>231.5200042724609</v>
      </c>
      <c r="F318" t="n">
        <v>20.95688247680664</v>
      </c>
      <c r="G318" t="n">
        <v>73.19121551513672</v>
      </c>
    </row>
    <row r="319">
      <c r="C319" s="539" t="n">
        <v>39911</v>
      </c>
      <c r="D319" t="n">
        <v>86.61000061035156</v>
      </c>
      <c r="E319" t="n">
        <v>235.9199981689453</v>
      </c>
      <c r="F319" t="n">
        <v>20.90530776977539</v>
      </c>
      <c r="G319" t="n">
        <v>73.22314453125</v>
      </c>
    </row>
    <row r="320">
      <c r="C320" s="539" t="n">
        <v>39912</v>
      </c>
      <c r="D320" t="n">
        <v>86.30999755859375</v>
      </c>
      <c r="E320" t="n">
        <v>245.5200042724609</v>
      </c>
      <c r="F320" t="n">
        <v>21.48123359680176</v>
      </c>
      <c r="G320" t="n">
        <v>73.17523193359375</v>
      </c>
    </row>
    <row r="321">
      <c r="C321" s="539" t="n">
        <v>39916</v>
      </c>
      <c r="D321" t="n">
        <v>87.87999725341797</v>
      </c>
      <c r="E321" t="n">
        <v>237.4400024414062</v>
      </c>
      <c r="F321" t="n">
        <v>21.18897247314453</v>
      </c>
      <c r="G321" t="n">
        <v>73.22314453125</v>
      </c>
    </row>
    <row r="322">
      <c r="C322" s="539" t="n">
        <v>39917</v>
      </c>
      <c r="D322" t="n">
        <v>87.37000274658203</v>
      </c>
      <c r="E322" t="n">
        <v>233.6799926757812</v>
      </c>
      <c r="F322" t="n">
        <v>21.26633834838867</v>
      </c>
      <c r="G322" t="n">
        <v>73.19121551513672</v>
      </c>
    </row>
    <row r="323">
      <c r="C323" s="539" t="n">
        <v>39918</v>
      </c>
      <c r="D323" t="n">
        <v>87.5</v>
      </c>
      <c r="E323" t="n">
        <v>234.4799957275391</v>
      </c>
      <c r="F323" t="n">
        <v>21.10301399230957</v>
      </c>
      <c r="G323" t="n">
        <v>73.19121551513672</v>
      </c>
    </row>
    <row r="324">
      <c r="C324" s="539" t="n">
        <v>39919</v>
      </c>
      <c r="D324" t="n">
        <v>85.80999755859375</v>
      </c>
      <c r="E324" t="n">
        <v>234.3200073242188</v>
      </c>
      <c r="F324" t="n">
        <v>21.04284286499023</v>
      </c>
      <c r="G324" t="n">
        <v>73.23907470703125</v>
      </c>
    </row>
    <row r="325">
      <c r="C325" s="539" t="n">
        <v>39920</v>
      </c>
      <c r="D325" t="n">
        <v>85.22000122070312</v>
      </c>
      <c r="E325" t="n">
        <v>235.6000061035156</v>
      </c>
      <c r="F325" t="n">
        <v>21.06863021850586</v>
      </c>
      <c r="G325" t="n">
        <v>73.15926361083984</v>
      </c>
    </row>
    <row r="326">
      <c r="C326" s="539" t="n">
        <v>39923</v>
      </c>
      <c r="D326" t="n">
        <v>86.94999694824219</v>
      </c>
      <c r="E326" t="n">
        <v>217.7599945068359</v>
      </c>
      <c r="F326" t="n">
        <v>20.34657287597656</v>
      </c>
      <c r="G326" t="n">
        <v>73.19121551513672</v>
      </c>
    </row>
    <row r="327">
      <c r="C327" s="539" t="n">
        <v>39924</v>
      </c>
      <c r="D327" t="n">
        <v>86.88999938964844</v>
      </c>
      <c r="E327" t="n">
        <v>218.6399993896484</v>
      </c>
      <c r="F327" t="n">
        <v>20.83654022216797</v>
      </c>
      <c r="G327" t="n">
        <v>73.17523193359375</v>
      </c>
    </row>
    <row r="328">
      <c r="C328" s="539" t="n">
        <v>39925</v>
      </c>
      <c r="D328" t="n">
        <v>87.37999725341797</v>
      </c>
      <c r="E328" t="n">
        <v>218.7200012207031</v>
      </c>
      <c r="F328" t="n">
        <v>20.83654022216797</v>
      </c>
      <c r="G328" t="n">
        <v>73.22314453125</v>
      </c>
    </row>
    <row r="329">
      <c r="C329" s="539" t="n">
        <v>39926</v>
      </c>
      <c r="D329" t="n">
        <v>88.80000305175781</v>
      </c>
      <c r="E329" t="n">
        <v>223.0399932861328</v>
      </c>
      <c r="F329" t="n">
        <v>21.14599418640137</v>
      </c>
      <c r="G329" t="n">
        <v>73.25503540039062</v>
      </c>
    </row>
    <row r="330">
      <c r="C330" s="539" t="n">
        <v>39927</v>
      </c>
      <c r="D330" t="n">
        <v>89.72000122070312</v>
      </c>
      <c r="E330" t="n">
        <v>231.1999969482422</v>
      </c>
      <c r="F330" t="n">
        <v>21.27493476867676</v>
      </c>
      <c r="G330" t="n">
        <v>73.25503540039062</v>
      </c>
    </row>
    <row r="331">
      <c r="C331" s="539" t="n">
        <v>39930</v>
      </c>
      <c r="D331" t="n">
        <v>89.01000213623047</v>
      </c>
      <c r="E331" t="n">
        <v>224.6399993896484</v>
      </c>
      <c r="F331" t="n">
        <v>20.88811683654785</v>
      </c>
      <c r="G331" t="n">
        <v>73.23907470703125</v>
      </c>
    </row>
    <row r="332">
      <c r="C332" s="539" t="n">
        <v>39931</v>
      </c>
      <c r="D332" t="n">
        <v>87.75</v>
      </c>
      <c r="E332" t="n">
        <v>222.8000030517578</v>
      </c>
      <c r="F332" t="n">
        <v>20.84513664245605</v>
      </c>
      <c r="G332" t="n">
        <v>73.25503540039062</v>
      </c>
    </row>
    <row r="333">
      <c r="C333" s="539" t="n">
        <v>39932</v>
      </c>
      <c r="D333" t="n">
        <v>88.33000183105469</v>
      </c>
      <c r="E333" t="n">
        <v>228.4799957275391</v>
      </c>
      <c r="F333" t="n">
        <v>21.3694896697998</v>
      </c>
      <c r="G333" t="n">
        <v>73.23907470703125</v>
      </c>
    </row>
    <row r="334">
      <c r="C334" s="539" t="n">
        <v>39933</v>
      </c>
      <c r="D334" t="n">
        <v>87.26999664306641</v>
      </c>
      <c r="E334" t="n">
        <v>229.0399932861328</v>
      </c>
      <c r="F334" t="n">
        <v>21.73911285400391</v>
      </c>
      <c r="G334" t="n">
        <v>73.23907470703125</v>
      </c>
    </row>
    <row r="335">
      <c r="C335" s="539" t="n">
        <v>39934</v>
      </c>
      <c r="D335" t="n">
        <v>86.94999694824219</v>
      </c>
      <c r="E335" t="n">
        <v>236.9600067138672</v>
      </c>
      <c r="F335" t="n">
        <v>22.4439811706543</v>
      </c>
      <c r="G335" t="n">
        <v>73.26303863525391</v>
      </c>
    </row>
    <row r="336">
      <c r="C336" s="539" t="n">
        <v>39937</v>
      </c>
      <c r="D336" t="n">
        <v>88.63999938964844</v>
      </c>
      <c r="E336" t="n">
        <v>244.4799957275391</v>
      </c>
      <c r="F336" t="n">
        <v>22.23768043518066</v>
      </c>
      <c r="G336" t="n">
        <v>73.16722106933594</v>
      </c>
    </row>
    <row r="337">
      <c r="C337" s="539" t="n">
        <v>39938</v>
      </c>
      <c r="D337" t="n">
        <v>88.25</v>
      </c>
      <c r="E337" t="n">
        <v>241.1999969482422</v>
      </c>
      <c r="F337" t="n">
        <v>22.10873794555664</v>
      </c>
      <c r="G337" t="n">
        <v>73.18321990966797</v>
      </c>
    </row>
    <row r="338">
      <c r="C338" s="539" t="n">
        <v>39939</v>
      </c>
      <c r="D338" t="n">
        <v>89.54000091552734</v>
      </c>
      <c r="E338" t="n">
        <v>251.4400024414062</v>
      </c>
      <c r="F338" t="n">
        <v>22.40099906921387</v>
      </c>
      <c r="G338" t="n">
        <v>73.16722106933594</v>
      </c>
    </row>
    <row r="339">
      <c r="C339" s="539" t="n">
        <v>39940</v>
      </c>
      <c r="D339" t="n">
        <v>89.44000244140625</v>
      </c>
      <c r="E339" t="n">
        <v>251.9199981689453</v>
      </c>
      <c r="F339" t="n">
        <v>22.48696136474609</v>
      </c>
      <c r="G339" t="n">
        <v>73.16722106933594</v>
      </c>
    </row>
    <row r="340">
      <c r="C340" s="539" t="n">
        <v>39941</v>
      </c>
      <c r="D340" t="n">
        <v>89.98000335693359</v>
      </c>
      <c r="E340" t="n">
        <v>259.9200134277344</v>
      </c>
      <c r="F340" t="n">
        <v>22.97692680358887</v>
      </c>
      <c r="G340" t="n">
        <v>73.18321990966797</v>
      </c>
    </row>
    <row r="341">
      <c r="C341" s="539" t="n">
        <v>39944</v>
      </c>
      <c r="D341" t="n">
        <v>89.69000244140625</v>
      </c>
      <c r="E341" t="n">
        <v>258.3200073242188</v>
      </c>
      <c r="F341" t="n">
        <v>22.9339485168457</v>
      </c>
      <c r="G341" t="n">
        <v>73.16722106933594</v>
      </c>
    </row>
    <row r="342">
      <c r="C342" s="539" t="n">
        <v>39945</v>
      </c>
      <c r="D342" t="n">
        <v>90.69999694824219</v>
      </c>
      <c r="E342" t="n">
        <v>261.0400085449219</v>
      </c>
      <c r="F342" t="n">
        <v>23.07148361206055</v>
      </c>
      <c r="G342" t="n">
        <v>73.23111724853516</v>
      </c>
    </row>
    <row r="343">
      <c r="C343" s="539" t="n">
        <v>39946</v>
      </c>
      <c r="D343" t="n">
        <v>91.08999633789062</v>
      </c>
      <c r="E343" t="n">
        <v>257.5199890136719</v>
      </c>
      <c r="F343" t="n">
        <v>22.77922058105469</v>
      </c>
      <c r="G343" t="n">
        <v>73.18321990966797</v>
      </c>
    </row>
    <row r="344">
      <c r="C344" s="539" t="n">
        <v>39947</v>
      </c>
      <c r="D344" t="n">
        <v>91.02999877929688</v>
      </c>
      <c r="E344" t="n">
        <v>259.2000122070312</v>
      </c>
      <c r="F344" t="n">
        <v>23.24340057373047</v>
      </c>
      <c r="G344" t="n">
        <v>73.19917297363281</v>
      </c>
    </row>
    <row r="345">
      <c r="C345" s="539" t="n">
        <v>39948</v>
      </c>
      <c r="D345" t="n">
        <v>91.55000305175781</v>
      </c>
      <c r="E345" t="n">
        <v>250.3999938964844</v>
      </c>
      <c r="F345" t="n">
        <v>22.47836303710938</v>
      </c>
      <c r="G345" t="n">
        <v>73.19917297363281</v>
      </c>
    </row>
    <row r="346">
      <c r="C346" s="539" t="n">
        <v>39951</v>
      </c>
      <c r="D346" t="n">
        <v>90.36000061035156</v>
      </c>
      <c r="E346" t="n">
        <v>261.6799926757812</v>
      </c>
      <c r="F346" t="n">
        <v>23.11446189880371</v>
      </c>
      <c r="G346" t="n">
        <v>73.24708557128906</v>
      </c>
    </row>
    <row r="347">
      <c r="C347" s="539" t="n">
        <v>39952</v>
      </c>
      <c r="D347" t="n">
        <v>90.95999908447266</v>
      </c>
      <c r="E347" t="n">
        <v>262.3200073242188</v>
      </c>
      <c r="F347" t="n">
        <v>23.1230583190918</v>
      </c>
      <c r="G347" t="n">
        <v>73.23111724853516</v>
      </c>
    </row>
    <row r="348">
      <c r="C348" s="539" t="n">
        <v>39953</v>
      </c>
      <c r="D348" t="n">
        <v>92.25</v>
      </c>
      <c r="E348" t="n">
        <v>270.9599914550781</v>
      </c>
      <c r="F348" t="n">
        <v>23.25199699401855</v>
      </c>
      <c r="G348" t="n">
        <v>73.16722106933594</v>
      </c>
    </row>
    <row r="349">
      <c r="C349" s="539" t="n">
        <v>39954</v>
      </c>
      <c r="D349" t="n">
        <v>93.84999847412109</v>
      </c>
      <c r="E349" t="n">
        <v>267.0400085449219</v>
      </c>
      <c r="F349" t="n">
        <v>23.38093566894531</v>
      </c>
      <c r="G349" t="n">
        <v>73.21516418457031</v>
      </c>
    </row>
    <row r="350">
      <c r="C350" s="539" t="n">
        <v>39955</v>
      </c>
      <c r="D350" t="n">
        <v>94.15000152587891</v>
      </c>
      <c r="E350" t="n">
        <v>269.6000061035156</v>
      </c>
      <c r="F350" t="n">
        <v>23.75056076049805</v>
      </c>
      <c r="G350" t="n">
        <v>73.23111724853516</v>
      </c>
    </row>
    <row r="351">
      <c r="C351" s="539" t="n">
        <v>39959</v>
      </c>
      <c r="D351" t="n">
        <v>93.76000213623047</v>
      </c>
      <c r="E351" t="n">
        <v>272.8800048828125</v>
      </c>
      <c r="F351" t="n">
        <v>23.81932640075684</v>
      </c>
      <c r="G351" t="n">
        <v>73.24708557128906</v>
      </c>
    </row>
    <row r="352">
      <c r="C352" s="539" t="n">
        <v>39960</v>
      </c>
      <c r="D352" t="n">
        <v>93.44999694824219</v>
      </c>
      <c r="E352" t="n">
        <v>276.6400146484375</v>
      </c>
      <c r="F352" t="n">
        <v>23.81932640075684</v>
      </c>
      <c r="G352" t="n">
        <v>73.24708557128906</v>
      </c>
    </row>
    <row r="353">
      <c r="C353" s="539" t="n">
        <v>39961</v>
      </c>
      <c r="D353" t="n">
        <v>94.23999786376953</v>
      </c>
      <c r="E353" t="n">
        <v>282.7200012207031</v>
      </c>
      <c r="F353" t="n">
        <v>23.86230659484863</v>
      </c>
      <c r="G353" t="n">
        <v>73.23111724853516</v>
      </c>
    </row>
    <row r="354">
      <c r="C354" s="539" t="n">
        <v>39962</v>
      </c>
      <c r="D354" t="n">
        <v>96.19999694824219</v>
      </c>
      <c r="E354" t="n">
        <v>291.2000122070312</v>
      </c>
      <c r="F354" t="n">
        <v>23.97405433654785</v>
      </c>
      <c r="G354" t="n">
        <v>73.24708557128906</v>
      </c>
    </row>
    <row r="355">
      <c r="C355" s="539" t="n">
        <v>39965</v>
      </c>
      <c r="D355" t="n">
        <v>95.73000335693359</v>
      </c>
      <c r="E355" t="n">
        <v>299.4400024414062</v>
      </c>
      <c r="F355" t="n">
        <v>24.81645965576172</v>
      </c>
      <c r="G355" t="n">
        <v>73.18958282470703</v>
      </c>
    </row>
    <row r="356">
      <c r="C356" s="539" t="n">
        <v>39966</v>
      </c>
      <c r="D356" t="n">
        <v>96.36000061035156</v>
      </c>
      <c r="E356" t="n">
        <v>300.8800048828125</v>
      </c>
      <c r="F356" t="n">
        <v>24.5585765838623</v>
      </c>
      <c r="G356" t="n">
        <v>73.18958282470703</v>
      </c>
    </row>
    <row r="357">
      <c r="C357" s="539" t="n">
        <v>39967</v>
      </c>
      <c r="D357" t="n">
        <v>94.41000366210938</v>
      </c>
      <c r="E357" t="n">
        <v>290</v>
      </c>
      <c r="F357" t="n">
        <v>23.63881301879883</v>
      </c>
      <c r="G357" t="n">
        <v>73.22157287597656</v>
      </c>
    </row>
    <row r="358">
      <c r="C358" s="539" t="n">
        <v>39968</v>
      </c>
      <c r="D358" t="n">
        <v>96.23000335693359</v>
      </c>
      <c r="E358" t="n">
        <v>301.5199890136719</v>
      </c>
      <c r="F358" t="n">
        <v>24.19754981994629</v>
      </c>
      <c r="G358" t="n">
        <v>73.22157287597656</v>
      </c>
    </row>
    <row r="359">
      <c r="C359" s="539" t="n">
        <v>39969</v>
      </c>
      <c r="D359" t="n">
        <v>93.70999908447266</v>
      </c>
      <c r="E359" t="n">
        <v>299.2000122070312</v>
      </c>
      <c r="F359" t="n">
        <v>24.02563095092773</v>
      </c>
      <c r="G359" t="n">
        <v>73.20553588867188</v>
      </c>
    </row>
    <row r="360">
      <c r="C360" s="539" t="n">
        <v>39972</v>
      </c>
      <c r="D360" t="n">
        <v>93.55999755859375</v>
      </c>
      <c r="E360" t="n">
        <v>300.3200073242188</v>
      </c>
      <c r="F360" t="n">
        <v>23.68179321289062</v>
      </c>
      <c r="G360" t="n">
        <v>73.22157287597656</v>
      </c>
    </row>
    <row r="361">
      <c r="C361" s="539" t="n">
        <v>39973</v>
      </c>
      <c r="D361" t="n">
        <v>93.83000183105469</v>
      </c>
      <c r="E361" t="n">
        <v>305.5199890136719</v>
      </c>
      <c r="F361" t="n">
        <v>23.95686149597168</v>
      </c>
      <c r="G361" t="n">
        <v>73.20553588867188</v>
      </c>
    </row>
    <row r="362">
      <c r="C362" s="539" t="n">
        <v>39974</v>
      </c>
      <c r="D362" t="n">
        <v>93.86000061035156</v>
      </c>
      <c r="E362" t="n">
        <v>311.760009765625</v>
      </c>
      <c r="F362" t="n">
        <v>23.69038963317871</v>
      </c>
      <c r="G362" t="n">
        <v>73.22157287597656</v>
      </c>
    </row>
    <row r="363">
      <c r="C363" s="539" t="n">
        <v>39975</v>
      </c>
      <c r="D363" t="n">
        <v>93.69999694824219</v>
      </c>
      <c r="E363" t="n">
        <v>317.4400024414062</v>
      </c>
      <c r="F363" t="n">
        <v>23.78494262695312</v>
      </c>
      <c r="G363" t="n">
        <v>73.17361450195312</v>
      </c>
    </row>
    <row r="364">
      <c r="C364" s="539" t="n">
        <v>39976</v>
      </c>
      <c r="D364" t="n">
        <v>92.16999816894531</v>
      </c>
      <c r="E364" t="n">
        <v>315.4400024414062</v>
      </c>
      <c r="F364" t="n">
        <v>23.48408508300781</v>
      </c>
      <c r="G364" t="n">
        <v>73.23748016357422</v>
      </c>
    </row>
    <row r="365">
      <c r="C365" s="539" t="n">
        <v>39979</v>
      </c>
      <c r="D365" t="n">
        <v>91.09999847412109</v>
      </c>
      <c r="E365" t="n">
        <v>308.1600036621094</v>
      </c>
      <c r="F365" t="n">
        <v>22.68466377258301</v>
      </c>
      <c r="G365" t="n">
        <v>73.23748016357422</v>
      </c>
    </row>
    <row r="366">
      <c r="C366" s="539" t="n">
        <v>39980</v>
      </c>
      <c r="D366" t="n">
        <v>91.93000030517578</v>
      </c>
      <c r="E366" t="n">
        <v>308.0799865722656</v>
      </c>
      <c r="F366" t="n">
        <v>22.63309288024902</v>
      </c>
      <c r="G366" t="n">
        <v>73.25344848632812</v>
      </c>
    </row>
    <row r="367">
      <c r="C367" s="539" t="n">
        <v>39981</v>
      </c>
      <c r="D367" t="n">
        <v>92.34999847412109</v>
      </c>
      <c r="E367" t="n">
        <v>309.6000061035156</v>
      </c>
      <c r="F367" t="n">
        <v>22.73624229431152</v>
      </c>
      <c r="G367" t="n">
        <v>73.25344848632812</v>
      </c>
    </row>
    <row r="368">
      <c r="C368" s="539" t="n">
        <v>39982</v>
      </c>
      <c r="D368" t="n">
        <v>91.61000061035156</v>
      </c>
      <c r="E368" t="n">
        <v>310.7999877929688</v>
      </c>
      <c r="F368" t="n">
        <v>22.59870719909668</v>
      </c>
      <c r="G368" t="n">
        <v>73.23748016357422</v>
      </c>
    </row>
    <row r="369">
      <c r="C369" s="539" t="n">
        <v>39983</v>
      </c>
      <c r="D369" t="n">
        <v>91.90000152587891</v>
      </c>
      <c r="E369" t="n">
        <v>303.760009765625</v>
      </c>
      <c r="F369" t="n">
        <v>22.34942436218262</v>
      </c>
      <c r="G369" t="n">
        <v>73.25344848632812</v>
      </c>
    </row>
    <row r="370">
      <c r="C370" s="539" t="n">
        <v>39986</v>
      </c>
      <c r="D370" t="n">
        <v>90.54000091552734</v>
      </c>
      <c r="E370" t="n">
        <v>290</v>
      </c>
      <c r="F370" t="n">
        <v>22.05716323852539</v>
      </c>
      <c r="G370" t="n">
        <v>73.25344848632812</v>
      </c>
    </row>
    <row r="371">
      <c r="C371" s="539" t="n">
        <v>39987</v>
      </c>
      <c r="D371" t="n">
        <v>90.91999816894531</v>
      </c>
      <c r="E371" t="n">
        <v>299.2799987792969</v>
      </c>
      <c r="F371" t="n">
        <v>22.40099906921387</v>
      </c>
      <c r="G371" t="n">
        <v>73.25344848632812</v>
      </c>
    </row>
    <row r="372">
      <c r="C372" s="539" t="n">
        <v>39988</v>
      </c>
      <c r="D372" t="n">
        <v>91.44999694824219</v>
      </c>
      <c r="E372" t="n">
        <v>296.7200012207031</v>
      </c>
      <c r="F372" t="n">
        <v>22.28925323486328</v>
      </c>
      <c r="G372" t="n">
        <v>73.25344848632812</v>
      </c>
    </row>
    <row r="373">
      <c r="C373" s="539" t="n">
        <v>39989</v>
      </c>
      <c r="D373" t="n">
        <v>92.30999755859375</v>
      </c>
      <c r="E373" t="n">
        <v>304.3999938964844</v>
      </c>
      <c r="F373" t="n">
        <v>22.41819190979004</v>
      </c>
      <c r="G373" t="n">
        <v>73.25344848632812</v>
      </c>
    </row>
    <row r="374">
      <c r="C374" s="539" t="n">
        <v>39990</v>
      </c>
      <c r="D374" t="n">
        <v>92.29000091552734</v>
      </c>
      <c r="E374" t="n">
        <v>300.0799865722656</v>
      </c>
      <c r="F374" t="n">
        <v>22.24627304077148</v>
      </c>
      <c r="G374" t="n">
        <v>73.25344848632812</v>
      </c>
    </row>
    <row r="375">
      <c r="C375" s="539" t="n">
        <v>39993</v>
      </c>
      <c r="D375" t="n">
        <v>92.04000091552734</v>
      </c>
      <c r="E375" t="n">
        <v>309.3599853515625</v>
      </c>
      <c r="F375" t="n">
        <v>22.23768043518066</v>
      </c>
      <c r="G375" t="n">
        <v>73.25344848632812</v>
      </c>
    </row>
    <row r="376">
      <c r="C376" s="539" t="n">
        <v>39994</v>
      </c>
      <c r="D376" t="n">
        <v>91.18000030517578</v>
      </c>
      <c r="E376" t="n">
        <v>303.4400024414062</v>
      </c>
      <c r="F376" t="n">
        <v>21.87664794921875</v>
      </c>
      <c r="G376" t="n">
        <v>73.23748016357422</v>
      </c>
    </row>
    <row r="377">
      <c r="C377" s="539" t="n">
        <v>39995</v>
      </c>
      <c r="D377" t="n">
        <v>92.38999938964844</v>
      </c>
      <c r="E377" t="n">
        <v>299.6799926757812</v>
      </c>
      <c r="F377" t="n">
        <v>22.10873794555664</v>
      </c>
      <c r="G377" t="n">
        <v>73.23907470703125</v>
      </c>
    </row>
    <row r="378">
      <c r="C378" s="539" t="n">
        <v>39996</v>
      </c>
      <c r="D378" t="n">
        <v>91.25</v>
      </c>
      <c r="E378" t="n">
        <v>288.3999938964844</v>
      </c>
      <c r="F378" t="n">
        <v>21.54140663146973</v>
      </c>
      <c r="G378" t="n">
        <v>73.25503540039062</v>
      </c>
    </row>
    <row r="379">
      <c r="C379" s="539" t="n">
        <v>40000</v>
      </c>
      <c r="D379" t="n">
        <v>90.76000213623047</v>
      </c>
      <c r="E379" t="n">
        <v>277.6799926757812</v>
      </c>
      <c r="F379" t="n">
        <v>20.97407722473145</v>
      </c>
      <c r="G379" t="n">
        <v>73.23907470703125</v>
      </c>
    </row>
    <row r="380">
      <c r="C380" s="539" t="n">
        <v>40001</v>
      </c>
      <c r="D380" t="n">
        <v>90.70999908447266</v>
      </c>
      <c r="E380" t="n">
        <v>270.4800109863281</v>
      </c>
      <c r="F380" t="n">
        <v>20.28640174865723</v>
      </c>
      <c r="G380" t="n">
        <v>73.23907470703125</v>
      </c>
    </row>
    <row r="381">
      <c r="C381" s="539" t="n">
        <v>40002</v>
      </c>
      <c r="D381" t="n">
        <v>89.26999664306641</v>
      </c>
      <c r="E381" t="n">
        <v>260.5599975585938</v>
      </c>
      <c r="F381" t="n">
        <v>20.69040870666504</v>
      </c>
      <c r="G381" t="n">
        <v>73.25503540039062</v>
      </c>
    </row>
    <row r="382">
      <c r="C382" s="539" t="n">
        <v>40003</v>
      </c>
      <c r="D382" t="n">
        <v>89.51000213623047</v>
      </c>
      <c r="E382" t="n">
        <v>262.1600036621094</v>
      </c>
      <c r="F382" t="n">
        <v>20.78496551513672</v>
      </c>
      <c r="G382" t="n">
        <v>73.23907470703125</v>
      </c>
    </row>
    <row r="383">
      <c r="C383" s="539" t="n">
        <v>40004</v>
      </c>
      <c r="D383" t="n">
        <v>89.58000183105469</v>
      </c>
      <c r="E383" t="n">
        <v>259.0400085449219</v>
      </c>
      <c r="F383" t="n">
        <v>20.58725738525391</v>
      </c>
      <c r="G383" t="n">
        <v>73.23907470703125</v>
      </c>
    </row>
    <row r="384">
      <c r="C384" s="539" t="n">
        <v>40007</v>
      </c>
      <c r="D384" t="n">
        <v>90.19000244140625</v>
      </c>
      <c r="E384" t="n">
        <v>258.9599914550781</v>
      </c>
      <c r="F384" t="n">
        <v>21.16318702697754</v>
      </c>
      <c r="G384" t="n">
        <v>73.25503540039062</v>
      </c>
    </row>
    <row r="385">
      <c r="C385" s="539" t="n">
        <v>40008</v>
      </c>
      <c r="D385" t="n">
        <v>90.80999755859375</v>
      </c>
      <c r="E385" t="n">
        <v>256.8800048828125</v>
      </c>
      <c r="F385" t="n">
        <v>20.98266983032227</v>
      </c>
      <c r="G385" t="n">
        <v>73.25503540039062</v>
      </c>
    </row>
    <row r="386">
      <c r="C386" s="539" t="n">
        <v>40009</v>
      </c>
      <c r="D386" t="n">
        <v>92.23999786376953</v>
      </c>
      <c r="E386" t="n">
        <v>267.760009765625</v>
      </c>
      <c r="F386" t="n">
        <v>20.97407722473145</v>
      </c>
      <c r="G386" t="n">
        <v>73.22317504882812</v>
      </c>
    </row>
    <row r="387">
      <c r="C387" s="539" t="n">
        <v>40010</v>
      </c>
      <c r="D387" t="n">
        <v>91.98000335693359</v>
      </c>
      <c r="E387" t="n">
        <v>268.4800109863281</v>
      </c>
      <c r="F387" t="n">
        <v>20.70760154724121</v>
      </c>
      <c r="G387" t="n">
        <v>73.25503540039062</v>
      </c>
    </row>
    <row r="388">
      <c r="C388" s="539" t="n">
        <v>40011</v>
      </c>
      <c r="D388" t="n">
        <v>91.93000030517578</v>
      </c>
      <c r="E388" t="n">
        <v>273.9200134277344</v>
      </c>
      <c r="F388" t="n">
        <v>20.88811683654785</v>
      </c>
      <c r="G388" t="n">
        <v>73.25503540039062</v>
      </c>
    </row>
    <row r="389">
      <c r="C389" s="539" t="n">
        <v>40014</v>
      </c>
      <c r="D389" t="n">
        <v>93.27999877929688</v>
      </c>
      <c r="E389" t="n">
        <v>278.6400146484375</v>
      </c>
      <c r="F389" t="n">
        <v>21.23195457458496</v>
      </c>
      <c r="G389" t="n">
        <v>73.22317504882812</v>
      </c>
    </row>
    <row r="390">
      <c r="C390" s="539" t="n">
        <v>40015</v>
      </c>
      <c r="D390" t="n">
        <v>93.12999725341797</v>
      </c>
      <c r="E390" t="n">
        <v>279.5199890136719</v>
      </c>
      <c r="F390" t="n">
        <v>20.88811683654785</v>
      </c>
      <c r="G390" t="n">
        <v>73.22317504882812</v>
      </c>
    </row>
    <row r="391">
      <c r="C391" s="539" t="n">
        <v>40016</v>
      </c>
      <c r="D391" t="n">
        <v>93.44000244140625</v>
      </c>
      <c r="E391" t="n">
        <v>278.4800109863281</v>
      </c>
      <c r="F391" t="n">
        <v>20.7161979675293</v>
      </c>
      <c r="G391" t="n">
        <v>73.23907470703125</v>
      </c>
    </row>
    <row r="392">
      <c r="C392" s="539" t="n">
        <v>40017</v>
      </c>
      <c r="D392" t="n">
        <v>93.26000213623047</v>
      </c>
      <c r="E392" t="n">
        <v>286.3200073242188</v>
      </c>
      <c r="F392" t="n">
        <v>21.18897247314453</v>
      </c>
      <c r="G392" t="n">
        <v>73.22317504882812</v>
      </c>
    </row>
    <row r="393">
      <c r="C393" s="539" t="n">
        <v>40018</v>
      </c>
      <c r="D393" t="n">
        <v>93.41000366210938</v>
      </c>
      <c r="E393" t="n">
        <v>289.760009765625</v>
      </c>
      <c r="F393" t="n">
        <v>20.9396915435791</v>
      </c>
      <c r="G393" t="n">
        <v>73.20713043212891</v>
      </c>
    </row>
    <row r="394">
      <c r="C394" s="539" t="n">
        <v>40021</v>
      </c>
      <c r="D394" t="n">
        <v>93.70999908447266</v>
      </c>
      <c r="E394" t="n">
        <v>290.5599975585938</v>
      </c>
      <c r="F394" t="n">
        <v>21.06003379821777</v>
      </c>
      <c r="G394" t="n">
        <v>73.20713043212891</v>
      </c>
    </row>
    <row r="395">
      <c r="C395" s="539" t="n">
        <v>40022</v>
      </c>
      <c r="D395" t="n">
        <v>92.11000061035156</v>
      </c>
      <c r="E395" t="n">
        <v>286.0799865722656</v>
      </c>
      <c r="F395" t="n">
        <v>21.17177963256836</v>
      </c>
      <c r="G395" t="n">
        <v>73.22317504882812</v>
      </c>
    </row>
    <row r="396">
      <c r="C396" s="539" t="n">
        <v>40023</v>
      </c>
      <c r="D396" t="n">
        <v>91.19999694824219</v>
      </c>
      <c r="E396" t="n">
        <v>267.760009765625</v>
      </c>
      <c r="F396" t="n">
        <v>20.90530776977539</v>
      </c>
      <c r="G396" t="n">
        <v>73.22317504882812</v>
      </c>
    </row>
    <row r="397">
      <c r="C397" s="539" t="n">
        <v>40024</v>
      </c>
      <c r="D397" t="n">
        <v>91.62000274658203</v>
      </c>
      <c r="E397" t="n">
        <v>283.9200134277344</v>
      </c>
      <c r="F397" t="n">
        <v>21.48983001708984</v>
      </c>
      <c r="G397" t="n">
        <v>73.23907470703125</v>
      </c>
    </row>
    <row r="398">
      <c r="C398" s="539" t="n">
        <v>40025</v>
      </c>
      <c r="D398" t="n">
        <v>93.34999847412109</v>
      </c>
      <c r="E398" t="n">
        <v>294.4800109863281</v>
      </c>
      <c r="F398" t="n">
        <v>21.80788230895996</v>
      </c>
      <c r="G398" t="n">
        <v>73.19121551513672</v>
      </c>
    </row>
    <row r="399">
      <c r="C399" s="539" t="n">
        <v>40028</v>
      </c>
      <c r="D399" t="n">
        <v>93.87000274658203</v>
      </c>
      <c r="E399" t="n">
        <v>303.3599853515625</v>
      </c>
      <c r="F399" t="n">
        <v>22.65028190612793</v>
      </c>
      <c r="G399" t="n">
        <v>73.21034240722656</v>
      </c>
    </row>
    <row r="400">
      <c r="C400" s="539" t="n">
        <v>40029</v>
      </c>
      <c r="D400" t="n">
        <v>94.68000030517578</v>
      </c>
      <c r="E400" t="n">
        <v>303.760009765625</v>
      </c>
      <c r="F400" t="n">
        <v>22.59011077880859</v>
      </c>
      <c r="G400" t="n">
        <v>73.22636413574219</v>
      </c>
    </row>
    <row r="401">
      <c r="C401" s="539" t="n">
        <v>40030</v>
      </c>
      <c r="D401" t="n">
        <v>94.77999877929688</v>
      </c>
      <c r="E401" t="n">
        <v>305.6000061035156</v>
      </c>
      <c r="F401" t="n">
        <v>22.37521171569824</v>
      </c>
      <c r="G401" t="n">
        <v>73.21034240722656</v>
      </c>
    </row>
    <row r="402">
      <c r="C402" s="539" t="n">
        <v>40031</v>
      </c>
      <c r="D402" t="n">
        <v>94.59999847412109</v>
      </c>
      <c r="E402" t="n">
        <v>306.1600036621094</v>
      </c>
      <c r="F402" t="n">
        <v>21.97120094299316</v>
      </c>
      <c r="G402" t="n">
        <v>73.21034240722656</v>
      </c>
    </row>
    <row r="403">
      <c r="C403" s="539" t="n">
        <v>40032</v>
      </c>
      <c r="D403" t="n">
        <v>93.75</v>
      </c>
      <c r="E403" t="n">
        <v>301.2000122070312</v>
      </c>
      <c r="F403" t="n">
        <v>22.0313720703125</v>
      </c>
      <c r="G403" t="n">
        <v>73.21034240722656</v>
      </c>
    </row>
    <row r="404">
      <c r="C404" s="539" t="n">
        <v>40035</v>
      </c>
      <c r="D404" t="n">
        <v>92.93000030517578</v>
      </c>
      <c r="E404" t="n">
        <v>301.6799926757812</v>
      </c>
      <c r="F404" t="n">
        <v>22.16890907287598</v>
      </c>
      <c r="G404" t="n">
        <v>73.21034240722656</v>
      </c>
    </row>
    <row r="405">
      <c r="C405" s="539" t="n">
        <v>40036</v>
      </c>
      <c r="D405" t="n">
        <v>92.79000091552734</v>
      </c>
      <c r="E405" t="n">
        <v>294.8800048828125</v>
      </c>
      <c r="F405" t="n">
        <v>22.36661720275879</v>
      </c>
      <c r="G405" t="n">
        <v>73.21034240722656</v>
      </c>
    </row>
    <row r="406">
      <c r="C406" s="539" t="n">
        <v>40037</v>
      </c>
      <c r="D406" t="n">
        <v>92.94999694824219</v>
      </c>
      <c r="E406" t="n">
        <v>298.7999877929688</v>
      </c>
      <c r="F406" t="n">
        <v>22.71045303344727</v>
      </c>
      <c r="G406" t="n">
        <v>73.24228668212891</v>
      </c>
    </row>
    <row r="407">
      <c r="C407" s="539" t="n">
        <v>40038</v>
      </c>
      <c r="D407" t="n">
        <v>93.72000122070312</v>
      </c>
      <c r="E407" t="n">
        <v>302.3999938964844</v>
      </c>
      <c r="F407" t="n">
        <v>22.46976661682129</v>
      </c>
      <c r="G407" t="n">
        <v>73.21034240722656</v>
      </c>
    </row>
    <row r="408">
      <c r="C408" s="539" t="n">
        <v>40039</v>
      </c>
      <c r="D408" t="n">
        <v>93</v>
      </c>
      <c r="E408" t="n">
        <v>288.239990234375</v>
      </c>
      <c r="F408" t="n">
        <v>21.97979927062988</v>
      </c>
      <c r="G408" t="n">
        <v>73.24228668212891</v>
      </c>
    </row>
    <row r="409">
      <c r="C409" s="539" t="n">
        <v>40042</v>
      </c>
      <c r="D409" t="n">
        <v>91.61000061035156</v>
      </c>
      <c r="E409" t="n">
        <v>284.1600036621094</v>
      </c>
      <c r="F409" t="n">
        <v>21.5585994720459</v>
      </c>
      <c r="G409" t="n">
        <v>73.21034240722656</v>
      </c>
    </row>
    <row r="410">
      <c r="C410" s="539" t="n">
        <v>40043</v>
      </c>
      <c r="D410" t="n">
        <v>92.05999755859375</v>
      </c>
      <c r="E410" t="n">
        <v>294.8800048828125</v>
      </c>
      <c r="F410" t="n">
        <v>21.83366966247559</v>
      </c>
      <c r="G410" t="n">
        <v>73.24228668212891</v>
      </c>
    </row>
    <row r="411">
      <c r="C411" s="539" t="n">
        <v>40044</v>
      </c>
      <c r="D411" t="n">
        <v>92.52999877929688</v>
      </c>
      <c r="E411" t="n">
        <v>304.9599914550781</v>
      </c>
      <c r="F411" t="n">
        <v>21.82507133483887</v>
      </c>
      <c r="G411" t="n">
        <v>73.21034240722656</v>
      </c>
    </row>
    <row r="412">
      <c r="C412" s="539" t="n">
        <v>40045</v>
      </c>
      <c r="D412" t="n">
        <v>92.26999664306641</v>
      </c>
      <c r="E412" t="n">
        <v>301.3599853515625</v>
      </c>
      <c r="F412" t="n">
        <v>21.48123359680176</v>
      </c>
      <c r="G412" t="n">
        <v>73.22636413574219</v>
      </c>
    </row>
    <row r="413">
      <c r="C413" s="539" t="n">
        <v>40046</v>
      </c>
      <c r="D413" t="n">
        <v>93.65000152587891</v>
      </c>
      <c r="E413" t="n">
        <v>305.8399963378906</v>
      </c>
      <c r="F413" t="n">
        <v>21.63596153259277</v>
      </c>
      <c r="G413" t="n">
        <v>73.21034240722656</v>
      </c>
    </row>
    <row r="414">
      <c r="C414" s="539" t="n">
        <v>40049</v>
      </c>
      <c r="D414" t="n">
        <v>92.33999633789062</v>
      </c>
      <c r="E414" t="n">
        <v>306.3999938964844</v>
      </c>
      <c r="F414" t="n">
        <v>21.83366966247559</v>
      </c>
      <c r="G414" t="n">
        <v>73.21034240722656</v>
      </c>
    </row>
    <row r="415">
      <c r="C415" s="539" t="n">
        <v>40050</v>
      </c>
      <c r="D415" t="n">
        <v>92.76000213623047</v>
      </c>
      <c r="E415" t="n">
        <v>297.3599853515625</v>
      </c>
      <c r="F415" t="n">
        <v>21.96260833740234</v>
      </c>
      <c r="G415" t="n">
        <v>73.21034240722656</v>
      </c>
    </row>
    <row r="416">
      <c r="C416" s="539" t="n">
        <v>40051</v>
      </c>
      <c r="D416" t="n">
        <v>92.79000091552734</v>
      </c>
      <c r="E416" t="n">
        <v>295.6000061035156</v>
      </c>
      <c r="F416" t="n">
        <v>22.10873794555664</v>
      </c>
      <c r="G416" t="n">
        <v>73.22636413574219</v>
      </c>
    </row>
    <row r="417">
      <c r="C417" s="539" t="n">
        <v>40052</v>
      </c>
      <c r="D417" t="n">
        <v>93.19000244140625</v>
      </c>
      <c r="E417" t="n">
        <v>301.760009765625</v>
      </c>
      <c r="F417" t="n">
        <v>22.1345272064209</v>
      </c>
      <c r="G417" t="n">
        <v>73.22636413574219</v>
      </c>
    </row>
    <row r="418">
      <c r="C418" s="539" t="n">
        <v>40053</v>
      </c>
      <c r="D418" t="n">
        <v>93.87000274658203</v>
      </c>
      <c r="E418" t="n">
        <v>301.2799987792969</v>
      </c>
      <c r="F418" t="n">
        <v>22.33223533630371</v>
      </c>
      <c r="G418" t="n">
        <v>73.24228668212891</v>
      </c>
    </row>
    <row r="419">
      <c r="C419" s="539" t="n">
        <v>40056</v>
      </c>
      <c r="D419" t="n">
        <v>93.40000152587891</v>
      </c>
      <c r="E419" t="n">
        <v>288.3999938964844</v>
      </c>
      <c r="F419" t="n">
        <v>22.42678833007812</v>
      </c>
      <c r="G419" t="n">
        <v>73.24228668212891</v>
      </c>
    </row>
    <row r="420">
      <c r="C420" s="539" t="n">
        <v>40057</v>
      </c>
      <c r="D420" t="n">
        <v>93.90000152587891</v>
      </c>
      <c r="E420" t="n">
        <v>282.1600036621094</v>
      </c>
      <c r="F420" t="n">
        <v>21.98839569091797</v>
      </c>
      <c r="G420" t="n">
        <v>73.19758605957031</v>
      </c>
    </row>
    <row r="421">
      <c r="C421" s="539" t="n">
        <v>40058</v>
      </c>
      <c r="D421" t="n">
        <v>96.19000244140625</v>
      </c>
      <c r="E421" t="n">
        <v>281.4400024414062</v>
      </c>
      <c r="F421" t="n">
        <v>21.79068946838379</v>
      </c>
      <c r="G421" t="n">
        <v>73.26143646240234</v>
      </c>
    </row>
    <row r="422">
      <c r="C422" s="539" t="n">
        <v>40059</v>
      </c>
      <c r="D422" t="n">
        <v>97.45999908447266</v>
      </c>
      <c r="E422" t="n">
        <v>282.5599975585938</v>
      </c>
      <c r="F422" t="n">
        <v>21.46404266357422</v>
      </c>
      <c r="G422" t="n">
        <v>73.26143646240234</v>
      </c>
    </row>
    <row r="423">
      <c r="C423" s="539" t="n">
        <v>40060</v>
      </c>
      <c r="D423" t="n">
        <v>97.52999877929688</v>
      </c>
      <c r="E423" t="n">
        <v>281.0400085449219</v>
      </c>
      <c r="F423" t="n">
        <v>20.76777267456055</v>
      </c>
      <c r="G423" t="n">
        <v>73.26143646240234</v>
      </c>
    </row>
    <row r="424">
      <c r="C424" s="539" t="n">
        <v>40064</v>
      </c>
      <c r="D424" t="n">
        <v>97.43000030517578</v>
      </c>
      <c r="E424" t="n">
        <v>295.5199890136719</v>
      </c>
      <c r="F424" t="n">
        <v>20.7161979675293</v>
      </c>
      <c r="G424" t="n">
        <v>73.26143646240234</v>
      </c>
    </row>
    <row r="425">
      <c r="C425" s="539" t="n">
        <v>40065</v>
      </c>
      <c r="D425" t="n">
        <v>97.08000183105469</v>
      </c>
      <c r="E425" t="n">
        <v>295.5199890136719</v>
      </c>
      <c r="F425" t="n">
        <v>20.75917625427246</v>
      </c>
      <c r="G425" t="n">
        <v>73.21355438232422</v>
      </c>
    </row>
    <row r="426">
      <c r="C426" s="539" t="n">
        <v>40066</v>
      </c>
      <c r="D426" t="n">
        <v>97.69999694824219</v>
      </c>
      <c r="E426" t="n">
        <v>298.9599914550781</v>
      </c>
      <c r="F426" t="n">
        <v>21.23195457458496</v>
      </c>
      <c r="G426" t="n">
        <v>73.22954559326172</v>
      </c>
    </row>
    <row r="427">
      <c r="C427" s="539" t="n">
        <v>40067</v>
      </c>
      <c r="D427" t="n">
        <v>98.77999877929688</v>
      </c>
      <c r="E427" t="n">
        <v>286.5599975585938</v>
      </c>
      <c r="F427" t="n">
        <v>21.05143737792969</v>
      </c>
      <c r="G427" t="n">
        <v>73.21355438232422</v>
      </c>
    </row>
    <row r="428">
      <c r="C428" s="539" t="n">
        <v>40070</v>
      </c>
      <c r="D428" t="n">
        <v>97.95999908447266</v>
      </c>
      <c r="E428" t="n">
        <v>285.6799926757812</v>
      </c>
      <c r="F428" t="n">
        <v>21.19757080078125</v>
      </c>
      <c r="G428" t="n">
        <v>73.21355438232422</v>
      </c>
    </row>
    <row r="429">
      <c r="C429" s="539" t="n">
        <v>40071</v>
      </c>
      <c r="D429" t="n">
        <v>98.90000152587891</v>
      </c>
      <c r="E429" t="n">
        <v>293.6000061035156</v>
      </c>
      <c r="F429" t="n">
        <v>21.76490211486816</v>
      </c>
      <c r="G429" t="n">
        <v>73.21355438232422</v>
      </c>
      <c r="H429">
        <f>AVERAGE(D230:D429)</f>
        <v/>
      </c>
      <c r="I429">
        <f>AVERAGE(E230:E429)</f>
        <v/>
      </c>
      <c r="J429">
        <f>AVERAGE(F230:F429)</f>
        <v/>
      </c>
    </row>
    <row r="430">
      <c r="C430" s="539" t="n">
        <v>40072</v>
      </c>
      <c r="D430" t="n">
        <v>99.91000366210938</v>
      </c>
      <c r="E430" t="n">
        <v>299.4400024414062</v>
      </c>
      <c r="F430" t="n">
        <v>21.87664794921875</v>
      </c>
      <c r="G430" t="n">
        <v>73.21355438232422</v>
      </c>
      <c r="H430">
        <f>AVERAGE(D231:D430)</f>
        <v/>
      </c>
      <c r="I430">
        <f>AVERAGE(E231:E430)</f>
        <v/>
      </c>
      <c r="J430">
        <f>AVERAGE(F231:F430)</f>
        <v/>
      </c>
    </row>
    <row r="431">
      <c r="C431" s="539" t="n">
        <v>40073</v>
      </c>
      <c r="D431" t="n">
        <v>99.33999633789062</v>
      </c>
      <c r="E431" t="n">
        <v>299.9200134277344</v>
      </c>
      <c r="F431" t="n">
        <v>21.4726390838623</v>
      </c>
      <c r="G431" t="n">
        <v>73.22954559326172</v>
      </c>
      <c r="H431">
        <f>AVERAGE(D232:D431)</f>
        <v/>
      </c>
      <c r="I431">
        <f>AVERAGE(E232:E431)</f>
        <v/>
      </c>
      <c r="J431">
        <f>AVERAGE(F232:F431)</f>
        <v/>
      </c>
    </row>
    <row r="432">
      <c r="C432" s="539" t="n">
        <v>40074</v>
      </c>
      <c r="D432" t="n">
        <v>98.66999816894531</v>
      </c>
      <c r="E432" t="n">
        <v>296.9599914550781</v>
      </c>
      <c r="F432" t="n">
        <v>21.10301399230957</v>
      </c>
      <c r="G432" t="n">
        <v>73.21355438232422</v>
      </c>
      <c r="H432">
        <f>AVERAGE(D233:D432)</f>
        <v/>
      </c>
      <c r="I432">
        <f>AVERAGE(E233:E432)</f>
        <v/>
      </c>
      <c r="J432">
        <f>AVERAGE(F233:F432)</f>
        <v/>
      </c>
    </row>
    <row r="433">
      <c r="C433" s="539" t="n">
        <v>40077</v>
      </c>
      <c r="D433" t="n">
        <v>98.36000061035156</v>
      </c>
      <c r="E433" t="n">
        <v>286.7999877929688</v>
      </c>
      <c r="F433" t="n">
        <v>21.01705741882324</v>
      </c>
      <c r="G433" t="n">
        <v>73.26143646240234</v>
      </c>
      <c r="H433">
        <f>AVERAGE(D234:D433)</f>
        <v/>
      </c>
      <c r="I433">
        <f>AVERAGE(E234:E433)</f>
        <v/>
      </c>
      <c r="J433">
        <f>AVERAGE(F234:F433)</f>
        <v/>
      </c>
    </row>
    <row r="434">
      <c r="C434" s="539" t="n">
        <v>40078</v>
      </c>
      <c r="D434" t="n">
        <v>99.66999816894531</v>
      </c>
      <c r="E434" t="n">
        <v>295.8399963378906</v>
      </c>
      <c r="F434" t="n">
        <v>21.28353118896484</v>
      </c>
      <c r="G434" t="n">
        <v>73.21355438232422</v>
      </c>
      <c r="H434">
        <f>AVERAGE(D235:D434)</f>
        <v/>
      </c>
      <c r="I434">
        <f>AVERAGE(E235:E434)</f>
        <v/>
      </c>
      <c r="J434">
        <f>AVERAGE(F235:F434)</f>
        <v/>
      </c>
    </row>
    <row r="435">
      <c r="C435" s="539" t="n">
        <v>40079</v>
      </c>
      <c r="D435" t="n">
        <v>98.83000183105469</v>
      </c>
      <c r="E435" t="n">
        <v>281.0400085449219</v>
      </c>
      <c r="F435" t="n">
        <v>21.18037605285645</v>
      </c>
      <c r="G435" t="n">
        <v>73.2454833984375</v>
      </c>
      <c r="H435">
        <f>AVERAGE(D236:D435)</f>
        <v/>
      </c>
      <c r="I435">
        <f>AVERAGE(E236:E435)</f>
        <v/>
      </c>
      <c r="J435">
        <f>AVERAGE(F236:F435)</f>
        <v/>
      </c>
    </row>
    <row r="436">
      <c r="C436" s="539" t="n">
        <v>40080</v>
      </c>
      <c r="D436" t="n">
        <v>97.55000305175781</v>
      </c>
      <c r="E436" t="n">
        <v>271.760009765625</v>
      </c>
      <c r="F436" t="n">
        <v>21.14599418640137</v>
      </c>
      <c r="G436" t="n">
        <v>73.21355438232422</v>
      </c>
      <c r="H436">
        <f>AVERAGE(D237:D436)</f>
        <v/>
      </c>
      <c r="I436">
        <f>AVERAGE(E237:E436)</f>
        <v/>
      </c>
      <c r="J436">
        <f>AVERAGE(F237:F436)</f>
        <v/>
      </c>
    </row>
    <row r="437">
      <c r="C437" s="539" t="n">
        <v>40081</v>
      </c>
      <c r="D437" t="n">
        <v>97</v>
      </c>
      <c r="E437" t="n">
        <v>272</v>
      </c>
      <c r="F437" t="n">
        <v>21.28353118896484</v>
      </c>
      <c r="G437" t="n">
        <v>73.2454833984375</v>
      </c>
      <c r="H437">
        <f>AVERAGE(D238:D437)</f>
        <v/>
      </c>
      <c r="I437">
        <f>AVERAGE(E238:E437)</f>
        <v/>
      </c>
      <c r="J437">
        <f>AVERAGE(F238:F437)</f>
        <v/>
      </c>
    </row>
    <row r="438">
      <c r="C438" s="539" t="n">
        <v>40084</v>
      </c>
      <c r="D438" t="n">
        <v>97.05000305175781</v>
      </c>
      <c r="E438" t="n">
        <v>276.0799865722656</v>
      </c>
      <c r="F438" t="n">
        <v>21.61017227172852</v>
      </c>
      <c r="G438" t="n">
        <v>73.26143646240234</v>
      </c>
      <c r="H438">
        <f>AVERAGE(D239:D438)</f>
        <v/>
      </c>
      <c r="I438">
        <f>AVERAGE(E239:E438)</f>
        <v/>
      </c>
      <c r="J438">
        <f>AVERAGE(F239:F438)</f>
        <v/>
      </c>
    </row>
    <row r="439">
      <c r="C439" s="539" t="n">
        <v>40085</v>
      </c>
      <c r="D439" t="n">
        <v>97.43000030517578</v>
      </c>
      <c r="E439" t="n">
        <v>274.4800109863281</v>
      </c>
      <c r="F439" t="n">
        <v>21.65315628051758</v>
      </c>
      <c r="G439" t="n">
        <v>73.26143646240234</v>
      </c>
      <c r="H439">
        <f>AVERAGE(D240:D439)</f>
        <v/>
      </c>
      <c r="I439">
        <f>AVERAGE(E240:E439)</f>
        <v/>
      </c>
      <c r="J439">
        <f>AVERAGE(F240:F439)</f>
        <v/>
      </c>
    </row>
    <row r="440">
      <c r="C440" s="539" t="n">
        <v>40086</v>
      </c>
      <c r="D440" t="n">
        <v>98.84999847412109</v>
      </c>
      <c r="E440" t="n">
        <v>289.5199890136719</v>
      </c>
      <c r="F440" t="n">
        <v>21.88524436950684</v>
      </c>
      <c r="G440" t="n">
        <v>73.26143646240234</v>
      </c>
      <c r="H440">
        <f>AVERAGE(D241:D440)</f>
        <v/>
      </c>
      <c r="I440">
        <f>AVERAGE(E241:E440)</f>
        <v/>
      </c>
      <c r="J440">
        <f>AVERAGE(F241:F440)</f>
        <v/>
      </c>
    </row>
    <row r="441">
      <c r="C441" s="539" t="n">
        <v>40087</v>
      </c>
      <c r="D441" t="n">
        <v>97.88999938964844</v>
      </c>
      <c r="E441" t="n">
        <v>289.8399963378906</v>
      </c>
      <c r="F441" t="n">
        <v>21.5156192779541</v>
      </c>
      <c r="G441" t="n">
        <v>73.21672058105469</v>
      </c>
      <c r="H441">
        <f>AVERAGE(D242:D441)</f>
        <v/>
      </c>
      <c r="I441">
        <f>AVERAGE(E242:E441)</f>
        <v/>
      </c>
      <c r="J441">
        <f>AVERAGE(F242:F441)</f>
        <v/>
      </c>
    </row>
    <row r="442">
      <c r="C442" s="539" t="n">
        <v>40088</v>
      </c>
      <c r="D442" t="n">
        <v>98.37000274658203</v>
      </c>
      <c r="E442" t="n">
        <v>286.9599914550781</v>
      </c>
      <c r="F442" t="n">
        <v>21.08582305908203</v>
      </c>
      <c r="G442" t="n">
        <v>73.21672058105469</v>
      </c>
      <c r="H442">
        <f>AVERAGE(D243:D442)</f>
        <v/>
      </c>
      <c r="I442">
        <f>AVERAGE(E243:E442)</f>
        <v/>
      </c>
      <c r="J442">
        <f>AVERAGE(F243:F442)</f>
        <v/>
      </c>
    </row>
    <row r="443">
      <c r="C443" s="539" t="n">
        <v>40091</v>
      </c>
      <c r="D443" t="n">
        <v>99.81999969482422</v>
      </c>
      <c r="E443" t="n">
        <v>289.4400024414062</v>
      </c>
      <c r="F443" t="n">
        <v>21.30071830749512</v>
      </c>
      <c r="G443" t="n">
        <v>73.24867248535156</v>
      </c>
      <c r="H443">
        <f>AVERAGE(D244:D443)</f>
        <v/>
      </c>
      <c r="I443">
        <f>AVERAGE(E244:E443)</f>
        <v/>
      </c>
      <c r="J443">
        <f>AVERAGE(F244:F443)</f>
        <v/>
      </c>
    </row>
    <row r="444">
      <c r="C444" s="539" t="n">
        <v>40092</v>
      </c>
      <c r="D444" t="n">
        <v>102.2799987792969</v>
      </c>
      <c r="E444" t="n">
        <v>292.3200073242188</v>
      </c>
      <c r="F444" t="n">
        <v>21.5156192779541</v>
      </c>
      <c r="G444" t="n">
        <v>73.21672058105469</v>
      </c>
      <c r="H444">
        <f>AVERAGE(D245:D444)</f>
        <v/>
      </c>
      <c r="I444">
        <f>AVERAGE(E245:E444)</f>
        <v/>
      </c>
      <c r="J444">
        <f>AVERAGE(F245:F444)</f>
        <v/>
      </c>
    </row>
    <row r="445">
      <c r="C445" s="539" t="n">
        <v>40093</v>
      </c>
      <c r="D445" t="n">
        <v>102.3600006103516</v>
      </c>
      <c r="E445" t="n">
        <v>287.6799926757812</v>
      </c>
      <c r="F445" t="n">
        <v>21.60157775878906</v>
      </c>
      <c r="G445" t="n">
        <v>73.24867248535156</v>
      </c>
      <c r="H445">
        <f>AVERAGE(D246:D445)</f>
        <v/>
      </c>
      <c r="I445">
        <f>AVERAGE(E246:E445)</f>
        <v/>
      </c>
      <c r="J445">
        <f>AVERAGE(F246:F445)</f>
        <v/>
      </c>
    </row>
    <row r="446">
      <c r="C446" s="539" t="n">
        <v>40094</v>
      </c>
      <c r="D446" t="n">
        <v>103.6399993896484</v>
      </c>
      <c r="E446" t="n">
        <v>293.4400024414062</v>
      </c>
      <c r="F446" t="n">
        <v>21.53281021118164</v>
      </c>
      <c r="G446" t="n">
        <v>73.21672058105469</v>
      </c>
      <c r="H446">
        <f>AVERAGE(D247:D446)</f>
        <v/>
      </c>
      <c r="I446">
        <f>AVERAGE(E247:E446)</f>
        <v/>
      </c>
      <c r="J446">
        <f>AVERAGE(F247:F446)</f>
        <v/>
      </c>
    </row>
    <row r="447">
      <c r="C447" s="539" t="n">
        <v>40095</v>
      </c>
      <c r="D447" t="n">
        <v>102.8399963378906</v>
      </c>
      <c r="E447" t="n">
        <v>297.2799987792969</v>
      </c>
      <c r="F447" t="n">
        <v>21.27493476867676</v>
      </c>
      <c r="G447" t="n">
        <v>73.23270416259766</v>
      </c>
      <c r="H447">
        <f>AVERAGE(D248:D447)</f>
        <v/>
      </c>
      <c r="I447">
        <f>AVERAGE(E248:E447)</f>
        <v/>
      </c>
      <c r="J447">
        <f>AVERAGE(F248:F447)</f>
        <v/>
      </c>
    </row>
    <row r="448">
      <c r="C448" s="539" t="n">
        <v>40098</v>
      </c>
      <c r="D448" t="n">
        <v>103.5599975585938</v>
      </c>
      <c r="E448" t="n">
        <v>301.5199890136719</v>
      </c>
      <c r="F448" t="n">
        <v>22.19470024108887</v>
      </c>
      <c r="G448" t="n">
        <v>73.23270416259766</v>
      </c>
      <c r="H448">
        <f>AVERAGE(D249:D448)</f>
        <v/>
      </c>
      <c r="I448">
        <f>AVERAGE(E249:E448)</f>
        <v/>
      </c>
      <c r="J448">
        <f>AVERAGE(F249:F448)</f>
        <v/>
      </c>
    </row>
    <row r="449">
      <c r="C449" s="539" t="n">
        <v>40099</v>
      </c>
      <c r="D449" t="n">
        <v>104.2600021362305</v>
      </c>
      <c r="E449" t="n">
        <v>305.2000122070312</v>
      </c>
      <c r="F449" t="n">
        <v>22.50415420532227</v>
      </c>
      <c r="G449" t="n">
        <v>73.23270416259766</v>
      </c>
      <c r="H449">
        <f>AVERAGE(D250:D449)</f>
        <v/>
      </c>
      <c r="I449">
        <f>AVERAGE(E250:E449)</f>
        <v/>
      </c>
      <c r="J449">
        <f>AVERAGE(F250:F449)</f>
        <v/>
      </c>
    </row>
    <row r="450">
      <c r="C450" s="539" t="n">
        <v>40100</v>
      </c>
      <c r="D450" t="n">
        <v>104.1800003051758</v>
      </c>
      <c r="E450" t="n">
        <v>308.8800048828125</v>
      </c>
      <c r="F450" t="n">
        <v>22.39240455627441</v>
      </c>
      <c r="G450" t="n">
        <v>73.21672058105469</v>
      </c>
      <c r="H450">
        <f>AVERAGE(D251:D450)</f>
        <v/>
      </c>
      <c r="I450">
        <f>AVERAGE(E251:E450)</f>
        <v/>
      </c>
      <c r="J450">
        <f>AVERAGE(F251:F450)</f>
        <v/>
      </c>
    </row>
    <row r="451">
      <c r="C451" s="539" t="n">
        <v>40101</v>
      </c>
      <c r="D451" t="n">
        <v>102.8600006103516</v>
      </c>
      <c r="E451" t="n">
        <v>319.2799987792969</v>
      </c>
      <c r="F451" t="n">
        <v>22.74483680725098</v>
      </c>
      <c r="G451" t="n">
        <v>73.21672058105469</v>
      </c>
      <c r="H451">
        <f>AVERAGE(D252:D451)</f>
        <v/>
      </c>
      <c r="I451">
        <f>AVERAGE(E252:E451)</f>
        <v/>
      </c>
      <c r="J451">
        <f>AVERAGE(F252:F451)</f>
        <v/>
      </c>
    </row>
    <row r="452">
      <c r="C452" s="539" t="n">
        <v>40102</v>
      </c>
      <c r="D452" t="n">
        <v>103.1800003051758</v>
      </c>
      <c r="E452" t="n">
        <v>323.6000061035156</v>
      </c>
      <c r="F452" t="n">
        <v>22.42678833007812</v>
      </c>
      <c r="G452" t="n">
        <v>73.24867248535156</v>
      </c>
      <c r="H452">
        <f>AVERAGE(D253:D452)</f>
        <v/>
      </c>
      <c r="I452">
        <f>AVERAGE(E253:E452)</f>
        <v/>
      </c>
      <c r="J452">
        <f>AVERAGE(F253:F452)</f>
        <v/>
      </c>
    </row>
    <row r="453">
      <c r="C453" s="539" t="n">
        <v>40105</v>
      </c>
      <c r="D453" t="n">
        <v>104.2300033569336</v>
      </c>
      <c r="E453" t="n">
        <v>326.0799865722656</v>
      </c>
      <c r="F453" t="n">
        <v>22.76202964782715</v>
      </c>
      <c r="G453" t="n">
        <v>73.23270416259766</v>
      </c>
      <c r="H453">
        <f>AVERAGE(D254:D453)</f>
        <v/>
      </c>
      <c r="I453">
        <f>AVERAGE(E254:E453)</f>
        <v/>
      </c>
      <c r="J453">
        <f>AVERAGE(F254:F453)</f>
        <v/>
      </c>
    </row>
    <row r="454">
      <c r="C454" s="539" t="n">
        <v>40106</v>
      </c>
      <c r="D454" t="n">
        <v>103.4199981689453</v>
      </c>
      <c r="E454" t="n">
        <v>323.1199951171875</v>
      </c>
      <c r="F454" t="n">
        <v>22.56432342529297</v>
      </c>
      <c r="G454" t="n">
        <v>73.21672058105469</v>
      </c>
      <c r="H454">
        <f>AVERAGE(D255:D454)</f>
        <v/>
      </c>
      <c r="I454">
        <f>AVERAGE(E255:E454)</f>
        <v/>
      </c>
      <c r="J454">
        <f>AVERAGE(F255:F454)</f>
        <v/>
      </c>
    </row>
    <row r="455">
      <c r="C455" s="539" t="n">
        <v>40107</v>
      </c>
      <c r="D455" t="n">
        <v>103.75</v>
      </c>
      <c r="E455" t="n">
        <v>330.6400146484375</v>
      </c>
      <c r="F455" t="n">
        <v>23.13165283203125</v>
      </c>
      <c r="G455" t="n">
        <v>73.21672058105469</v>
      </c>
      <c r="H455">
        <f>AVERAGE(D256:D455)</f>
        <v/>
      </c>
      <c r="I455">
        <f>AVERAGE(E256:E455)</f>
        <v/>
      </c>
      <c r="J455">
        <f>AVERAGE(F256:F455)</f>
        <v/>
      </c>
    </row>
    <row r="456">
      <c r="C456" s="539" t="n">
        <v>40108</v>
      </c>
      <c r="D456" t="n">
        <v>103.9199981689453</v>
      </c>
      <c r="E456" t="n">
        <v>331.760009765625</v>
      </c>
      <c r="F456" t="n">
        <v>23.00271415710449</v>
      </c>
      <c r="G456" t="n">
        <v>73.21672058105469</v>
      </c>
      <c r="H456">
        <f>AVERAGE(D257:D456)</f>
        <v/>
      </c>
      <c r="I456">
        <f>AVERAGE(E257:E456)</f>
        <v/>
      </c>
      <c r="J456">
        <f>AVERAGE(F257:F456)</f>
        <v/>
      </c>
    </row>
    <row r="457">
      <c r="C457" s="539" t="n">
        <v>40109</v>
      </c>
      <c r="D457" t="n">
        <v>103.4899978637695</v>
      </c>
      <c r="E457" t="n">
        <v>327.2799987792969</v>
      </c>
      <c r="F457" t="n">
        <v>22.8136043548584</v>
      </c>
      <c r="G457" t="n">
        <v>73.21672058105469</v>
      </c>
      <c r="H457">
        <f>AVERAGE(D258:D457)</f>
        <v/>
      </c>
      <c r="I457">
        <f>AVERAGE(E258:E457)</f>
        <v/>
      </c>
      <c r="J457">
        <f>AVERAGE(F258:F457)</f>
        <v/>
      </c>
    </row>
    <row r="458">
      <c r="C458" s="539" t="n">
        <v>40112</v>
      </c>
      <c r="D458" t="n">
        <v>101.8600006103516</v>
      </c>
      <c r="E458" t="n">
        <v>321.0400085449219</v>
      </c>
      <c r="F458" t="n">
        <v>22.4611701965332</v>
      </c>
      <c r="G458" t="n">
        <v>73.21672058105469</v>
      </c>
      <c r="H458">
        <f>AVERAGE(D259:D458)</f>
        <v/>
      </c>
      <c r="I458">
        <f>AVERAGE(E259:E458)</f>
        <v/>
      </c>
      <c r="J458">
        <f>AVERAGE(F259:F458)</f>
        <v/>
      </c>
    </row>
    <row r="459">
      <c r="C459" s="539" t="n">
        <v>40113</v>
      </c>
      <c r="D459" t="n">
        <v>101.8499984741211</v>
      </c>
      <c r="E459" t="n">
        <v>324.7200012207031</v>
      </c>
      <c r="F459" t="n">
        <v>22.17750549316406</v>
      </c>
      <c r="G459" t="n">
        <v>73.21672058105469</v>
      </c>
      <c r="H459">
        <f>AVERAGE(D260:D459)</f>
        <v/>
      </c>
      <c r="I459">
        <f>AVERAGE(E260:E459)</f>
        <v/>
      </c>
      <c r="J459">
        <f>AVERAGE(F260:F459)</f>
        <v/>
      </c>
    </row>
    <row r="460">
      <c r="C460" s="539" t="n">
        <v>40114</v>
      </c>
      <c r="D460" t="n">
        <v>100.7300033569336</v>
      </c>
      <c r="E460" t="n">
        <v>315.6799926757812</v>
      </c>
      <c r="F460" t="n">
        <v>21.8680534362793</v>
      </c>
      <c r="G460" t="n">
        <v>73.21672058105469</v>
      </c>
      <c r="H460">
        <f>AVERAGE(D261:D460)</f>
        <v/>
      </c>
      <c r="I460">
        <f>AVERAGE(E261:E460)</f>
        <v/>
      </c>
      <c r="J460">
        <f>AVERAGE(F261:F460)</f>
        <v/>
      </c>
    </row>
    <row r="461">
      <c r="C461" s="539" t="n">
        <v>40115</v>
      </c>
      <c r="D461" t="n">
        <v>102.6900024414062</v>
      </c>
      <c r="E461" t="n">
        <v>327.2000122070312</v>
      </c>
      <c r="F461" t="n">
        <v>22.41819190979004</v>
      </c>
      <c r="G461" t="n">
        <v>73.23270416259766</v>
      </c>
      <c r="H461">
        <f>AVERAGE(D262:D461)</f>
        <v/>
      </c>
      <c r="I461">
        <f>AVERAGE(E262:E461)</f>
        <v/>
      </c>
      <c r="J461">
        <f>AVERAGE(F262:F461)</f>
        <v/>
      </c>
    </row>
    <row r="462">
      <c r="C462" s="539" t="n">
        <v>40116</v>
      </c>
      <c r="D462" t="n">
        <v>102.5299987792969</v>
      </c>
      <c r="E462" t="n">
        <v>314.5599975585938</v>
      </c>
      <c r="F462" t="n">
        <v>21.97979927062988</v>
      </c>
      <c r="G462" t="n">
        <v>73.26462554931641</v>
      </c>
      <c r="H462">
        <f>AVERAGE(D263:D462)</f>
        <v/>
      </c>
      <c r="I462">
        <f>AVERAGE(E263:E462)</f>
        <v/>
      </c>
      <c r="J462">
        <f>AVERAGE(F263:F462)</f>
        <v/>
      </c>
    </row>
    <row r="463">
      <c r="C463" s="539" t="n">
        <v>40119</v>
      </c>
      <c r="D463" t="n">
        <v>103.9499969482422</v>
      </c>
      <c r="E463" t="n">
        <v>319.760009765625</v>
      </c>
      <c r="F463" t="n">
        <v>22.43538475036621</v>
      </c>
      <c r="G463" t="n">
        <v>73.26622772216797</v>
      </c>
      <c r="H463">
        <f>AVERAGE(D264:D463)</f>
        <v/>
      </c>
      <c r="I463">
        <f>AVERAGE(E264:E463)</f>
        <v/>
      </c>
      <c r="J463">
        <f>AVERAGE(F264:F463)</f>
        <v/>
      </c>
    </row>
    <row r="464">
      <c r="C464" s="539" t="n">
        <v>40120</v>
      </c>
      <c r="D464" t="n">
        <v>106.4599990844727</v>
      </c>
      <c r="E464" t="n">
        <v>324.9599914550781</v>
      </c>
      <c r="F464" t="n">
        <v>22.65028190612793</v>
      </c>
      <c r="G464" t="n">
        <v>73.26622772216797</v>
      </c>
      <c r="H464">
        <f>AVERAGE(D265:D464)</f>
        <v/>
      </c>
      <c r="I464">
        <f>AVERAGE(E265:E464)</f>
        <v/>
      </c>
      <c r="J464">
        <f>AVERAGE(F265:F464)</f>
        <v/>
      </c>
    </row>
    <row r="465">
      <c r="C465" s="539" t="n">
        <v>40121</v>
      </c>
      <c r="D465" t="n">
        <v>107.0999984741211</v>
      </c>
      <c r="E465" t="n">
        <v>327.9200134277344</v>
      </c>
      <c r="F465" t="n">
        <v>22.54713249206543</v>
      </c>
      <c r="G465" t="n">
        <v>73.25026702880859</v>
      </c>
      <c r="H465">
        <f>AVERAGE(D266:D465)</f>
        <v/>
      </c>
      <c r="I465">
        <f>AVERAGE(E266:E465)</f>
        <v/>
      </c>
      <c r="J465">
        <f>AVERAGE(F266:F465)</f>
        <v/>
      </c>
    </row>
    <row r="466">
      <c r="C466" s="539" t="n">
        <v>40122</v>
      </c>
      <c r="D466" t="n">
        <v>106.9800033569336</v>
      </c>
      <c r="E466" t="n">
        <v>326.3999938964844</v>
      </c>
      <c r="F466" t="n">
        <v>22.32363700866699</v>
      </c>
      <c r="G466" t="n">
        <v>73.25026702880859</v>
      </c>
      <c r="H466">
        <f>AVERAGE(D267:D466)</f>
        <v/>
      </c>
      <c r="I466">
        <f>AVERAGE(E267:E466)</f>
        <v/>
      </c>
      <c r="J466">
        <f>AVERAGE(F267:F466)</f>
        <v/>
      </c>
    </row>
    <row r="467">
      <c r="C467" s="539" t="n">
        <v>40123</v>
      </c>
      <c r="D467" t="n">
        <v>107.4300003051758</v>
      </c>
      <c r="E467" t="n">
        <v>317.6000061035156</v>
      </c>
      <c r="F467" t="n">
        <v>21.93681907653809</v>
      </c>
      <c r="G467" t="n">
        <v>73.26622772216797</v>
      </c>
      <c r="H467">
        <f>AVERAGE(D268:D467)</f>
        <v/>
      </c>
      <c r="I467">
        <f>AVERAGE(E268:E467)</f>
        <v/>
      </c>
      <c r="J467">
        <f>AVERAGE(F268:F467)</f>
        <v/>
      </c>
    </row>
    <row r="468">
      <c r="C468" s="539" t="n">
        <v>40126</v>
      </c>
      <c r="D468" t="n">
        <v>108.1900024414062</v>
      </c>
      <c r="E468" t="n">
        <v>324</v>
      </c>
      <c r="F468" t="n">
        <v>22.10873794555664</v>
      </c>
      <c r="G468" t="n">
        <v>73.26622772216797</v>
      </c>
      <c r="H468">
        <f>AVERAGE(D269:D468)</f>
        <v/>
      </c>
      <c r="I468">
        <f>AVERAGE(E269:E468)</f>
        <v/>
      </c>
      <c r="J468">
        <f>AVERAGE(F269:F468)</f>
        <v/>
      </c>
    </row>
    <row r="469">
      <c r="C469" s="539" t="n">
        <v>40127</v>
      </c>
      <c r="D469" t="n">
        <v>108.3899993896484</v>
      </c>
      <c r="E469" t="n">
        <v>323.2799987792969</v>
      </c>
      <c r="F469" t="n">
        <v>21.91103172302246</v>
      </c>
      <c r="G469" t="n">
        <v>73.21832275390625</v>
      </c>
      <c r="H469">
        <f>AVERAGE(D270:D469)</f>
        <v/>
      </c>
      <c r="I469">
        <f>AVERAGE(E270:E469)</f>
        <v/>
      </c>
      <c r="J469">
        <f>AVERAGE(F270:F469)</f>
        <v/>
      </c>
    </row>
    <row r="470">
      <c r="C470" s="539" t="n">
        <v>40128</v>
      </c>
      <c r="D470" t="n">
        <v>109.5999984741211</v>
      </c>
      <c r="E470" t="n">
        <v>324.3999938964844</v>
      </c>
      <c r="F470" t="n">
        <v>22.08295249938965</v>
      </c>
      <c r="G470" t="n">
        <v>73.21832275390625</v>
      </c>
      <c r="H470">
        <f>AVERAGE(D271:D470)</f>
        <v/>
      </c>
      <c r="I470">
        <f>AVERAGE(E271:E470)</f>
        <v/>
      </c>
      <c r="J470">
        <f>AVERAGE(F271:F470)</f>
        <v/>
      </c>
    </row>
    <row r="471">
      <c r="C471" s="539" t="n">
        <v>40129</v>
      </c>
      <c r="D471" t="n">
        <v>108.2099990844727</v>
      </c>
      <c r="E471" t="n">
        <v>314.1600036621094</v>
      </c>
      <c r="F471" t="n">
        <v>21.92822456359863</v>
      </c>
      <c r="G471" t="n">
        <v>73.21832275390625</v>
      </c>
      <c r="H471">
        <f>AVERAGE(D272:D471)</f>
        <v/>
      </c>
      <c r="I471">
        <f>AVERAGE(E272:E471)</f>
        <v/>
      </c>
      <c r="J471">
        <f>AVERAGE(F272:F471)</f>
        <v/>
      </c>
    </row>
    <row r="472">
      <c r="C472" s="539" t="n">
        <v>40130</v>
      </c>
      <c r="D472" t="n">
        <v>109.7399978637695</v>
      </c>
      <c r="E472" t="n">
        <v>312.9599914550781</v>
      </c>
      <c r="F472" t="n">
        <v>21.96260833740234</v>
      </c>
      <c r="G472" t="n">
        <v>73.21832275390625</v>
      </c>
      <c r="H472">
        <f>AVERAGE(D273:D472)</f>
        <v/>
      </c>
      <c r="I472">
        <f>AVERAGE(E273:E472)</f>
        <v/>
      </c>
      <c r="J472">
        <f>AVERAGE(F273:F472)</f>
        <v/>
      </c>
    </row>
    <row r="473">
      <c r="C473" s="539" t="n">
        <v>40133</v>
      </c>
      <c r="D473" t="n">
        <v>111.629997253418</v>
      </c>
      <c r="E473" t="n">
        <v>322.3200073242188</v>
      </c>
      <c r="F473" t="n">
        <v>22.39240455627441</v>
      </c>
      <c r="G473" t="n">
        <v>73.21832275390625</v>
      </c>
      <c r="H473">
        <f>AVERAGE(D274:D473)</f>
        <v/>
      </c>
      <c r="I473">
        <f>AVERAGE(E274:E473)</f>
        <v/>
      </c>
      <c r="J473">
        <f>AVERAGE(F274:F473)</f>
        <v/>
      </c>
    </row>
    <row r="474">
      <c r="C474" s="539" t="n">
        <v>40134</v>
      </c>
      <c r="D474" t="n">
        <v>111.9700012207031</v>
      </c>
      <c r="E474" t="n">
        <v>323.8399963378906</v>
      </c>
      <c r="F474" t="n">
        <v>22.55572509765625</v>
      </c>
      <c r="G474" t="n">
        <v>73.21832275390625</v>
      </c>
      <c r="H474">
        <f>AVERAGE(D275:D474)</f>
        <v/>
      </c>
      <c r="I474">
        <f>AVERAGE(E275:E474)</f>
        <v/>
      </c>
      <c r="J474">
        <f>AVERAGE(F275:F474)</f>
        <v/>
      </c>
    </row>
    <row r="475">
      <c r="C475" s="539" t="n">
        <v>40135</v>
      </c>
      <c r="D475" t="n">
        <v>112.25</v>
      </c>
      <c r="E475" t="n">
        <v>325.3599853515625</v>
      </c>
      <c r="F475" t="n">
        <v>22.56432342529297</v>
      </c>
      <c r="G475" t="n">
        <v>73.21832275390625</v>
      </c>
      <c r="H475">
        <f>AVERAGE(D276:D475)</f>
        <v/>
      </c>
      <c r="I475">
        <f>AVERAGE(E276:E475)</f>
        <v/>
      </c>
      <c r="J475">
        <f>AVERAGE(F276:F475)</f>
        <v/>
      </c>
    </row>
    <row r="476">
      <c r="C476" s="539" t="n">
        <v>40136</v>
      </c>
      <c r="D476" t="n">
        <v>112.3000030517578</v>
      </c>
      <c r="E476" t="n">
        <v>317.2799987792969</v>
      </c>
      <c r="F476" t="n">
        <v>22.4439811706543</v>
      </c>
      <c r="G476" t="n">
        <v>73.21832275390625</v>
      </c>
      <c r="H476">
        <f>AVERAGE(D277:D476)</f>
        <v/>
      </c>
      <c r="I476">
        <f>AVERAGE(E277:E476)</f>
        <v/>
      </c>
      <c r="J476">
        <f>AVERAGE(F277:F476)</f>
        <v/>
      </c>
    </row>
    <row r="477">
      <c r="C477" s="539" t="n">
        <v>40137</v>
      </c>
      <c r="D477" t="n">
        <v>112.9400024414062</v>
      </c>
      <c r="E477" t="n">
        <v>315.3599853515625</v>
      </c>
      <c r="F477" t="n">
        <v>22.37521171569824</v>
      </c>
      <c r="G477" t="n">
        <v>73.21832275390625</v>
      </c>
      <c r="H477">
        <f>AVERAGE(D278:D477)</f>
        <v/>
      </c>
      <c r="I477">
        <f>AVERAGE(E278:E477)</f>
        <v/>
      </c>
      <c r="J477">
        <f>AVERAGE(F278:F477)</f>
        <v/>
      </c>
    </row>
    <row r="478">
      <c r="C478" s="539" t="n">
        <v>40140</v>
      </c>
      <c r="D478" t="n">
        <v>114.2900009155273</v>
      </c>
      <c r="E478" t="n">
        <v>315.0400085449219</v>
      </c>
      <c r="F478" t="n">
        <v>22.45257759094238</v>
      </c>
      <c r="G478" t="n">
        <v>73.21832275390625</v>
      </c>
      <c r="H478">
        <f>AVERAGE(D279:D478)</f>
        <v/>
      </c>
      <c r="I478">
        <f>AVERAGE(E279:E478)</f>
        <v/>
      </c>
      <c r="J478">
        <f>AVERAGE(F279:F478)</f>
        <v/>
      </c>
    </row>
    <row r="479">
      <c r="C479" s="539" t="n">
        <v>40141</v>
      </c>
      <c r="D479" t="n">
        <v>114.7300033569336</v>
      </c>
      <c r="E479" t="n">
        <v>308.6400146484375</v>
      </c>
      <c r="F479" t="n">
        <v>22.28925323486328</v>
      </c>
      <c r="G479" t="n">
        <v>73.21832275390625</v>
      </c>
      <c r="H479">
        <f>AVERAGE(D280:D479)</f>
        <v/>
      </c>
      <c r="I479">
        <f>AVERAGE(E280:E479)</f>
        <v/>
      </c>
      <c r="J479">
        <f>AVERAGE(F280:F479)</f>
        <v/>
      </c>
    </row>
    <row r="480">
      <c r="C480" s="539" t="n">
        <v>40142</v>
      </c>
      <c r="D480" t="n">
        <v>116.620002746582</v>
      </c>
      <c r="E480" t="n">
        <v>316</v>
      </c>
      <c r="F480" t="n">
        <v>22.65028190612793</v>
      </c>
      <c r="G480" t="n">
        <v>73.21832275390625</v>
      </c>
      <c r="H480">
        <f>AVERAGE(D281:D480)</f>
        <v/>
      </c>
      <c r="I480">
        <f>AVERAGE(E281:E480)</f>
        <v/>
      </c>
      <c r="J480">
        <f>AVERAGE(F281:F480)</f>
        <v/>
      </c>
    </row>
    <row r="481">
      <c r="C481" s="539" t="n">
        <v>40144</v>
      </c>
      <c r="D481" t="n">
        <v>115.0599975585938</v>
      </c>
      <c r="E481" t="n">
        <v>308</v>
      </c>
      <c r="F481" t="n">
        <v>22.67607116699219</v>
      </c>
      <c r="G481" t="n">
        <v>73.23431396484375</v>
      </c>
      <c r="H481">
        <f>AVERAGE(D282:D481)</f>
        <v/>
      </c>
      <c r="I481">
        <f>AVERAGE(E282:E481)</f>
        <v/>
      </c>
      <c r="J481">
        <f>AVERAGE(F282:F481)</f>
        <v/>
      </c>
    </row>
    <row r="482">
      <c r="C482" s="539" t="n">
        <v>40147</v>
      </c>
      <c r="D482" t="n">
        <v>115.6399993896484</v>
      </c>
      <c r="E482" t="n">
        <v>313.2000122070312</v>
      </c>
      <c r="F482" t="n">
        <v>22.7706241607666</v>
      </c>
      <c r="G482" t="n">
        <v>73.23431396484375</v>
      </c>
      <c r="H482">
        <f>AVERAGE(D283:D482)</f>
        <v/>
      </c>
      <c r="I482">
        <f>AVERAGE(E283:E482)</f>
        <v/>
      </c>
      <c r="J482">
        <f>AVERAGE(F283:F482)</f>
        <v/>
      </c>
    </row>
    <row r="483">
      <c r="C483" s="539" t="n">
        <v>40148</v>
      </c>
      <c r="D483" t="n">
        <v>117.379997253418</v>
      </c>
      <c r="E483" t="n">
        <v>316.9599914550781</v>
      </c>
      <c r="F483" t="n">
        <v>22.87377738952637</v>
      </c>
      <c r="G483" t="n">
        <v>73.23431396484375</v>
      </c>
      <c r="H483">
        <f>AVERAGE(D284:D483)</f>
        <v/>
      </c>
      <c r="I483">
        <f>AVERAGE(E284:E483)</f>
        <v/>
      </c>
      <c r="J483">
        <f>AVERAGE(F284:F483)</f>
        <v/>
      </c>
    </row>
    <row r="484">
      <c r="C484" s="539" t="n">
        <v>40149</v>
      </c>
      <c r="D484" t="n">
        <v>119.1800003051758</v>
      </c>
      <c r="E484" t="n">
        <v>310.7200012207031</v>
      </c>
      <c r="F484" t="n">
        <v>22.7706241607666</v>
      </c>
      <c r="G484" t="n">
        <v>73.21832275390625</v>
      </c>
      <c r="H484">
        <f>AVERAGE(D285:D484)</f>
        <v/>
      </c>
      <c r="I484">
        <f>AVERAGE(E285:E484)</f>
        <v/>
      </c>
      <c r="J484">
        <f>AVERAGE(F285:F484)</f>
        <v/>
      </c>
    </row>
    <row r="485">
      <c r="C485" s="539" t="n">
        <v>40150</v>
      </c>
      <c r="D485" t="n">
        <v>118.6999969482422</v>
      </c>
      <c r="E485" t="n">
        <v>308.1600036621094</v>
      </c>
      <c r="F485" t="n">
        <v>22.72764587402344</v>
      </c>
      <c r="G485" t="n">
        <v>73.21832275390625</v>
      </c>
      <c r="H485">
        <f>AVERAGE(D286:D485)</f>
        <v/>
      </c>
      <c r="I485">
        <f>AVERAGE(E286:E485)</f>
        <v/>
      </c>
      <c r="J485">
        <f>AVERAGE(F286:F485)</f>
        <v/>
      </c>
    </row>
    <row r="486">
      <c r="C486" s="539" t="n">
        <v>40151</v>
      </c>
      <c r="D486" t="n">
        <v>113.75</v>
      </c>
      <c r="E486" t="n">
        <v>306.6400146484375</v>
      </c>
      <c r="F486" t="n">
        <v>22.47836303710938</v>
      </c>
      <c r="G486" t="n">
        <v>73.25026702880859</v>
      </c>
      <c r="H486">
        <f>AVERAGE(D287:D486)</f>
        <v/>
      </c>
      <c r="I486">
        <f>AVERAGE(E287:E486)</f>
        <v/>
      </c>
      <c r="J486">
        <f>AVERAGE(F287:F486)</f>
        <v/>
      </c>
    </row>
    <row r="487">
      <c r="C487" s="539" t="n">
        <v>40154</v>
      </c>
      <c r="D487" t="n">
        <v>113.1100006103516</v>
      </c>
      <c r="E487" t="n">
        <v>299.9200134277344</v>
      </c>
      <c r="F487" t="n">
        <v>22.48696136474609</v>
      </c>
      <c r="G487" t="n">
        <v>73.21832275390625</v>
      </c>
      <c r="H487">
        <f>AVERAGE(D288:D487)</f>
        <v/>
      </c>
      <c r="I487">
        <f>AVERAGE(E288:E487)</f>
        <v/>
      </c>
      <c r="J487">
        <f>AVERAGE(F288:F487)</f>
        <v/>
      </c>
    </row>
    <row r="488">
      <c r="C488" s="539" t="n">
        <v>40155</v>
      </c>
      <c r="D488" t="n">
        <v>110.9499969482422</v>
      </c>
      <c r="E488" t="n">
        <v>294.7999877929688</v>
      </c>
      <c r="F488" t="n">
        <v>22.37521171569824</v>
      </c>
      <c r="G488" t="n">
        <v>73.21832275390625</v>
      </c>
      <c r="H488">
        <f>AVERAGE(D289:D488)</f>
        <v/>
      </c>
      <c r="I488">
        <f>AVERAGE(E289:E488)</f>
        <v/>
      </c>
      <c r="J488">
        <f>AVERAGE(F289:F488)</f>
        <v/>
      </c>
    </row>
    <row r="489">
      <c r="C489" s="539" t="n">
        <v>40156</v>
      </c>
      <c r="D489" t="n">
        <v>110.8399963378906</v>
      </c>
      <c r="E489" t="n">
        <v>286.9599914550781</v>
      </c>
      <c r="F489" t="n">
        <v>22.21189117431641</v>
      </c>
      <c r="G489" t="n">
        <v>73.25026702880859</v>
      </c>
      <c r="H489">
        <f>AVERAGE(D290:D489)</f>
        <v/>
      </c>
      <c r="I489">
        <f>AVERAGE(E290:E489)</f>
        <v/>
      </c>
      <c r="J489">
        <f>AVERAGE(F290:F489)</f>
        <v/>
      </c>
    </row>
    <row r="490">
      <c r="C490" s="539" t="n">
        <v>40157</v>
      </c>
      <c r="D490" t="n">
        <v>110.8199996948242</v>
      </c>
      <c r="E490" t="n">
        <v>285.8399963378906</v>
      </c>
      <c r="F490" t="n">
        <v>22.40959548950195</v>
      </c>
      <c r="G490" t="n">
        <v>73.21832275390625</v>
      </c>
      <c r="H490">
        <f>AVERAGE(D291:D490)</f>
        <v/>
      </c>
      <c r="I490">
        <f>AVERAGE(E291:E490)</f>
        <v/>
      </c>
      <c r="J490">
        <f>AVERAGE(F291:F490)</f>
        <v/>
      </c>
    </row>
    <row r="491">
      <c r="C491" s="539" t="n">
        <v>40158</v>
      </c>
      <c r="D491" t="n">
        <v>109.3199996948242</v>
      </c>
      <c r="E491" t="n">
        <v>283.8399963378906</v>
      </c>
      <c r="F491" t="n">
        <v>22.57291984558105</v>
      </c>
      <c r="G491" t="n">
        <v>73.21832275390625</v>
      </c>
      <c r="H491">
        <f>AVERAGE(D292:D491)</f>
        <v/>
      </c>
      <c r="I491">
        <f>AVERAGE(E292:E491)</f>
        <v/>
      </c>
      <c r="J491">
        <f>AVERAGE(F292:F491)</f>
        <v/>
      </c>
    </row>
    <row r="492">
      <c r="C492" s="539" t="n">
        <v>40161</v>
      </c>
      <c r="D492" t="n">
        <v>110.2399978637695</v>
      </c>
      <c r="E492" t="n">
        <v>284.6400146484375</v>
      </c>
      <c r="F492" t="n">
        <v>22.87377738952637</v>
      </c>
      <c r="G492" t="n">
        <v>73.202392578125</v>
      </c>
      <c r="H492">
        <f>AVERAGE(D293:D492)</f>
        <v/>
      </c>
      <c r="I492">
        <f>AVERAGE(E293:E492)</f>
        <v/>
      </c>
      <c r="J492">
        <f>AVERAGE(F293:F492)</f>
        <v/>
      </c>
    </row>
    <row r="493">
      <c r="C493" s="539" t="n">
        <v>40162</v>
      </c>
      <c r="D493" t="n">
        <v>110.2099990844727</v>
      </c>
      <c r="E493" t="n">
        <v>287.4400024414062</v>
      </c>
      <c r="F493" t="n">
        <v>22.71905136108398</v>
      </c>
      <c r="G493" t="n">
        <v>73.202392578125</v>
      </c>
      <c r="H493">
        <f>AVERAGE(D294:D493)</f>
        <v/>
      </c>
      <c r="I493">
        <f>AVERAGE(E294:E493)</f>
        <v/>
      </c>
      <c r="J493">
        <f>AVERAGE(F294:F493)</f>
        <v/>
      </c>
    </row>
    <row r="494">
      <c r="C494" s="539" t="n">
        <v>40163</v>
      </c>
      <c r="D494" t="n">
        <v>111.5899963378906</v>
      </c>
      <c r="E494" t="n">
        <v>293.9200134277344</v>
      </c>
      <c r="F494" t="n">
        <v>22.95113945007324</v>
      </c>
      <c r="G494" t="n">
        <v>73.21832275390625</v>
      </c>
      <c r="H494">
        <f>AVERAGE(D295:D494)</f>
        <v/>
      </c>
      <c r="I494">
        <f>AVERAGE(E295:E494)</f>
        <v/>
      </c>
      <c r="J494">
        <f>AVERAGE(F295:F494)</f>
        <v/>
      </c>
    </row>
    <row r="495">
      <c r="C495" s="539" t="n">
        <v>40164</v>
      </c>
      <c r="D495" t="n">
        <v>107.3399963378906</v>
      </c>
      <c r="E495" t="n">
        <v>290.8800048828125</v>
      </c>
      <c r="F495" t="n">
        <v>22.69326210021973</v>
      </c>
      <c r="G495" t="n">
        <v>73.21832275390625</v>
      </c>
      <c r="H495">
        <f>AVERAGE(D296:D495)</f>
        <v/>
      </c>
      <c r="I495">
        <f>AVERAGE(E296:E495)</f>
        <v/>
      </c>
      <c r="J495">
        <f>AVERAGE(F296:F495)</f>
        <v/>
      </c>
    </row>
    <row r="496">
      <c r="C496" s="539" t="n">
        <v>40165</v>
      </c>
      <c r="D496" t="n">
        <v>108.9499969482422</v>
      </c>
      <c r="E496" t="n">
        <v>293.2799987792969</v>
      </c>
      <c r="F496" t="n">
        <v>22.56432342529297</v>
      </c>
      <c r="G496" t="n">
        <v>73.21832275390625</v>
      </c>
      <c r="H496">
        <f>AVERAGE(D297:D496)</f>
        <v/>
      </c>
      <c r="I496">
        <f>AVERAGE(E297:E496)</f>
        <v/>
      </c>
      <c r="J496">
        <f>AVERAGE(F297:F496)</f>
        <v/>
      </c>
    </row>
    <row r="497">
      <c r="C497" s="539" t="n">
        <v>40168</v>
      </c>
      <c r="D497" t="n">
        <v>106.9499969482422</v>
      </c>
      <c r="E497" t="n">
        <v>289.2799987792969</v>
      </c>
      <c r="F497" t="n">
        <v>22.36661720275879</v>
      </c>
      <c r="G497" t="n">
        <v>73.21832275390625</v>
      </c>
      <c r="H497">
        <f>AVERAGE(D298:D497)</f>
        <v/>
      </c>
      <c r="I497">
        <f>AVERAGE(E298:E497)</f>
        <v/>
      </c>
      <c r="J497">
        <f>AVERAGE(F298:F497)</f>
        <v/>
      </c>
    </row>
    <row r="498">
      <c r="C498" s="539" t="n">
        <v>40169</v>
      </c>
      <c r="D498" t="n">
        <v>106.1699981689453</v>
      </c>
      <c r="E498" t="n">
        <v>292.4800109863281</v>
      </c>
      <c r="F498" t="n">
        <v>22.43538475036621</v>
      </c>
      <c r="G498" t="n">
        <v>73.21832275390625</v>
      </c>
      <c r="H498">
        <f>AVERAGE(D299:D498)</f>
        <v/>
      </c>
      <c r="I498">
        <f>AVERAGE(E299:E498)</f>
        <v/>
      </c>
      <c r="J498">
        <f>AVERAGE(F299:F498)</f>
        <v/>
      </c>
    </row>
    <row r="499">
      <c r="C499" s="539" t="n">
        <v>40170</v>
      </c>
      <c r="D499" t="n">
        <v>106.5500030517578</v>
      </c>
      <c r="E499" t="n">
        <v>301.9200134277344</v>
      </c>
      <c r="F499" t="n">
        <v>22.6072998046875</v>
      </c>
      <c r="G499" t="n">
        <v>73.21832275390625</v>
      </c>
      <c r="H499">
        <f>AVERAGE(D300:D499)</f>
        <v/>
      </c>
      <c r="I499">
        <f>AVERAGE(E300:E499)</f>
        <v/>
      </c>
      <c r="J499">
        <f>AVERAGE(F300:F499)</f>
        <v/>
      </c>
    </row>
    <row r="500">
      <c r="C500" s="539" t="n">
        <v>40171</v>
      </c>
      <c r="D500" t="n">
        <v>108.3600006103516</v>
      </c>
      <c r="E500" t="n">
        <v>305.6000061035156</v>
      </c>
      <c r="F500" t="n">
        <v>22.47836303710938</v>
      </c>
      <c r="G500" t="n">
        <v>73.23431396484375</v>
      </c>
      <c r="H500">
        <f>AVERAGE(D301:D500)</f>
        <v/>
      </c>
      <c r="I500">
        <f>AVERAGE(E301:E500)</f>
        <v/>
      </c>
      <c r="J500">
        <f>AVERAGE(F301:F500)</f>
        <v/>
      </c>
    </row>
    <row r="501">
      <c r="C501" s="539" t="n">
        <v>40175</v>
      </c>
      <c r="D501" t="n">
        <v>108.5500030517578</v>
      </c>
      <c r="E501" t="n">
        <v>310.8800048828125</v>
      </c>
      <c r="F501" t="n">
        <v>22.67607116699219</v>
      </c>
      <c r="G501" t="n">
        <v>73.21832275390625</v>
      </c>
      <c r="H501">
        <f>AVERAGE(D302:D501)</f>
        <v/>
      </c>
      <c r="I501">
        <f>AVERAGE(E302:E501)</f>
        <v/>
      </c>
      <c r="J501">
        <f>AVERAGE(F302:F501)</f>
        <v/>
      </c>
    </row>
    <row r="502">
      <c r="C502" s="539" t="n">
        <v>40176</v>
      </c>
      <c r="D502" t="n">
        <v>107.4700012207031</v>
      </c>
      <c r="E502" t="n">
        <v>310.7200012207031</v>
      </c>
      <c r="F502" t="n">
        <v>22.65028190612793</v>
      </c>
      <c r="G502" t="n">
        <v>73.22470092773438</v>
      </c>
      <c r="H502">
        <f>AVERAGE(D303:D502)</f>
        <v/>
      </c>
      <c r="I502">
        <f>AVERAGE(E303:E502)</f>
        <v/>
      </c>
      <c r="J502">
        <f>AVERAGE(F303:F502)</f>
        <v/>
      </c>
    </row>
    <row r="503">
      <c r="C503" s="539" t="n">
        <v>40177</v>
      </c>
      <c r="D503" t="n">
        <v>106.9300003051758</v>
      </c>
      <c r="E503" t="n">
        <v>313.1199951171875</v>
      </c>
      <c r="F503" t="n">
        <v>22.63309288024902</v>
      </c>
      <c r="G503" t="n">
        <v>73.24070739746094</v>
      </c>
      <c r="H503">
        <f>AVERAGE(D304:D503)</f>
        <v/>
      </c>
      <c r="I503">
        <f>AVERAGE(E304:E503)</f>
        <v/>
      </c>
      <c r="J503">
        <f>AVERAGE(F304:F503)</f>
        <v/>
      </c>
    </row>
    <row r="504">
      <c r="C504" s="539" t="n">
        <v>40178</v>
      </c>
      <c r="D504" t="n">
        <v>107.3099975585938</v>
      </c>
      <c r="E504" t="n">
        <v>314.239990234375</v>
      </c>
      <c r="F504" t="n">
        <v>22.72764587402344</v>
      </c>
      <c r="G504" t="n">
        <v>73.25666046142578</v>
      </c>
      <c r="H504">
        <f>AVERAGE(D305:D504)</f>
        <v/>
      </c>
      <c r="I504">
        <f>AVERAGE(E305:E504)</f>
        <v/>
      </c>
      <c r="J504">
        <f>AVERAGE(F305:F504)</f>
        <v/>
      </c>
    </row>
    <row r="505">
      <c r="C505" s="539" t="n">
        <v>40182</v>
      </c>
      <c r="D505" t="n">
        <v>109.8000030517578</v>
      </c>
      <c r="E505" t="n">
        <v>322.1600036621094</v>
      </c>
      <c r="F505" t="n">
        <v>22.94254493713379</v>
      </c>
      <c r="G505" t="n">
        <v>73.22470092773438</v>
      </c>
      <c r="H505">
        <f>AVERAGE(D306:D505)</f>
        <v/>
      </c>
      <c r="I505">
        <f>AVERAGE(E306:E505)</f>
        <v/>
      </c>
      <c r="J505">
        <f>AVERAGE(F306:F505)</f>
        <v/>
      </c>
    </row>
    <row r="506">
      <c r="C506" s="539" t="n">
        <v>40183</v>
      </c>
      <c r="D506" t="n">
        <v>109.6999969482422</v>
      </c>
      <c r="E506" t="n">
        <v>323.2799987792969</v>
      </c>
      <c r="F506" t="n">
        <v>23.08867263793945</v>
      </c>
      <c r="G506" t="n">
        <v>73.20878601074219</v>
      </c>
      <c r="H506">
        <f>AVERAGE(D307:D506)</f>
        <v/>
      </c>
      <c r="I506">
        <f>AVERAGE(E307:E506)</f>
        <v/>
      </c>
      <c r="J506">
        <f>AVERAGE(F307:F506)</f>
        <v/>
      </c>
    </row>
    <row r="507">
      <c r="C507" s="539" t="n">
        <v>40184</v>
      </c>
      <c r="D507" t="n">
        <v>111.5100021362305</v>
      </c>
      <c r="E507" t="n">
        <v>327.760009765625</v>
      </c>
      <c r="F507" t="n">
        <v>23.21761322021484</v>
      </c>
      <c r="G507" t="n">
        <v>73.20878601074219</v>
      </c>
      <c r="H507">
        <f>AVERAGE(D308:D507)</f>
        <v/>
      </c>
      <c r="I507">
        <f>AVERAGE(E308:E507)</f>
        <v/>
      </c>
      <c r="J507">
        <f>AVERAGE(F308:F507)</f>
        <v/>
      </c>
    </row>
    <row r="508">
      <c r="C508" s="539" t="n">
        <v>40185</v>
      </c>
      <c r="D508" t="n">
        <v>110.8199996948242</v>
      </c>
      <c r="E508" t="n">
        <v>325.760009765625</v>
      </c>
      <c r="F508" t="n">
        <v>23.03709602355957</v>
      </c>
      <c r="G508" t="n">
        <v>73.20878601074219</v>
      </c>
      <c r="H508">
        <f>AVERAGE(D309:D508)</f>
        <v/>
      </c>
      <c r="I508">
        <f>AVERAGE(E309:E508)</f>
        <v/>
      </c>
      <c r="J508">
        <f>AVERAGE(F309:F508)</f>
        <v/>
      </c>
    </row>
    <row r="509">
      <c r="C509" s="539" t="n">
        <v>40186</v>
      </c>
      <c r="D509" t="n">
        <v>111.370002746582</v>
      </c>
      <c r="E509" t="n">
        <v>327.4400024414062</v>
      </c>
      <c r="F509" t="n">
        <v>23.10586738586426</v>
      </c>
      <c r="G509" t="n">
        <v>73.20878601074219</v>
      </c>
      <c r="H509">
        <f>AVERAGE(D310:D509)</f>
        <v/>
      </c>
      <c r="I509">
        <f>AVERAGE(E310:E509)</f>
        <v/>
      </c>
      <c r="J509">
        <f>AVERAGE(F310:F509)</f>
        <v/>
      </c>
    </row>
    <row r="510">
      <c r="C510" s="539" t="n">
        <v>40189</v>
      </c>
      <c r="D510" t="n">
        <v>112.8499984741211</v>
      </c>
      <c r="E510" t="n">
        <v>324.3200073242188</v>
      </c>
      <c r="F510" t="n">
        <v>23.00271415710449</v>
      </c>
      <c r="G510" t="n">
        <v>73.20878601074219</v>
      </c>
      <c r="H510">
        <f>AVERAGE(D311:D510)</f>
        <v/>
      </c>
      <c r="I510">
        <f>AVERAGE(E311:E510)</f>
        <v/>
      </c>
      <c r="J510">
        <f>AVERAGE(F311:F510)</f>
        <v/>
      </c>
    </row>
    <row r="511">
      <c r="C511" s="539" t="n">
        <v>40190</v>
      </c>
      <c r="D511" t="n">
        <v>110.4899978637695</v>
      </c>
      <c r="E511" t="n">
        <v>317.0400085449219</v>
      </c>
      <c r="F511" t="n">
        <v>22.58151626586914</v>
      </c>
      <c r="G511" t="n">
        <v>73.20878601074219</v>
      </c>
      <c r="H511">
        <f>AVERAGE(D312:D511)</f>
        <v/>
      </c>
      <c r="I511">
        <f>AVERAGE(E312:E511)</f>
        <v/>
      </c>
      <c r="J511">
        <f>AVERAGE(F312:F511)</f>
        <v/>
      </c>
    </row>
    <row r="512">
      <c r="C512" s="539" t="n">
        <v>40191</v>
      </c>
      <c r="D512" t="n">
        <v>111.5400009155273</v>
      </c>
      <c r="E512" t="n">
        <v>313.6799926757812</v>
      </c>
      <c r="F512" t="n">
        <v>22.86517906188965</v>
      </c>
      <c r="G512" t="n">
        <v>73.24070739746094</v>
      </c>
      <c r="H512">
        <f>AVERAGE(D313:D512)</f>
        <v/>
      </c>
      <c r="I512">
        <f>AVERAGE(E313:E512)</f>
        <v/>
      </c>
      <c r="J512">
        <f>AVERAGE(F313:F512)</f>
        <v/>
      </c>
    </row>
    <row r="513">
      <c r="C513" s="539" t="n">
        <v>40192</v>
      </c>
      <c r="D513" t="n">
        <v>112.0299987792969</v>
      </c>
      <c r="E513" t="n">
        <v>312.4800109863281</v>
      </c>
      <c r="F513" t="n">
        <v>22.65028190612793</v>
      </c>
      <c r="G513" t="n">
        <v>73.22470092773438</v>
      </c>
      <c r="H513">
        <f>AVERAGE(D314:D513)</f>
        <v/>
      </c>
      <c r="I513">
        <f>AVERAGE(E314:E513)</f>
        <v/>
      </c>
      <c r="J513">
        <f>AVERAGE(F314:F513)</f>
        <v/>
      </c>
    </row>
    <row r="514">
      <c r="C514" s="539" t="n">
        <v>40193</v>
      </c>
      <c r="D514" t="n">
        <v>110.8600006103516</v>
      </c>
      <c r="E514" t="n">
        <v>307.2000122070312</v>
      </c>
      <c r="F514" t="n">
        <v>22.43538475036621</v>
      </c>
      <c r="G514" t="n">
        <v>73.22470092773438</v>
      </c>
      <c r="H514">
        <f>AVERAGE(D315:D514)</f>
        <v/>
      </c>
      <c r="I514">
        <f>AVERAGE(E315:E514)</f>
        <v/>
      </c>
      <c r="J514">
        <f>AVERAGE(F315:F514)</f>
        <v/>
      </c>
    </row>
    <row r="515">
      <c r="C515" s="539" t="n">
        <v>40197</v>
      </c>
      <c r="D515" t="n">
        <v>111.5199966430664</v>
      </c>
      <c r="E515" t="n">
        <v>311.4400024414062</v>
      </c>
      <c r="F515" t="n">
        <v>22.58151626586914</v>
      </c>
      <c r="G515" t="n">
        <v>73.22470092773438</v>
      </c>
      <c r="H515">
        <f>AVERAGE(D316:D515)</f>
        <v/>
      </c>
      <c r="I515">
        <f>AVERAGE(E316:E515)</f>
        <v/>
      </c>
      <c r="J515">
        <f>AVERAGE(F316:F515)</f>
        <v/>
      </c>
    </row>
    <row r="516">
      <c r="C516" s="539" t="n">
        <v>40198</v>
      </c>
      <c r="D516" t="n">
        <v>108.9400024414062</v>
      </c>
      <c r="E516" t="n">
        <v>303.1199951171875</v>
      </c>
      <c r="F516" t="n">
        <v>22.4611701965332</v>
      </c>
      <c r="G516" t="n">
        <v>73.22470092773438</v>
      </c>
      <c r="H516">
        <f>AVERAGE(D317:D516)</f>
        <v/>
      </c>
      <c r="I516">
        <f>AVERAGE(E317:E516)</f>
        <v/>
      </c>
      <c r="J516">
        <f>AVERAGE(F317:F516)</f>
        <v/>
      </c>
    </row>
    <row r="517">
      <c r="C517" s="539" t="n">
        <v>40199</v>
      </c>
      <c r="D517" t="n">
        <v>107.370002746582</v>
      </c>
      <c r="E517" t="n">
        <v>297.9200134277344</v>
      </c>
      <c r="F517" t="n">
        <v>22.47836303710938</v>
      </c>
      <c r="G517" t="n">
        <v>73.22470092773438</v>
      </c>
      <c r="H517">
        <f>AVERAGE(D318:D517)</f>
        <v/>
      </c>
      <c r="I517">
        <f>AVERAGE(E318:E517)</f>
        <v/>
      </c>
      <c r="J517">
        <f>AVERAGE(F318:F517)</f>
        <v/>
      </c>
    </row>
    <row r="518">
      <c r="C518" s="539" t="n">
        <v>40200</v>
      </c>
      <c r="D518" t="n">
        <v>107.1699981689453</v>
      </c>
      <c r="E518" t="n">
        <v>290.7200012207031</v>
      </c>
      <c r="F518" t="n">
        <v>22.4439811706543</v>
      </c>
      <c r="G518" t="n">
        <v>73.22470092773438</v>
      </c>
      <c r="H518">
        <f>AVERAGE(D319:D518)</f>
        <v/>
      </c>
      <c r="I518">
        <f>AVERAGE(E319:E518)</f>
        <v/>
      </c>
      <c r="J518">
        <f>AVERAGE(F319:F518)</f>
        <v/>
      </c>
    </row>
    <row r="519">
      <c r="C519" s="539" t="n">
        <v>40203</v>
      </c>
      <c r="D519" t="n">
        <v>107.4800033569336</v>
      </c>
      <c r="E519" t="n">
        <v>294.4800109863281</v>
      </c>
      <c r="F519" t="n">
        <v>22.28925323486328</v>
      </c>
      <c r="G519" t="n">
        <v>73.24070739746094</v>
      </c>
      <c r="H519">
        <f>AVERAGE(D320:D519)</f>
        <v/>
      </c>
      <c r="I519">
        <f>AVERAGE(E320:E519)</f>
        <v/>
      </c>
      <c r="J519">
        <f>AVERAGE(F320:F519)</f>
        <v/>
      </c>
    </row>
    <row r="520">
      <c r="C520" s="539" t="n">
        <v>40204</v>
      </c>
      <c r="D520" t="n">
        <v>107.5599975585938</v>
      </c>
      <c r="E520" t="n">
        <v>292</v>
      </c>
      <c r="F520" t="n">
        <v>22.10873794555664</v>
      </c>
      <c r="G520" t="n">
        <v>73.24070739746094</v>
      </c>
      <c r="H520">
        <f>AVERAGE(D321:D520)</f>
        <v/>
      </c>
      <c r="I520">
        <f>AVERAGE(E321:E520)</f>
        <v/>
      </c>
      <c r="J520">
        <f>AVERAGE(F321:F520)</f>
        <v/>
      </c>
    </row>
    <row r="521">
      <c r="C521" s="539" t="n">
        <v>40205</v>
      </c>
      <c r="D521" t="n">
        <v>106.5299987792969</v>
      </c>
      <c r="E521" t="n">
        <v>288.6400146484375</v>
      </c>
      <c r="F521" t="n">
        <v>21.80788230895996</v>
      </c>
      <c r="G521" t="n">
        <v>73.25666046142578</v>
      </c>
      <c r="H521">
        <f>AVERAGE(D322:D521)</f>
        <v/>
      </c>
      <c r="I521">
        <f>AVERAGE(E322:E521)</f>
        <v/>
      </c>
      <c r="J521">
        <f>AVERAGE(F322:F521)</f>
        <v/>
      </c>
    </row>
    <row r="522">
      <c r="C522" s="539" t="n">
        <v>40206</v>
      </c>
      <c r="D522" t="n">
        <v>106.4800033569336</v>
      </c>
      <c r="E522" t="n">
        <v>289.2799987792969</v>
      </c>
      <c r="F522" t="n">
        <v>21.98839569091797</v>
      </c>
      <c r="G522" t="n">
        <v>73.24070739746094</v>
      </c>
      <c r="H522">
        <f>AVERAGE(D323:D522)</f>
        <v/>
      </c>
      <c r="I522">
        <f>AVERAGE(E323:E522)</f>
        <v/>
      </c>
      <c r="J522">
        <f>AVERAGE(F323:F522)</f>
        <v/>
      </c>
    </row>
    <row r="523">
      <c r="C523" s="539" t="n">
        <v>40207</v>
      </c>
      <c r="D523" t="n">
        <v>105.9599990844727</v>
      </c>
      <c r="E523" t="n">
        <v>285.1199951171875</v>
      </c>
      <c r="F523" t="n">
        <v>21.74770927429199</v>
      </c>
      <c r="G523" t="n">
        <v>73.25666046142578</v>
      </c>
      <c r="H523">
        <f>AVERAGE(D324:D523)</f>
        <v/>
      </c>
      <c r="I523">
        <f>AVERAGE(E324:E523)</f>
        <v/>
      </c>
      <c r="J523">
        <f>AVERAGE(F324:F523)</f>
        <v/>
      </c>
    </row>
    <row r="524">
      <c r="C524" s="539" t="n">
        <v>40210</v>
      </c>
      <c r="D524" t="n">
        <v>108.3499984741211</v>
      </c>
      <c r="E524" t="n">
        <v>293.760009765625</v>
      </c>
      <c r="F524" t="n">
        <v>21.71332740783691</v>
      </c>
      <c r="G524" t="n">
        <v>73.24070739746094</v>
      </c>
      <c r="H524">
        <f>AVERAGE(D325:D524)</f>
        <v/>
      </c>
      <c r="I524">
        <f>AVERAGE(E325:E524)</f>
        <v/>
      </c>
      <c r="J524">
        <f>AVERAGE(F325:F524)</f>
        <v/>
      </c>
    </row>
    <row r="525">
      <c r="C525" s="539" t="n">
        <v>40211</v>
      </c>
      <c r="D525" t="n">
        <v>109.129997253418</v>
      </c>
      <c r="E525" t="n">
        <v>300.239990234375</v>
      </c>
      <c r="F525" t="n">
        <v>22.0485668182373</v>
      </c>
      <c r="G525" t="n">
        <v>73.22470092773438</v>
      </c>
      <c r="H525">
        <f>AVERAGE(D326:D525)</f>
        <v/>
      </c>
      <c r="I525">
        <f>AVERAGE(E326:E525)</f>
        <v/>
      </c>
      <c r="J525">
        <f>AVERAGE(F326:F525)</f>
        <v/>
      </c>
    </row>
    <row r="526">
      <c r="C526" s="539" t="n">
        <v>40212</v>
      </c>
      <c r="D526" t="n">
        <v>108.6999969482422</v>
      </c>
      <c r="E526" t="n">
        <v>301.2000122070312</v>
      </c>
      <c r="F526" t="n">
        <v>21.7820930480957</v>
      </c>
      <c r="G526" t="n">
        <v>73.25666046142578</v>
      </c>
      <c r="H526">
        <f>AVERAGE(D327:D526)</f>
        <v/>
      </c>
      <c r="I526">
        <f>AVERAGE(E327:E526)</f>
        <v/>
      </c>
      <c r="J526">
        <f>AVERAGE(F327:F526)</f>
        <v/>
      </c>
    </row>
    <row r="527">
      <c r="C527" s="539" t="n">
        <v>40213</v>
      </c>
      <c r="D527" t="n">
        <v>104.370002746582</v>
      </c>
      <c r="E527" t="n">
        <v>286.3999938964844</v>
      </c>
      <c r="F527" t="n">
        <v>21.63596153259277</v>
      </c>
      <c r="G527" t="n">
        <v>73.25666046142578</v>
      </c>
      <c r="H527">
        <f>AVERAGE(D328:D527)</f>
        <v/>
      </c>
      <c r="I527">
        <f>AVERAGE(E328:E527)</f>
        <v/>
      </c>
      <c r="J527">
        <f>AVERAGE(F328:F527)</f>
        <v/>
      </c>
    </row>
    <row r="528">
      <c r="C528" s="539" t="n">
        <v>40214</v>
      </c>
      <c r="D528" t="n">
        <v>104.6800003051758</v>
      </c>
      <c r="E528" t="n">
        <v>281.6799926757812</v>
      </c>
      <c r="F528" t="n">
        <v>21.38667869567871</v>
      </c>
      <c r="G528" t="n">
        <v>73.25666046142578</v>
      </c>
      <c r="H528">
        <f>AVERAGE(D329:D528)</f>
        <v/>
      </c>
      <c r="I528">
        <f>AVERAGE(E329:E528)</f>
        <v/>
      </c>
      <c r="J528">
        <f>AVERAGE(F329:F528)</f>
        <v/>
      </c>
    </row>
    <row r="529">
      <c r="C529" s="539" t="n">
        <v>40217</v>
      </c>
      <c r="D529" t="n">
        <v>104.0400009155273</v>
      </c>
      <c r="E529" t="n">
        <v>280.7200012207031</v>
      </c>
      <c r="F529" t="n">
        <v>21.67893981933594</v>
      </c>
      <c r="G529" t="n">
        <v>73.25666046142578</v>
      </c>
      <c r="H529">
        <f>AVERAGE(D330:D529)</f>
        <v/>
      </c>
      <c r="I529">
        <f>AVERAGE(E330:E529)</f>
        <v/>
      </c>
      <c r="J529">
        <f>AVERAGE(F330:F529)</f>
        <v/>
      </c>
    </row>
    <row r="530">
      <c r="C530" s="539" t="n">
        <v>40218</v>
      </c>
      <c r="D530" t="n">
        <v>105.4100036621094</v>
      </c>
      <c r="E530" t="n">
        <v>289.6799926757812</v>
      </c>
      <c r="F530" t="n">
        <v>21.71332740783691</v>
      </c>
      <c r="G530" t="n">
        <v>73.25666046142578</v>
      </c>
      <c r="H530">
        <f>AVERAGE(D331:D530)</f>
        <v/>
      </c>
      <c r="I530">
        <f>AVERAGE(E331:E530)</f>
        <v/>
      </c>
      <c r="J530">
        <f>AVERAGE(F331:F530)</f>
        <v/>
      </c>
    </row>
    <row r="531">
      <c r="C531" s="539" t="n">
        <v>40219</v>
      </c>
      <c r="D531" t="n">
        <v>105.120002746582</v>
      </c>
      <c r="E531" t="n">
        <v>292.0799865722656</v>
      </c>
      <c r="F531" t="n">
        <v>21.89384078979492</v>
      </c>
      <c r="G531" t="n">
        <v>73.25666046142578</v>
      </c>
      <c r="H531">
        <f>AVERAGE(D332:D531)</f>
        <v/>
      </c>
      <c r="I531">
        <f>AVERAGE(E332:E531)</f>
        <v/>
      </c>
      <c r="J531">
        <f>AVERAGE(F332:F531)</f>
        <v/>
      </c>
    </row>
    <row r="532">
      <c r="C532" s="539" t="n">
        <v>40220</v>
      </c>
      <c r="D532" t="n">
        <v>107.129997253418</v>
      </c>
      <c r="E532" t="n">
        <v>294.239990234375</v>
      </c>
      <c r="F532" t="n">
        <v>21.93681907653809</v>
      </c>
      <c r="G532" t="n">
        <v>73.25666046142578</v>
      </c>
      <c r="H532">
        <f>AVERAGE(D333:D532)</f>
        <v/>
      </c>
      <c r="I532">
        <f>AVERAGE(E333:E532)</f>
        <v/>
      </c>
      <c r="J532">
        <f>AVERAGE(F333:F532)</f>
        <v/>
      </c>
    </row>
    <row r="533">
      <c r="C533" s="539" t="n">
        <v>40221</v>
      </c>
      <c r="D533" t="n">
        <v>107.0400009155273</v>
      </c>
      <c r="E533" t="n">
        <v>290.4800109863281</v>
      </c>
      <c r="F533" t="n">
        <v>21.84226608276367</v>
      </c>
      <c r="G533" t="n">
        <v>73.25666046142578</v>
      </c>
      <c r="H533">
        <f>AVERAGE(D334:D533)</f>
        <v/>
      </c>
      <c r="I533">
        <f>AVERAGE(E334:E533)</f>
        <v/>
      </c>
      <c r="J533">
        <f>AVERAGE(F334:F533)</f>
        <v/>
      </c>
    </row>
    <row r="534">
      <c r="C534" s="539" t="n">
        <v>40225</v>
      </c>
      <c r="D534" t="n">
        <v>109.620002746582</v>
      </c>
      <c r="E534" t="n">
        <v>302.3200073242188</v>
      </c>
      <c r="F534" t="n">
        <v>22.26346397399902</v>
      </c>
      <c r="G534" t="n">
        <v>73.25666046142578</v>
      </c>
      <c r="H534">
        <f>AVERAGE(D335:D534)</f>
        <v/>
      </c>
      <c r="I534">
        <f>AVERAGE(E335:E534)</f>
        <v/>
      </c>
      <c r="J534">
        <f>AVERAGE(F335:F534)</f>
        <v/>
      </c>
    </row>
    <row r="535">
      <c r="C535" s="539" t="n">
        <v>40226</v>
      </c>
      <c r="D535" t="n">
        <v>109.25</v>
      </c>
      <c r="E535" t="n">
        <v>303.760009765625</v>
      </c>
      <c r="F535" t="n">
        <v>21.91962623596191</v>
      </c>
      <c r="G535" t="n">
        <v>73.20878601074219</v>
      </c>
      <c r="H535">
        <f>AVERAGE(D336:D535)</f>
        <v/>
      </c>
      <c r="I535">
        <f>AVERAGE(E336:E535)</f>
        <v/>
      </c>
      <c r="J535">
        <f>AVERAGE(F336:F535)</f>
        <v/>
      </c>
    </row>
    <row r="536">
      <c r="C536" s="539" t="n">
        <v>40227</v>
      </c>
      <c r="D536" t="n">
        <v>109.9800033569336</v>
      </c>
      <c r="E536" t="n">
        <v>309.8399963378906</v>
      </c>
      <c r="F536" t="n">
        <v>22.01418495178223</v>
      </c>
      <c r="G536" t="n">
        <v>73.24070739746094</v>
      </c>
      <c r="H536">
        <f>AVERAGE(D337:D536)</f>
        <v/>
      </c>
      <c r="I536">
        <f>AVERAGE(E337:E536)</f>
        <v/>
      </c>
      <c r="J536">
        <f>AVERAGE(F337:F536)</f>
        <v/>
      </c>
    </row>
    <row r="537">
      <c r="C537" s="539" t="n">
        <v>40228</v>
      </c>
      <c r="D537" t="n">
        <v>109.4700012207031</v>
      </c>
      <c r="E537" t="n">
        <v>312.7200012207031</v>
      </c>
      <c r="F537" t="n">
        <v>22.14312553405762</v>
      </c>
      <c r="G537" t="n">
        <v>73.20878601074219</v>
      </c>
      <c r="H537">
        <f>AVERAGE(D338:D537)</f>
        <v/>
      </c>
      <c r="I537">
        <f>AVERAGE(E338:E537)</f>
        <v/>
      </c>
      <c r="J537">
        <f>AVERAGE(F338:F537)</f>
        <v/>
      </c>
    </row>
    <row r="538">
      <c r="C538" s="539" t="n">
        <v>40231</v>
      </c>
      <c r="D538" t="n">
        <v>109.0699996948242</v>
      </c>
      <c r="E538" t="n">
        <v>312.239990234375</v>
      </c>
      <c r="F538" t="n">
        <v>21.93681907653809</v>
      </c>
      <c r="G538" t="n">
        <v>73.24070739746094</v>
      </c>
      <c r="H538">
        <f>AVERAGE(D339:D538)</f>
        <v/>
      </c>
      <c r="I538">
        <f>AVERAGE(E339:E538)</f>
        <v/>
      </c>
      <c r="J538">
        <f>AVERAGE(F339:F538)</f>
        <v/>
      </c>
    </row>
    <row r="539">
      <c r="C539" s="539" t="n">
        <v>40232</v>
      </c>
      <c r="D539" t="n">
        <v>107.8899993896484</v>
      </c>
      <c r="E539" t="n">
        <v>306.6400146484375</v>
      </c>
      <c r="F539" t="n">
        <v>21.60157775878906</v>
      </c>
      <c r="G539" t="n">
        <v>73.20878601074219</v>
      </c>
      <c r="H539">
        <f>AVERAGE(D340:D539)</f>
        <v/>
      </c>
      <c r="I539">
        <f>AVERAGE(E340:E539)</f>
        <v/>
      </c>
      <c r="J539">
        <f>AVERAGE(F340:F539)</f>
        <v/>
      </c>
    </row>
    <row r="540">
      <c r="C540" s="539" t="n">
        <v>40233</v>
      </c>
      <c r="D540" t="n">
        <v>107.3600006103516</v>
      </c>
      <c r="E540" t="n">
        <v>311.9200134277344</v>
      </c>
      <c r="F540" t="n">
        <v>21.84226608276367</v>
      </c>
      <c r="G540" t="n">
        <v>73.24070739746094</v>
      </c>
      <c r="H540">
        <f>AVERAGE(D341:D540)</f>
        <v/>
      </c>
      <c r="I540">
        <f>AVERAGE(E341:E540)</f>
        <v/>
      </c>
      <c r="J540">
        <f>AVERAGE(F341:F540)</f>
        <v/>
      </c>
    </row>
    <row r="541">
      <c r="C541" s="539" t="n">
        <v>40234</v>
      </c>
      <c r="D541" t="n">
        <v>108.3099975585938</v>
      </c>
      <c r="E541" t="n">
        <v>304.8800048828125</v>
      </c>
      <c r="F541" t="n">
        <v>21.65315628051758</v>
      </c>
      <c r="G541" t="n">
        <v>73.24070739746094</v>
      </c>
      <c r="H541">
        <f>AVERAGE(D342:D541)</f>
        <v/>
      </c>
      <c r="I541">
        <f>AVERAGE(E342:E541)</f>
        <v/>
      </c>
      <c r="J541">
        <f>AVERAGE(F342:F541)</f>
        <v/>
      </c>
    </row>
    <row r="542">
      <c r="C542" s="539" t="n">
        <v>40235</v>
      </c>
      <c r="D542" t="n">
        <v>109.4300003051758</v>
      </c>
      <c r="E542" t="n">
        <v>310.5599975585938</v>
      </c>
      <c r="F542" t="n">
        <v>21.83366966247559</v>
      </c>
      <c r="G542" t="n">
        <v>73.24070739746094</v>
      </c>
      <c r="H542">
        <f>AVERAGE(D343:D542)</f>
        <v/>
      </c>
      <c r="I542">
        <f>AVERAGE(E343:E542)</f>
        <v/>
      </c>
      <c r="J542">
        <f>AVERAGE(F343:F542)</f>
        <v/>
      </c>
    </row>
    <row r="543">
      <c r="C543" s="539" t="n">
        <v>40238</v>
      </c>
      <c r="D543" t="n">
        <v>109.4300003051758</v>
      </c>
      <c r="E543" t="n">
        <v>306.7999877929688</v>
      </c>
      <c r="F543" t="n">
        <v>21.56719398498535</v>
      </c>
      <c r="G543" t="n">
        <v>73.20878601074219</v>
      </c>
      <c r="H543">
        <f>AVERAGE(D344:D543)</f>
        <v/>
      </c>
      <c r="I543">
        <f>AVERAGE(E344:E543)</f>
        <v/>
      </c>
      <c r="J543">
        <f>AVERAGE(F344:F543)</f>
        <v/>
      </c>
    </row>
    <row r="544">
      <c r="C544" s="539" t="n">
        <v>40239</v>
      </c>
      <c r="D544" t="n">
        <v>111.0199966430664</v>
      </c>
      <c r="E544" t="n">
        <v>310.3999938964844</v>
      </c>
      <c r="F544" t="n">
        <v>21.56719398498535</v>
      </c>
      <c r="G544" t="n">
        <v>73.22470092773438</v>
      </c>
      <c r="H544">
        <f>AVERAGE(D345:D544)</f>
        <v/>
      </c>
      <c r="I544">
        <f>AVERAGE(E345:E544)</f>
        <v/>
      </c>
      <c r="J544">
        <f>AVERAGE(F345:F544)</f>
        <v/>
      </c>
    </row>
    <row r="545">
      <c r="C545" s="539" t="n">
        <v>40240</v>
      </c>
      <c r="D545" t="n">
        <v>111.629997253418</v>
      </c>
      <c r="E545" t="n">
        <v>315.2000122070312</v>
      </c>
      <c r="F545" t="n">
        <v>21.58438873291016</v>
      </c>
      <c r="G545" t="n">
        <v>73.20878601074219</v>
      </c>
      <c r="H545">
        <f>AVERAGE(D346:D545)</f>
        <v/>
      </c>
      <c r="I545">
        <f>AVERAGE(E346:E545)</f>
        <v/>
      </c>
      <c r="J545">
        <f>AVERAGE(F346:F545)</f>
        <v/>
      </c>
    </row>
    <row r="546">
      <c r="C546" s="539" t="n">
        <v>40241</v>
      </c>
      <c r="D546" t="n">
        <v>110.8300018310547</v>
      </c>
      <c r="E546" t="n">
        <v>313.2000122070312</v>
      </c>
      <c r="F546" t="n">
        <v>21.44685363769531</v>
      </c>
      <c r="G546" t="n">
        <v>73.20878601074219</v>
      </c>
      <c r="H546">
        <f>AVERAGE(D347:D546)</f>
        <v/>
      </c>
      <c r="I546">
        <f>AVERAGE(E347:E546)</f>
        <v/>
      </c>
      <c r="J546">
        <f>AVERAGE(F347:F546)</f>
        <v/>
      </c>
    </row>
    <row r="547">
      <c r="C547" s="539" t="n">
        <v>40242</v>
      </c>
      <c r="D547" t="n">
        <v>110.8099975585938</v>
      </c>
      <c r="E547" t="n">
        <v>318.7999877929688</v>
      </c>
      <c r="F547" t="n">
        <v>21.4726390838623</v>
      </c>
      <c r="G547" t="n">
        <v>73.20878601074219</v>
      </c>
      <c r="H547">
        <f>AVERAGE(D348:D547)</f>
        <v/>
      </c>
      <c r="I547">
        <f>AVERAGE(E348:E547)</f>
        <v/>
      </c>
      <c r="J547">
        <f>AVERAGE(F348:F547)</f>
        <v/>
      </c>
    </row>
    <row r="548">
      <c r="C548" s="539" t="n">
        <v>40245</v>
      </c>
      <c r="D548" t="n">
        <v>109.879997253418</v>
      </c>
      <c r="E548" t="n">
        <v>318.3200073242188</v>
      </c>
      <c r="F548" t="n">
        <v>21.40387344360352</v>
      </c>
      <c r="G548" t="n">
        <v>73.20878601074219</v>
      </c>
      <c r="H548">
        <f>AVERAGE(D349:D548)</f>
        <v/>
      </c>
      <c r="I548">
        <f>AVERAGE(E349:E548)</f>
        <v/>
      </c>
      <c r="J548">
        <f>AVERAGE(F349:F548)</f>
        <v/>
      </c>
    </row>
    <row r="549">
      <c r="C549" s="539" t="n">
        <v>40246</v>
      </c>
      <c r="D549" t="n">
        <v>109.7200012207031</v>
      </c>
      <c r="E549" t="n">
        <v>316.3999938964844</v>
      </c>
      <c r="F549" t="n">
        <v>21.15458869934082</v>
      </c>
      <c r="G549" t="n">
        <v>73.20878601074219</v>
      </c>
      <c r="H549">
        <f>AVERAGE(D350:D549)</f>
        <v/>
      </c>
      <c r="I549">
        <f>AVERAGE(E350:E549)</f>
        <v/>
      </c>
      <c r="J549">
        <f>AVERAGE(F350:F549)</f>
        <v/>
      </c>
    </row>
    <row r="550">
      <c r="C550" s="539" t="n">
        <v>40247</v>
      </c>
      <c r="D550" t="n">
        <v>108.4700012207031</v>
      </c>
      <c r="E550" t="n">
        <v>319.2000122070312</v>
      </c>
      <c r="F550" t="n">
        <v>21.07722663879395</v>
      </c>
      <c r="G550" t="n">
        <v>73.22470092773438</v>
      </c>
      <c r="H550">
        <f>AVERAGE(D351:D550)</f>
        <v/>
      </c>
      <c r="I550">
        <f>AVERAGE(E351:E550)</f>
        <v/>
      </c>
      <c r="J550">
        <f>AVERAGE(F351:F550)</f>
        <v/>
      </c>
    </row>
    <row r="551">
      <c r="C551" s="539" t="n">
        <v>40248</v>
      </c>
      <c r="D551" t="n">
        <v>108.5999984741211</v>
      </c>
      <c r="E551" t="n">
        <v>320.3999938964844</v>
      </c>
      <c r="F551" t="n">
        <v>21.00845718383789</v>
      </c>
      <c r="G551" t="n">
        <v>73.20878601074219</v>
      </c>
      <c r="H551">
        <f>AVERAGE(D352:D551)</f>
        <v/>
      </c>
      <c r="I551">
        <f>AVERAGE(E352:E551)</f>
        <v/>
      </c>
      <c r="J551">
        <f>AVERAGE(F352:F551)</f>
        <v/>
      </c>
    </row>
    <row r="552">
      <c r="C552" s="539" t="n">
        <v>40249</v>
      </c>
      <c r="D552" t="n">
        <v>107.9499969482422</v>
      </c>
      <c r="E552" t="n">
        <v>316.0799865722656</v>
      </c>
      <c r="F552" t="n">
        <v>21.1288013458252</v>
      </c>
      <c r="G552" t="n">
        <v>73.20878601074219</v>
      </c>
      <c r="H552">
        <f>AVERAGE(D353:D552)</f>
        <v/>
      </c>
      <c r="I552">
        <f>AVERAGE(E353:E552)</f>
        <v/>
      </c>
      <c r="J552">
        <f>AVERAGE(F353:F552)</f>
        <v/>
      </c>
    </row>
    <row r="553">
      <c r="C553" s="539" t="n">
        <v>40252</v>
      </c>
      <c r="D553" t="n">
        <v>108.3600006103516</v>
      </c>
      <c r="E553" t="n">
        <v>310.6400146484375</v>
      </c>
      <c r="F553" t="n">
        <v>21.01705741882324</v>
      </c>
      <c r="G553" t="n">
        <v>73.20878601074219</v>
      </c>
      <c r="H553">
        <f>AVERAGE(D354:D553)</f>
        <v/>
      </c>
      <c r="I553">
        <f>AVERAGE(E354:E553)</f>
        <v/>
      </c>
      <c r="J553">
        <f>AVERAGE(F354:F553)</f>
        <v/>
      </c>
    </row>
    <row r="554">
      <c r="C554" s="539" t="n">
        <v>40253</v>
      </c>
      <c r="D554" t="n">
        <v>110.4000015258789</v>
      </c>
      <c r="E554" t="n">
        <v>318.3200073242188</v>
      </c>
      <c r="F554" t="n">
        <v>21.06863021850586</v>
      </c>
      <c r="G554" t="n">
        <v>73.20878601074219</v>
      </c>
      <c r="H554">
        <f>AVERAGE(D355:D554)</f>
        <v/>
      </c>
      <c r="I554">
        <f>AVERAGE(E355:E554)</f>
        <v/>
      </c>
      <c r="J554">
        <f>AVERAGE(F355:F554)</f>
        <v/>
      </c>
    </row>
    <row r="555">
      <c r="C555" s="539" t="n">
        <v>40254</v>
      </c>
      <c r="D555" t="n">
        <v>109.5899963378906</v>
      </c>
      <c r="E555" t="n">
        <v>321.8399963378906</v>
      </c>
      <c r="F555" t="n">
        <v>21.24914360046387</v>
      </c>
      <c r="G555" t="n">
        <v>73.20878601074219</v>
      </c>
      <c r="H555">
        <f>AVERAGE(D356:D555)</f>
        <v/>
      </c>
      <c r="I555">
        <f>AVERAGE(E356:E555)</f>
        <v/>
      </c>
      <c r="J555">
        <f>AVERAGE(F356:F555)</f>
        <v/>
      </c>
    </row>
    <row r="556">
      <c r="C556" s="539" t="n">
        <v>40255</v>
      </c>
      <c r="D556" t="n">
        <v>110.3399963378906</v>
      </c>
      <c r="E556" t="n">
        <v>319.3599853515625</v>
      </c>
      <c r="F556" t="n">
        <v>21.41246795654297</v>
      </c>
      <c r="G556" t="n">
        <v>73.20878601074219</v>
      </c>
      <c r="H556">
        <f>AVERAGE(D357:D556)</f>
        <v/>
      </c>
      <c r="I556">
        <f>AVERAGE(E357:E556)</f>
        <v/>
      </c>
      <c r="J556">
        <f>AVERAGE(F357:F556)</f>
        <v/>
      </c>
    </row>
    <row r="557">
      <c r="C557" s="539" t="n">
        <v>40256</v>
      </c>
      <c r="D557" t="n">
        <v>108.2799987792969</v>
      </c>
      <c r="E557" t="n">
        <v>313.6000061035156</v>
      </c>
      <c r="F557" t="n">
        <v>21.30931854248047</v>
      </c>
      <c r="G557" t="n">
        <v>73.20878601074219</v>
      </c>
      <c r="H557">
        <f>AVERAGE(D358:D557)</f>
        <v/>
      </c>
      <c r="I557">
        <f>AVERAGE(E358:E557)</f>
        <v/>
      </c>
      <c r="J557">
        <f>AVERAGE(F358:F557)</f>
        <v/>
      </c>
    </row>
    <row r="558">
      <c r="C558" s="539" t="n">
        <v>40259</v>
      </c>
      <c r="D558" t="n">
        <v>107.75</v>
      </c>
      <c r="E558" t="n">
        <v>316.4800109863281</v>
      </c>
      <c r="F558" t="n">
        <v>21.23195457458496</v>
      </c>
      <c r="G558" t="n">
        <v>73.22470092773438</v>
      </c>
      <c r="H558">
        <f>AVERAGE(D359:D558)</f>
        <v/>
      </c>
      <c r="I558">
        <f>AVERAGE(E359:E558)</f>
        <v/>
      </c>
      <c r="J558">
        <f>AVERAGE(F359:F558)</f>
        <v/>
      </c>
    </row>
    <row r="559">
      <c r="C559" s="539" t="n">
        <v>40260</v>
      </c>
      <c r="D559" t="n">
        <v>108.3199996948242</v>
      </c>
      <c r="E559" t="n">
        <v>317.6000061035156</v>
      </c>
      <c r="F559" t="n">
        <v>20.95688247680664</v>
      </c>
      <c r="G559" t="n">
        <v>73.22470092773438</v>
      </c>
      <c r="H559">
        <f>AVERAGE(D360:D559)</f>
        <v/>
      </c>
      <c r="I559">
        <f>AVERAGE(E360:E559)</f>
        <v/>
      </c>
      <c r="J559">
        <f>AVERAGE(F360:F559)</f>
        <v/>
      </c>
    </row>
    <row r="560">
      <c r="C560" s="539" t="n">
        <v>40261</v>
      </c>
      <c r="D560" t="n">
        <v>106.3000030517578</v>
      </c>
      <c r="E560" t="n">
        <v>311.5199890136719</v>
      </c>
      <c r="F560" t="n">
        <v>20.95688247680664</v>
      </c>
      <c r="G560" t="n">
        <v>73.20878601074219</v>
      </c>
      <c r="H560">
        <f>AVERAGE(D361:D560)</f>
        <v/>
      </c>
      <c r="I560">
        <f>AVERAGE(E361:E560)</f>
        <v/>
      </c>
      <c r="J560">
        <f>AVERAGE(F361:F560)</f>
        <v/>
      </c>
    </row>
    <row r="561">
      <c r="C561" s="539" t="n">
        <v>40262</v>
      </c>
      <c r="D561" t="n">
        <v>106.7799987792969</v>
      </c>
      <c r="E561" t="n">
        <v>311.2000122070312</v>
      </c>
      <c r="F561" t="n">
        <v>20.7161979675293</v>
      </c>
      <c r="G561" t="n">
        <v>73.24070739746094</v>
      </c>
      <c r="H561">
        <f>AVERAGE(D362:D561)</f>
        <v/>
      </c>
      <c r="I561">
        <f>AVERAGE(E362:E561)</f>
        <v/>
      </c>
      <c r="J561">
        <f>AVERAGE(F362:F561)</f>
        <v/>
      </c>
    </row>
    <row r="562">
      <c r="C562" s="539" t="n">
        <v>40263</v>
      </c>
      <c r="D562" t="n">
        <v>108.5899963378906</v>
      </c>
      <c r="E562" t="n">
        <v>310.6400146484375</v>
      </c>
      <c r="F562" t="n">
        <v>20.66462326049805</v>
      </c>
      <c r="G562" t="n">
        <v>73.24070739746094</v>
      </c>
      <c r="H562">
        <f>AVERAGE(D363:D562)</f>
        <v/>
      </c>
      <c r="I562">
        <f>AVERAGE(E363:E562)</f>
        <v/>
      </c>
      <c r="J562">
        <f>AVERAGE(F363:F562)</f>
        <v/>
      </c>
    </row>
    <row r="563">
      <c r="C563" s="539" t="n">
        <v>40266</v>
      </c>
      <c r="D563" t="n">
        <v>108.75</v>
      </c>
      <c r="E563" t="n">
        <v>319.6799926757812</v>
      </c>
      <c r="F563" t="n">
        <v>21.01705741882324</v>
      </c>
      <c r="G563" t="n">
        <v>73.20878601074219</v>
      </c>
      <c r="H563">
        <f>AVERAGE(D364:D563)</f>
        <v/>
      </c>
      <c r="I563">
        <f>AVERAGE(E364:E563)</f>
        <v/>
      </c>
      <c r="J563">
        <f>AVERAGE(F364:F563)</f>
        <v/>
      </c>
    </row>
    <row r="564">
      <c r="C564" s="539" t="n">
        <v>40267</v>
      </c>
      <c r="D564" t="n">
        <v>107.9700012207031</v>
      </c>
      <c r="E564" t="n">
        <v>319.6000061035156</v>
      </c>
      <c r="F564" t="n">
        <v>21.15458869934082</v>
      </c>
      <c r="G564" t="n">
        <v>73.20878601074219</v>
      </c>
      <c r="H564">
        <f>AVERAGE(D365:D564)</f>
        <v/>
      </c>
      <c r="I564">
        <f>AVERAGE(E365:E564)</f>
        <v/>
      </c>
      <c r="J564">
        <f>AVERAGE(F365:F564)</f>
        <v/>
      </c>
    </row>
    <row r="565">
      <c r="C565" s="539" t="n">
        <v>40268</v>
      </c>
      <c r="D565" t="n">
        <v>108.9499969482422</v>
      </c>
      <c r="E565" t="n">
        <v>322.3200073242188</v>
      </c>
      <c r="F565" t="n">
        <v>20.8193473815918</v>
      </c>
      <c r="G565" t="n">
        <v>73.24070739746094</v>
      </c>
      <c r="H565">
        <f>AVERAGE(D366:D565)</f>
        <v/>
      </c>
      <c r="I565">
        <f>AVERAGE(E366:E565)</f>
        <v/>
      </c>
      <c r="J565">
        <f>AVERAGE(F366:F565)</f>
        <v/>
      </c>
    </row>
    <row r="566">
      <c r="C566" s="539" t="n">
        <v>40269</v>
      </c>
      <c r="D566" t="n">
        <v>110.2600021362305</v>
      </c>
      <c r="E566" t="n">
        <v>329.9200134277344</v>
      </c>
      <c r="F566" t="n">
        <v>20.98266983032227</v>
      </c>
      <c r="G566" t="n">
        <v>73.24070739746094</v>
      </c>
      <c r="H566">
        <f>AVERAGE(D367:D566)</f>
        <v/>
      </c>
      <c r="I566">
        <f>AVERAGE(E367:E566)</f>
        <v/>
      </c>
      <c r="J566">
        <f>AVERAGE(F367:F566)</f>
        <v/>
      </c>
    </row>
    <row r="567">
      <c r="C567" s="539" t="n">
        <v>40273</v>
      </c>
      <c r="D567" t="n">
        <v>110.8899993896484</v>
      </c>
      <c r="E567" t="n">
        <v>336.5599975585938</v>
      </c>
      <c r="F567" t="n">
        <v>21.06863021850586</v>
      </c>
      <c r="G567" t="n">
        <v>73.20878601074219</v>
      </c>
      <c r="H567">
        <f>AVERAGE(D368:D567)</f>
        <v/>
      </c>
      <c r="I567">
        <f>AVERAGE(E368:E567)</f>
        <v/>
      </c>
      <c r="J567">
        <f>AVERAGE(F368:F567)</f>
        <v/>
      </c>
    </row>
    <row r="568">
      <c r="C568" s="539" t="n">
        <v>40274</v>
      </c>
      <c r="D568" t="n">
        <v>111.0299987792969</v>
      </c>
      <c r="E568" t="n">
        <v>336.1600036621094</v>
      </c>
      <c r="F568" t="n">
        <v>21.02565002441406</v>
      </c>
      <c r="G568" t="n">
        <v>73.20878601074219</v>
      </c>
      <c r="H568">
        <f>AVERAGE(D369:D568)</f>
        <v/>
      </c>
      <c r="I568">
        <f>AVERAGE(E369:E568)</f>
        <v/>
      </c>
      <c r="J568">
        <f>AVERAGE(F369:F568)</f>
        <v/>
      </c>
    </row>
    <row r="569">
      <c r="C569" s="539" t="n">
        <v>40275</v>
      </c>
      <c r="D569" t="n">
        <v>112.4899978637695</v>
      </c>
      <c r="E569" t="n">
        <v>332.1600036621094</v>
      </c>
      <c r="F569" t="n">
        <v>21.09441947937012</v>
      </c>
      <c r="G569" t="n">
        <v>73.20878601074219</v>
      </c>
      <c r="H569">
        <f>AVERAGE(D370:D569)</f>
        <v/>
      </c>
      <c r="I569">
        <f>AVERAGE(E370:E569)</f>
        <v/>
      </c>
      <c r="J569">
        <f>AVERAGE(F370:F569)</f>
        <v/>
      </c>
    </row>
    <row r="570">
      <c r="C570" s="539" t="n">
        <v>40276</v>
      </c>
      <c r="D570" t="n">
        <v>112.6500015258789</v>
      </c>
      <c r="E570" t="n">
        <v>331.5199890136719</v>
      </c>
      <c r="F570" t="n">
        <v>20.93109512329102</v>
      </c>
      <c r="G570" t="n">
        <v>73.20878601074219</v>
      </c>
      <c r="H570">
        <f>AVERAGE(D371:D570)</f>
        <v/>
      </c>
      <c r="I570">
        <f>AVERAGE(E371:E570)</f>
        <v/>
      </c>
      <c r="J570">
        <f>AVERAGE(F371:F570)</f>
        <v/>
      </c>
    </row>
    <row r="571">
      <c r="C571" s="539" t="n">
        <v>40277</v>
      </c>
      <c r="D571" t="n">
        <v>113.6399993896484</v>
      </c>
      <c r="E571" t="n">
        <v>329.3599853515625</v>
      </c>
      <c r="F571" t="n">
        <v>20.9396915435791</v>
      </c>
      <c r="G571" t="n">
        <v>73.20878601074219</v>
      </c>
      <c r="H571">
        <f>AVERAGE(D372:D571)</f>
        <v/>
      </c>
      <c r="I571">
        <f>AVERAGE(E372:E571)</f>
        <v/>
      </c>
      <c r="J571">
        <f>AVERAGE(F372:F571)</f>
        <v/>
      </c>
    </row>
    <row r="572">
      <c r="C572" s="539" t="n">
        <v>40280</v>
      </c>
      <c r="D572" t="n">
        <v>113.0100021362305</v>
      </c>
      <c r="E572" t="n">
        <v>327.4400024414062</v>
      </c>
      <c r="F572" t="n">
        <v>21.03424644470215</v>
      </c>
      <c r="G572" t="n">
        <v>73.20878601074219</v>
      </c>
      <c r="H572">
        <f>AVERAGE(D373:D572)</f>
        <v/>
      </c>
      <c r="I572">
        <f>AVERAGE(E373:E572)</f>
        <v/>
      </c>
      <c r="J572">
        <f>AVERAGE(F373:F572)</f>
        <v/>
      </c>
    </row>
    <row r="573">
      <c r="C573" s="539" t="n">
        <v>40281</v>
      </c>
      <c r="D573" t="n">
        <v>112.6900024414062</v>
      </c>
      <c r="E573" t="n">
        <v>327.1199951171875</v>
      </c>
      <c r="F573" t="n">
        <v>21.09441947937012</v>
      </c>
      <c r="G573" t="n">
        <v>73.20878601074219</v>
      </c>
      <c r="H573">
        <f>AVERAGE(D374:D573)</f>
        <v/>
      </c>
      <c r="I573">
        <f>AVERAGE(E374:E573)</f>
        <v/>
      </c>
      <c r="J573">
        <f>AVERAGE(F374:F573)</f>
        <v/>
      </c>
    </row>
    <row r="574">
      <c r="C574" s="539" t="n">
        <v>40282</v>
      </c>
      <c r="D574" t="n">
        <v>113.0299987792969</v>
      </c>
      <c r="E574" t="n">
        <v>334.0799865722656</v>
      </c>
      <c r="F574" t="n">
        <v>21.14599418640137</v>
      </c>
      <c r="G574" t="n">
        <v>73.20878601074219</v>
      </c>
      <c r="H574">
        <f>AVERAGE(D375:D574)</f>
        <v/>
      </c>
      <c r="I574">
        <f>AVERAGE(E375:E574)</f>
        <v/>
      </c>
      <c r="J574">
        <f>AVERAGE(F375:F574)</f>
        <v/>
      </c>
    </row>
    <row r="575">
      <c r="C575" s="539" t="n">
        <v>40283</v>
      </c>
      <c r="D575" t="n">
        <v>113.6500015258789</v>
      </c>
      <c r="E575" t="n">
        <v>333.6799926757812</v>
      </c>
      <c r="F575" t="n">
        <v>21.26633834838867</v>
      </c>
      <c r="G575" t="n">
        <v>73.20878601074219</v>
      </c>
      <c r="H575">
        <f>AVERAGE(D376:D575)</f>
        <v/>
      </c>
      <c r="I575">
        <f>AVERAGE(E376:E575)</f>
        <v/>
      </c>
      <c r="J575">
        <f>AVERAGE(F376:F575)</f>
        <v/>
      </c>
    </row>
    <row r="576">
      <c r="C576" s="539" t="n">
        <v>40284</v>
      </c>
      <c r="D576" t="n">
        <v>111.2399978637695</v>
      </c>
      <c r="E576" t="n">
        <v>324.7999877929688</v>
      </c>
      <c r="F576" t="n">
        <v>21.1288013458252</v>
      </c>
      <c r="G576" t="n">
        <v>73.20878601074219</v>
      </c>
      <c r="H576">
        <f>AVERAGE(D377:D576)</f>
        <v/>
      </c>
      <c r="I576">
        <f>AVERAGE(E377:E576)</f>
        <v/>
      </c>
      <c r="J576">
        <f>AVERAGE(F377:F576)</f>
        <v/>
      </c>
    </row>
    <row r="577">
      <c r="C577" s="539" t="n">
        <v>40287</v>
      </c>
      <c r="D577" t="n">
        <v>111.1500015258789</v>
      </c>
      <c r="E577" t="n">
        <v>320.8800048828125</v>
      </c>
      <c r="F577" t="n">
        <v>21.12020683288574</v>
      </c>
      <c r="G577" t="n">
        <v>73.22470092773438</v>
      </c>
      <c r="H577">
        <f>AVERAGE(D378:D577)</f>
        <v/>
      </c>
      <c r="I577">
        <f>AVERAGE(E378:E577)</f>
        <v/>
      </c>
      <c r="J577">
        <f>AVERAGE(F378:F577)</f>
        <v/>
      </c>
    </row>
    <row r="578">
      <c r="C578" s="539" t="n">
        <v>40288</v>
      </c>
      <c r="D578" t="n">
        <v>111.4599990844727</v>
      </c>
      <c r="E578" t="n">
        <v>322.3999938964844</v>
      </c>
      <c r="F578" t="n">
        <v>21.25774002075195</v>
      </c>
      <c r="G578" t="n">
        <v>73.20878601074219</v>
      </c>
      <c r="H578">
        <f>AVERAGE(D379:D578)</f>
        <v/>
      </c>
      <c r="I578">
        <f>AVERAGE(E379:E578)</f>
        <v/>
      </c>
      <c r="J578">
        <f>AVERAGE(F379:F578)</f>
        <v/>
      </c>
    </row>
    <row r="579">
      <c r="C579" s="539" t="n">
        <v>40289</v>
      </c>
      <c r="D579" t="n">
        <v>112.3099975585938</v>
      </c>
      <c r="E579" t="n">
        <v>322.1600036621094</v>
      </c>
      <c r="F579" t="n">
        <v>21.42966079711914</v>
      </c>
      <c r="G579" t="n">
        <v>73.20878601074219</v>
      </c>
      <c r="H579">
        <f>AVERAGE(D380:D579)</f>
        <v/>
      </c>
      <c r="I579">
        <f>AVERAGE(E380:E579)</f>
        <v/>
      </c>
      <c r="J579">
        <f>AVERAGE(F380:F579)</f>
        <v/>
      </c>
    </row>
    <row r="580">
      <c r="C580" s="539" t="n">
        <v>40290</v>
      </c>
      <c r="D580" t="n">
        <v>111.8399963378906</v>
      </c>
      <c r="E580" t="n">
        <v>322.3999938964844</v>
      </c>
      <c r="F580" t="n">
        <v>21.50702476501465</v>
      </c>
      <c r="G580" t="n">
        <v>73.20878601074219</v>
      </c>
      <c r="H580">
        <f>AVERAGE(D381:D580)</f>
        <v/>
      </c>
      <c r="I580">
        <f>AVERAGE(E381:E580)</f>
        <v/>
      </c>
      <c r="J580">
        <f>AVERAGE(F381:F580)</f>
        <v/>
      </c>
    </row>
    <row r="581">
      <c r="C581" s="539" t="n">
        <v>40291</v>
      </c>
      <c r="D581" t="n">
        <v>113.1900024414062</v>
      </c>
      <c r="E581" t="n">
        <v>327.6000061035156</v>
      </c>
      <c r="F581" t="n">
        <v>21.27493476867676</v>
      </c>
      <c r="G581" t="n">
        <v>73.20878601074219</v>
      </c>
      <c r="H581">
        <f>AVERAGE(D382:D581)</f>
        <v/>
      </c>
      <c r="I581">
        <f>AVERAGE(E382:E581)</f>
        <v/>
      </c>
      <c r="J581">
        <f>AVERAGE(F382:F581)</f>
        <v/>
      </c>
    </row>
    <row r="582">
      <c r="C582" s="539" t="n">
        <v>40294</v>
      </c>
      <c r="D582" t="n">
        <v>112.75</v>
      </c>
      <c r="E582" t="n">
        <v>322.7999877929688</v>
      </c>
      <c r="F582" t="n">
        <v>21.25774002075195</v>
      </c>
      <c r="G582" t="n">
        <v>73.22470092773438</v>
      </c>
      <c r="H582">
        <f>AVERAGE(D383:D582)</f>
        <v/>
      </c>
      <c r="I582">
        <f>AVERAGE(E383:E582)</f>
        <v/>
      </c>
      <c r="J582">
        <f>AVERAGE(F383:F582)</f>
        <v/>
      </c>
    </row>
    <row r="583">
      <c r="C583" s="539" t="n">
        <v>40295</v>
      </c>
      <c r="D583" t="n">
        <v>114.629997253418</v>
      </c>
      <c r="E583" t="n">
        <v>314.9599914550781</v>
      </c>
      <c r="F583" t="n">
        <v>20.95688247680664</v>
      </c>
      <c r="G583" t="n">
        <v>73.20878601074219</v>
      </c>
      <c r="H583">
        <f>AVERAGE(D384:D583)</f>
        <v/>
      </c>
      <c r="I583">
        <f>AVERAGE(E384:E583)</f>
        <v/>
      </c>
      <c r="J583">
        <f>AVERAGE(F384:F583)</f>
        <v/>
      </c>
    </row>
    <row r="584">
      <c r="C584" s="539" t="n">
        <v>40296</v>
      </c>
      <c r="D584" t="n">
        <v>114.3099975585938</v>
      </c>
      <c r="E584" t="n">
        <v>319.760009765625</v>
      </c>
      <c r="F584" t="n">
        <v>21.04284286499023</v>
      </c>
      <c r="G584" t="n">
        <v>73.22470092773438</v>
      </c>
      <c r="H584">
        <f>AVERAGE(D385:D584)</f>
        <v/>
      </c>
      <c r="I584">
        <f>AVERAGE(E385:E584)</f>
        <v/>
      </c>
      <c r="J584">
        <f>AVERAGE(F385:F584)</f>
        <v/>
      </c>
    </row>
    <row r="585">
      <c r="C585" s="539" t="n">
        <v>40297</v>
      </c>
      <c r="D585" t="n">
        <v>114.2799987792969</v>
      </c>
      <c r="E585" t="n">
        <v>328.3200073242188</v>
      </c>
      <c r="F585" t="n">
        <v>21.23195457458496</v>
      </c>
      <c r="G585" t="n">
        <v>73.22470092773438</v>
      </c>
      <c r="H585">
        <f>AVERAGE(D386:D585)</f>
        <v/>
      </c>
      <c r="I585">
        <f>AVERAGE(E386:E585)</f>
        <v/>
      </c>
      <c r="J585">
        <f>AVERAGE(F386:F585)</f>
        <v/>
      </c>
    </row>
    <row r="586">
      <c r="C586" s="539" t="n">
        <v>40298</v>
      </c>
      <c r="D586" t="n">
        <v>115.3600006103516</v>
      </c>
      <c r="E586" t="n">
        <v>330.6400146484375</v>
      </c>
      <c r="F586" t="n">
        <v>21.40387344360352</v>
      </c>
      <c r="G586" t="n">
        <v>73.20878601074219</v>
      </c>
      <c r="H586">
        <f>AVERAGE(D387:D586)</f>
        <v/>
      </c>
      <c r="I586">
        <f>AVERAGE(E387:E586)</f>
        <v/>
      </c>
      <c r="J586">
        <f>AVERAGE(F387:F586)</f>
        <v/>
      </c>
    </row>
    <row r="587">
      <c r="C587" s="539" t="n">
        <v>40301</v>
      </c>
      <c r="D587" t="n">
        <v>115.7300033569336</v>
      </c>
      <c r="E587" t="n">
        <v>331.6799926757812</v>
      </c>
      <c r="F587" t="n">
        <v>21.37808418273926</v>
      </c>
      <c r="G587" t="n">
        <v>73.22470092773438</v>
      </c>
      <c r="H587">
        <f>AVERAGE(D388:D587)</f>
        <v/>
      </c>
      <c r="I587">
        <f>AVERAGE(E388:E587)</f>
        <v/>
      </c>
      <c r="J587">
        <f>AVERAGE(F388:F587)</f>
        <v/>
      </c>
    </row>
    <row r="588">
      <c r="C588" s="539" t="n">
        <v>40302</v>
      </c>
      <c r="D588" t="n">
        <v>114.870002746582</v>
      </c>
      <c r="E588" t="n">
        <v>317.6000061035156</v>
      </c>
      <c r="F588" t="n">
        <v>21.28353118896484</v>
      </c>
      <c r="G588" t="n">
        <v>73.20878601074219</v>
      </c>
      <c r="H588">
        <f>AVERAGE(D389:D588)</f>
        <v/>
      </c>
      <c r="I588">
        <f>AVERAGE(E389:E588)</f>
        <v/>
      </c>
      <c r="J588">
        <f>AVERAGE(F389:F588)</f>
        <v/>
      </c>
    </row>
    <row r="589">
      <c r="C589" s="539" t="n">
        <v>40303</v>
      </c>
      <c r="D589" t="n">
        <v>115.0899963378906</v>
      </c>
      <c r="E589" t="n">
        <v>306.4800109863281</v>
      </c>
      <c r="F589" t="n">
        <v>21.22335815429688</v>
      </c>
      <c r="G589" t="n">
        <v>73.22470092773438</v>
      </c>
      <c r="H589">
        <f>AVERAGE(D390:D589)</f>
        <v/>
      </c>
      <c r="I589">
        <f>AVERAGE(E390:E589)</f>
        <v/>
      </c>
      <c r="J589">
        <f>AVERAGE(F390:F589)</f>
        <v/>
      </c>
    </row>
    <row r="590">
      <c r="C590" s="539" t="n">
        <v>40304</v>
      </c>
      <c r="D590" t="n">
        <v>118.4899978637695</v>
      </c>
      <c r="E590" t="n">
        <v>295.6799926757812</v>
      </c>
      <c r="F590" t="n">
        <v>20.78496551513672</v>
      </c>
      <c r="G590" t="n">
        <v>73.24070739746094</v>
      </c>
      <c r="H590">
        <f>AVERAGE(D391:D590)</f>
        <v/>
      </c>
      <c r="I590">
        <f>AVERAGE(E391:E590)</f>
        <v/>
      </c>
      <c r="J590">
        <f>AVERAGE(F391:F590)</f>
        <v/>
      </c>
    </row>
    <row r="591">
      <c r="C591" s="539" t="n">
        <v>40305</v>
      </c>
      <c r="D591" t="n">
        <v>118.2699966430664</v>
      </c>
      <c r="E591" t="n">
        <v>290.4800109863281</v>
      </c>
      <c r="F591" t="n">
        <v>20.7161979675293</v>
      </c>
      <c r="G591" t="n">
        <v>73.24070739746094</v>
      </c>
      <c r="H591">
        <f>AVERAGE(D392:D591)</f>
        <v/>
      </c>
      <c r="I591">
        <f>AVERAGE(E392:E591)</f>
        <v/>
      </c>
      <c r="J591">
        <f>AVERAGE(F392:F591)</f>
        <v/>
      </c>
    </row>
    <row r="592">
      <c r="C592" s="539" t="n">
        <v>40308</v>
      </c>
      <c r="D592" t="n">
        <v>117.5699996948242</v>
      </c>
      <c r="E592" t="n">
        <v>297.8399963378906</v>
      </c>
      <c r="F592" t="n">
        <v>20.92250061035156</v>
      </c>
      <c r="G592" t="n">
        <v>73.24070739746094</v>
      </c>
      <c r="H592">
        <f>AVERAGE(D393:D592)</f>
        <v/>
      </c>
      <c r="I592">
        <f>AVERAGE(E393:E592)</f>
        <v/>
      </c>
      <c r="J592">
        <f>AVERAGE(F393:F592)</f>
        <v/>
      </c>
    </row>
    <row r="593">
      <c r="C593" s="539" t="n">
        <v>40309</v>
      </c>
      <c r="D593" t="n">
        <v>120.6600036621094</v>
      </c>
      <c r="E593" t="n">
        <v>294.0799865722656</v>
      </c>
      <c r="F593" t="n">
        <v>20.81075096130371</v>
      </c>
      <c r="G593" t="n">
        <v>73.24070739746094</v>
      </c>
      <c r="H593">
        <f>AVERAGE(D394:D593)</f>
        <v/>
      </c>
      <c r="I593">
        <f>AVERAGE(E394:E593)</f>
        <v/>
      </c>
      <c r="J593">
        <f>AVERAGE(F394:F593)</f>
        <v/>
      </c>
    </row>
    <row r="594">
      <c r="C594" s="539" t="n">
        <v>40310</v>
      </c>
      <c r="D594" t="n">
        <v>121.4000015258789</v>
      </c>
      <c r="E594" t="n">
        <v>294.1600036621094</v>
      </c>
      <c r="F594" t="n">
        <v>20.92250061035156</v>
      </c>
      <c r="G594" t="n">
        <v>73.24070739746094</v>
      </c>
      <c r="H594">
        <f>AVERAGE(D395:D594)</f>
        <v/>
      </c>
      <c r="I594">
        <f>AVERAGE(E395:E594)</f>
        <v/>
      </c>
      <c r="J594">
        <f>AVERAGE(F395:F594)</f>
        <v/>
      </c>
    </row>
    <row r="595">
      <c r="C595" s="539" t="n">
        <v>40311</v>
      </c>
      <c r="D595" t="n">
        <v>120.5599975585938</v>
      </c>
      <c r="E595" t="n">
        <v>289.0400085449219</v>
      </c>
      <c r="F595" t="n">
        <v>20.75917625427246</v>
      </c>
      <c r="G595" t="n">
        <v>73.22470092773438</v>
      </c>
      <c r="H595">
        <f>AVERAGE(D396:D595)</f>
        <v/>
      </c>
      <c r="I595">
        <f>AVERAGE(E396:E595)</f>
        <v/>
      </c>
      <c r="J595">
        <f>AVERAGE(F396:F595)</f>
        <v/>
      </c>
    </row>
    <row r="596">
      <c r="C596" s="539" t="n">
        <v>40312</v>
      </c>
      <c r="D596" t="n">
        <v>120.370002746582</v>
      </c>
      <c r="E596" t="n">
        <v>278.4800109863281</v>
      </c>
      <c r="F596" t="n">
        <v>20.41533851623535</v>
      </c>
      <c r="G596" t="n">
        <v>73.24070739746094</v>
      </c>
      <c r="H596">
        <f>AVERAGE(D397:D596)</f>
        <v/>
      </c>
      <c r="I596">
        <f>AVERAGE(E397:E596)</f>
        <v/>
      </c>
      <c r="J596">
        <f>AVERAGE(F397:F596)</f>
        <v/>
      </c>
    </row>
    <row r="597">
      <c r="C597" s="539" t="n">
        <v>40315</v>
      </c>
      <c r="D597" t="n">
        <v>119.3600006103516</v>
      </c>
      <c r="E597" t="n">
        <v>271.0400085449219</v>
      </c>
      <c r="F597" t="n">
        <v>20.15746307373047</v>
      </c>
      <c r="G597" t="n">
        <v>73.24070739746094</v>
      </c>
      <c r="H597">
        <f>AVERAGE(D398:D597)</f>
        <v/>
      </c>
      <c r="I597">
        <f>AVERAGE(E398:E597)</f>
        <v/>
      </c>
      <c r="J597">
        <f>AVERAGE(F398:F597)</f>
        <v/>
      </c>
    </row>
    <row r="598">
      <c r="C598" s="539" t="n">
        <v>40316</v>
      </c>
      <c r="D598" t="n">
        <v>119.4899978637695</v>
      </c>
      <c r="E598" t="n">
        <v>267.760009765625</v>
      </c>
      <c r="F598" t="n">
        <v>20.3207836151123</v>
      </c>
      <c r="G598" t="n">
        <v>73.22470092773438</v>
      </c>
      <c r="H598">
        <f>AVERAGE(D399:D598)</f>
        <v/>
      </c>
      <c r="I598">
        <f>AVERAGE(E399:E598)</f>
        <v/>
      </c>
      <c r="J598">
        <f>AVERAGE(F399:F598)</f>
        <v/>
      </c>
    </row>
    <row r="599">
      <c r="C599" s="539" t="n">
        <v>40317</v>
      </c>
      <c r="D599" t="n">
        <v>116.629997253418</v>
      </c>
      <c r="E599" t="n">
        <v>268.0799865722656</v>
      </c>
      <c r="F599" t="n">
        <v>20.43253135681152</v>
      </c>
      <c r="G599" t="n">
        <v>73.24070739746094</v>
      </c>
      <c r="H599">
        <f>AVERAGE(D400:D599)</f>
        <v/>
      </c>
      <c r="I599">
        <f>AVERAGE(E400:E599)</f>
        <v/>
      </c>
      <c r="J599">
        <f>AVERAGE(F400:F599)</f>
        <v/>
      </c>
    </row>
    <row r="600">
      <c r="C600" s="539" t="n">
        <v>40318</v>
      </c>
      <c r="D600" t="n">
        <v>115.8399963378906</v>
      </c>
      <c r="E600" t="n">
        <v>257.6000061035156</v>
      </c>
      <c r="F600" t="n">
        <v>20.23482704162598</v>
      </c>
      <c r="G600" t="n">
        <v>73.24070739746094</v>
      </c>
      <c r="H600">
        <f>AVERAGE(D401:D600)</f>
        <v/>
      </c>
      <c r="I600">
        <f>AVERAGE(E401:E600)</f>
        <v/>
      </c>
      <c r="J600">
        <f>AVERAGE(F401:F600)</f>
        <v/>
      </c>
    </row>
    <row r="601">
      <c r="C601" s="539" t="n">
        <v>40319</v>
      </c>
      <c r="D601" t="n">
        <v>115.2200012207031</v>
      </c>
      <c r="E601" t="n">
        <v>258.1600036621094</v>
      </c>
      <c r="F601" t="n">
        <v>20.49270248413086</v>
      </c>
      <c r="G601" t="n">
        <v>73.24070739746094</v>
      </c>
      <c r="H601">
        <f>AVERAGE(D402:D601)</f>
        <v/>
      </c>
      <c r="I601">
        <f>AVERAGE(E402:E601)</f>
        <v/>
      </c>
      <c r="J601">
        <f>AVERAGE(F402:F601)</f>
        <v/>
      </c>
    </row>
    <row r="602">
      <c r="C602" s="539" t="n">
        <v>40322</v>
      </c>
      <c r="D602" t="n">
        <v>116.8399963378906</v>
      </c>
      <c r="E602" t="n">
        <v>257.3599853515625</v>
      </c>
      <c r="F602" t="n">
        <v>20.42393493652344</v>
      </c>
      <c r="G602" t="n">
        <v>73.24070739746094</v>
      </c>
      <c r="H602">
        <f>AVERAGE(D403:D602)</f>
        <v/>
      </c>
      <c r="I602">
        <f>AVERAGE(E403:E602)</f>
        <v/>
      </c>
      <c r="J602">
        <f>AVERAGE(F403:F602)</f>
        <v/>
      </c>
    </row>
    <row r="603">
      <c r="C603" s="539" t="n">
        <v>40323</v>
      </c>
      <c r="D603" t="n">
        <v>117.3600006103516</v>
      </c>
      <c r="E603" t="n">
        <v>254.8000030517578</v>
      </c>
      <c r="F603" t="n">
        <v>20.33797645568848</v>
      </c>
      <c r="G603" t="n">
        <v>73.24070739746094</v>
      </c>
      <c r="H603">
        <f>AVERAGE(D404:D603)</f>
        <v/>
      </c>
      <c r="I603">
        <f>AVERAGE(E404:E603)</f>
        <v/>
      </c>
      <c r="J603">
        <f>AVERAGE(F404:F603)</f>
        <v/>
      </c>
    </row>
    <row r="604">
      <c r="C604" s="539" t="n">
        <v>40324</v>
      </c>
      <c r="D604" t="n">
        <v>118.4700012207031</v>
      </c>
      <c r="E604" t="n">
        <v>260.7200012207031</v>
      </c>
      <c r="F604" t="n">
        <v>20.39814758300781</v>
      </c>
      <c r="G604" t="n">
        <v>73.25666046142578</v>
      </c>
      <c r="H604">
        <f>AVERAGE(D405:D604)</f>
        <v/>
      </c>
      <c r="I604">
        <f>AVERAGE(E405:E604)</f>
        <v/>
      </c>
      <c r="J604">
        <f>AVERAGE(F405:F604)</f>
        <v/>
      </c>
    </row>
    <row r="605">
      <c r="C605" s="539" t="n">
        <v>40325</v>
      </c>
      <c r="D605" t="n">
        <v>118.6900024414062</v>
      </c>
      <c r="E605" t="n">
        <v>274.4800109863281</v>
      </c>
      <c r="F605" t="n">
        <v>20.62163925170898</v>
      </c>
      <c r="G605" t="n">
        <v>73.22470092773438</v>
      </c>
      <c r="H605">
        <f>AVERAGE(D406:D605)</f>
        <v/>
      </c>
      <c r="I605">
        <f>AVERAGE(E406:E605)</f>
        <v/>
      </c>
      <c r="J605">
        <f>AVERAGE(F406:F605)</f>
        <v/>
      </c>
    </row>
    <row r="606">
      <c r="C606" s="539" t="n">
        <v>40326</v>
      </c>
      <c r="D606" t="n">
        <v>118.879997253418</v>
      </c>
      <c r="E606" t="n">
        <v>272.3200073242188</v>
      </c>
      <c r="F606" t="n">
        <v>20.26920890808105</v>
      </c>
      <c r="G606" t="n">
        <v>73.24070739746094</v>
      </c>
      <c r="H606">
        <f>AVERAGE(D407:D606)</f>
        <v/>
      </c>
      <c r="I606">
        <f>AVERAGE(E407:E606)</f>
        <v/>
      </c>
      <c r="J606">
        <f>AVERAGE(F407:F606)</f>
        <v/>
      </c>
    </row>
    <row r="607">
      <c r="C607" s="539" t="n">
        <v>40330</v>
      </c>
      <c r="D607" t="n">
        <v>119.9100036621094</v>
      </c>
      <c r="E607" t="n">
        <v>265.4400024414062</v>
      </c>
      <c r="F607" t="n">
        <v>20.22622871398926</v>
      </c>
      <c r="G607" t="n">
        <v>73.24070739746094</v>
      </c>
      <c r="H607">
        <f>AVERAGE(D408:D607)</f>
        <v/>
      </c>
      <c r="I607">
        <f>AVERAGE(E408:E607)</f>
        <v/>
      </c>
      <c r="J607">
        <f>AVERAGE(F408:F607)</f>
        <v/>
      </c>
    </row>
    <row r="608">
      <c r="C608" s="539" t="n">
        <v>40331</v>
      </c>
      <c r="D608" t="n">
        <v>119.7799987792969</v>
      </c>
      <c r="E608" t="n">
        <v>270.3200073242188</v>
      </c>
      <c r="F608" t="n">
        <v>20.20903778076172</v>
      </c>
      <c r="G608" t="n">
        <v>73.25666046142578</v>
      </c>
      <c r="H608">
        <f>AVERAGE(D409:D608)</f>
        <v/>
      </c>
      <c r="I608">
        <f>AVERAGE(E409:E608)</f>
        <v/>
      </c>
      <c r="J608">
        <f>AVERAGE(F409:F608)</f>
        <v/>
      </c>
    </row>
    <row r="609">
      <c r="C609" s="539" t="n">
        <v>40332</v>
      </c>
      <c r="D609" t="n">
        <v>117.9599990844727</v>
      </c>
      <c r="E609" t="n">
        <v>274.0799865722656</v>
      </c>
      <c r="F609" t="n">
        <v>20.21763229370117</v>
      </c>
      <c r="G609" t="n">
        <v>73.22470092773438</v>
      </c>
      <c r="H609">
        <f>AVERAGE(D410:D609)</f>
        <v/>
      </c>
      <c r="I609">
        <f>AVERAGE(E410:E609)</f>
        <v/>
      </c>
      <c r="J609">
        <f>AVERAGE(F410:F609)</f>
        <v/>
      </c>
    </row>
    <row r="610">
      <c r="C610" s="539" t="n">
        <v>40333</v>
      </c>
      <c r="D610" t="n">
        <v>119.1900024414062</v>
      </c>
      <c r="E610" t="n">
        <v>261.4400024414062</v>
      </c>
      <c r="F610" t="n">
        <v>19.82221794128418</v>
      </c>
      <c r="G610" t="n">
        <v>73.25666046142578</v>
      </c>
      <c r="H610">
        <f>AVERAGE(D411:D610)</f>
        <v/>
      </c>
      <c r="I610">
        <f>AVERAGE(E411:E610)</f>
        <v/>
      </c>
      <c r="J610">
        <f>AVERAGE(F411:F610)</f>
        <v/>
      </c>
    </row>
    <row r="611">
      <c r="C611" s="539" t="n">
        <v>40336</v>
      </c>
      <c r="D611" t="n">
        <v>121.4899978637695</v>
      </c>
      <c r="E611" t="n">
        <v>260.7200012207031</v>
      </c>
      <c r="F611" t="n">
        <v>19.65889739990234</v>
      </c>
      <c r="G611" t="n">
        <v>73.24070739746094</v>
      </c>
      <c r="H611">
        <f>AVERAGE(D412:D611)</f>
        <v/>
      </c>
      <c r="I611">
        <f>AVERAGE(E412:E611)</f>
        <v/>
      </c>
      <c r="J611">
        <f>AVERAGE(F412:F611)</f>
        <v/>
      </c>
    </row>
    <row r="612">
      <c r="C612" s="539" t="n">
        <v>40337</v>
      </c>
      <c r="D612" t="n">
        <v>121</v>
      </c>
      <c r="E612" t="n">
        <v>265.5199890136719</v>
      </c>
      <c r="F612" t="n">
        <v>19.87379455566406</v>
      </c>
      <c r="G612" t="n">
        <v>73.25666046142578</v>
      </c>
      <c r="H612">
        <f>AVERAGE(D413:D612)</f>
        <v/>
      </c>
      <c r="I612">
        <f>AVERAGE(E413:E612)</f>
        <v/>
      </c>
      <c r="J612">
        <f>AVERAGE(F413:F612)</f>
        <v/>
      </c>
    </row>
    <row r="613">
      <c r="C613" s="539" t="n">
        <v>40338</v>
      </c>
      <c r="D613" t="n">
        <v>120.5599975585938</v>
      </c>
      <c r="E613" t="n">
        <v>271.6000061035156</v>
      </c>
      <c r="F613" t="n">
        <v>19.84800910949707</v>
      </c>
      <c r="G613" t="n">
        <v>73.25666046142578</v>
      </c>
      <c r="H613">
        <f>AVERAGE(D414:D613)</f>
        <v/>
      </c>
      <c r="I613">
        <f>AVERAGE(E414:E613)</f>
        <v/>
      </c>
      <c r="J613">
        <f>AVERAGE(F414:F613)</f>
        <v/>
      </c>
    </row>
    <row r="614">
      <c r="C614" s="539" t="n">
        <v>40339</v>
      </c>
      <c r="D614" t="n">
        <v>118.9700012207031</v>
      </c>
      <c r="E614" t="n">
        <v>278.1600036621094</v>
      </c>
      <c r="F614" t="n">
        <v>20.02852058410645</v>
      </c>
      <c r="G614" t="n">
        <v>73.25666046142578</v>
      </c>
      <c r="H614">
        <f>AVERAGE(D415:D614)</f>
        <v/>
      </c>
      <c r="I614">
        <f>AVERAGE(E415:E614)</f>
        <v/>
      </c>
      <c r="J614">
        <f>AVERAGE(F415:F614)</f>
        <v/>
      </c>
    </row>
    <row r="615">
      <c r="C615" s="539" t="n">
        <v>40340</v>
      </c>
      <c r="D615" t="n">
        <v>120.0100021362305</v>
      </c>
      <c r="E615" t="n">
        <v>273.8399963378906</v>
      </c>
      <c r="F615" t="n">
        <v>20.2434196472168</v>
      </c>
      <c r="G615" t="n">
        <v>73.25666046142578</v>
      </c>
      <c r="H615">
        <f>AVERAGE(D416:D615)</f>
        <v/>
      </c>
      <c r="I615">
        <f>AVERAGE(E416:E615)</f>
        <v/>
      </c>
      <c r="J615">
        <f>AVERAGE(F416:F615)</f>
        <v/>
      </c>
    </row>
    <row r="616">
      <c r="C616" s="539" t="n">
        <v>40343</v>
      </c>
      <c r="D616" t="n">
        <v>119.5999984741211</v>
      </c>
      <c r="E616" t="n">
        <v>274.6400146484375</v>
      </c>
      <c r="F616" t="n">
        <v>20.4497241973877</v>
      </c>
      <c r="G616" t="n">
        <v>73.22470092773438</v>
      </c>
      <c r="H616">
        <f>AVERAGE(D417:D616)</f>
        <v/>
      </c>
      <c r="I616">
        <f>AVERAGE(E417:E616)</f>
        <v/>
      </c>
      <c r="J616">
        <f>AVERAGE(F417:F616)</f>
        <v/>
      </c>
    </row>
    <row r="617">
      <c r="C617" s="539" t="n">
        <v>40344</v>
      </c>
      <c r="D617" t="n">
        <v>120.9899978637695</v>
      </c>
      <c r="E617" t="n">
        <v>281.8399963378906</v>
      </c>
      <c r="F617" t="n">
        <v>20.68181228637695</v>
      </c>
      <c r="G617" t="n">
        <v>73.22470092773438</v>
      </c>
      <c r="H617">
        <f>AVERAGE(D418:D617)</f>
        <v/>
      </c>
      <c r="I617">
        <f>AVERAGE(E418:E617)</f>
        <v/>
      </c>
      <c r="J617">
        <f>AVERAGE(F418:F617)</f>
        <v/>
      </c>
    </row>
    <row r="618">
      <c r="C618" s="539" t="n">
        <v>40345</v>
      </c>
      <c r="D618" t="n">
        <v>120.3300018310547</v>
      </c>
      <c r="E618" t="n">
        <v>283.9200134277344</v>
      </c>
      <c r="F618" t="n">
        <v>20.70760154724121</v>
      </c>
      <c r="G618" t="n">
        <v>73.22470092773438</v>
      </c>
      <c r="H618">
        <f>AVERAGE(D419:D618)</f>
        <v/>
      </c>
      <c r="I618">
        <f>AVERAGE(E419:E618)</f>
        <v/>
      </c>
      <c r="J618">
        <f>AVERAGE(F419:F618)</f>
        <v/>
      </c>
    </row>
    <row r="619">
      <c r="C619" s="539" t="n">
        <v>40346</v>
      </c>
      <c r="D619" t="n">
        <v>121.9000015258789</v>
      </c>
      <c r="E619" t="n">
        <v>281.1199951171875</v>
      </c>
      <c r="F619" t="n">
        <v>20.63023948669434</v>
      </c>
      <c r="G619" t="n">
        <v>73.22470092773438</v>
      </c>
      <c r="H619">
        <f>AVERAGE(D420:D619)</f>
        <v/>
      </c>
      <c r="I619">
        <f>AVERAGE(E420:E619)</f>
        <v/>
      </c>
      <c r="J619">
        <f>AVERAGE(F420:F619)</f>
        <v/>
      </c>
    </row>
    <row r="620">
      <c r="C620" s="539" t="n">
        <v>40347</v>
      </c>
      <c r="D620" t="n">
        <v>122.8300018310547</v>
      </c>
      <c r="E620" t="n">
        <v>283.2799987792969</v>
      </c>
      <c r="F620" t="n">
        <v>20.7161979675293</v>
      </c>
      <c r="G620" t="n">
        <v>73.24070739746094</v>
      </c>
      <c r="H620">
        <f>AVERAGE(D421:D620)</f>
        <v/>
      </c>
      <c r="I620">
        <f>AVERAGE(E421:E620)</f>
        <v/>
      </c>
      <c r="J620">
        <f>AVERAGE(F421:F620)</f>
        <v/>
      </c>
    </row>
    <row r="621">
      <c r="C621" s="539" t="n">
        <v>40350</v>
      </c>
      <c r="D621" t="n">
        <v>120.3899993896484</v>
      </c>
      <c r="E621" t="n">
        <v>282.6400146484375</v>
      </c>
      <c r="F621" t="n">
        <v>20.77636909484863</v>
      </c>
      <c r="G621" t="n">
        <v>73.22470092773438</v>
      </c>
      <c r="H621">
        <f>AVERAGE(D422:D621)</f>
        <v/>
      </c>
      <c r="I621">
        <f>AVERAGE(E422:E621)</f>
        <v/>
      </c>
      <c r="J621">
        <f>AVERAGE(F422:F621)</f>
        <v/>
      </c>
    </row>
    <row r="622">
      <c r="C622" s="539" t="n">
        <v>40351</v>
      </c>
      <c r="D622" t="n">
        <v>121.4499969482422</v>
      </c>
      <c r="E622" t="n">
        <v>280</v>
      </c>
      <c r="F622" t="n">
        <v>20.75917625427246</v>
      </c>
      <c r="G622" t="n">
        <v>73.24070739746094</v>
      </c>
      <c r="H622">
        <f>AVERAGE(D423:D622)</f>
        <v/>
      </c>
      <c r="I622">
        <f>AVERAGE(E423:E622)</f>
        <v/>
      </c>
      <c r="J622">
        <f>AVERAGE(F423:F622)</f>
        <v/>
      </c>
    </row>
    <row r="623">
      <c r="C623" s="539" t="n">
        <v>40352</v>
      </c>
      <c r="D623" t="n">
        <v>120.9499969482422</v>
      </c>
      <c r="E623" t="n">
        <v>273.9200134277344</v>
      </c>
      <c r="F623" t="n">
        <v>20.69900321960449</v>
      </c>
      <c r="G623" t="n">
        <v>73.24070739746094</v>
      </c>
      <c r="H623">
        <f>AVERAGE(D424:D623)</f>
        <v/>
      </c>
      <c r="I623">
        <f>AVERAGE(E424:E623)</f>
        <v/>
      </c>
      <c r="J623">
        <f>AVERAGE(F424:F623)</f>
        <v/>
      </c>
    </row>
    <row r="624">
      <c r="C624" s="539" t="n">
        <v>40353</v>
      </c>
      <c r="D624" t="n">
        <v>121.3000030517578</v>
      </c>
      <c r="E624" t="n">
        <v>275.1199951171875</v>
      </c>
      <c r="F624" t="n">
        <v>20.88811683654785</v>
      </c>
      <c r="G624" t="n">
        <v>73.24070739746094</v>
      </c>
      <c r="H624">
        <f>AVERAGE(D425:D624)</f>
        <v/>
      </c>
      <c r="I624">
        <f>AVERAGE(E425:E624)</f>
        <v/>
      </c>
      <c r="J624">
        <f>AVERAGE(F425:F624)</f>
        <v/>
      </c>
    </row>
    <row r="625">
      <c r="C625" s="539" t="n">
        <v>40354</v>
      </c>
      <c r="D625" t="n">
        <v>122.7600021362305</v>
      </c>
      <c r="E625" t="n">
        <v>285.2799987792969</v>
      </c>
      <c r="F625" t="n">
        <v>20.8193473815918</v>
      </c>
      <c r="G625" t="n">
        <v>73.24070739746094</v>
      </c>
      <c r="H625">
        <f>AVERAGE(D426:D625)</f>
        <v/>
      </c>
      <c r="I625">
        <f>AVERAGE(E426:E625)</f>
        <v/>
      </c>
      <c r="J625">
        <f>AVERAGE(F426:F625)</f>
        <v/>
      </c>
    </row>
    <row r="626">
      <c r="C626" s="539" t="n">
        <v>40357</v>
      </c>
      <c r="D626" t="n">
        <v>121.0899963378906</v>
      </c>
      <c r="E626" t="n">
        <v>281.6799926757812</v>
      </c>
      <c r="F626" t="n">
        <v>20.70760154724121</v>
      </c>
      <c r="G626" t="n">
        <v>73.24070739746094</v>
      </c>
      <c r="H626">
        <f>AVERAGE(D427:D626)</f>
        <v/>
      </c>
      <c r="I626">
        <f>AVERAGE(E427:E626)</f>
        <v/>
      </c>
      <c r="J626">
        <f>AVERAGE(F427:F626)</f>
        <v/>
      </c>
    </row>
    <row r="627">
      <c r="C627" s="539" t="n">
        <v>40358</v>
      </c>
      <c r="D627" t="n">
        <v>121.2699966430664</v>
      </c>
      <c r="E627" t="n">
        <v>273.3599853515625</v>
      </c>
      <c r="F627" t="n">
        <v>20.28640174865723</v>
      </c>
      <c r="G627" t="n">
        <v>73.24070739746094</v>
      </c>
      <c r="H627">
        <f>AVERAGE(D428:D627)</f>
        <v/>
      </c>
      <c r="I627">
        <f>AVERAGE(E428:E627)</f>
        <v/>
      </c>
      <c r="J627">
        <f>AVERAGE(F428:F627)</f>
        <v/>
      </c>
    </row>
    <row r="628">
      <c r="C628" s="539" t="n">
        <v>40359</v>
      </c>
      <c r="D628" t="n">
        <v>121.6800003051758</v>
      </c>
      <c r="E628" t="n">
        <v>271.6799926757812</v>
      </c>
      <c r="F628" t="n">
        <v>20.62163925170898</v>
      </c>
      <c r="G628" t="n">
        <v>73.25666046142578</v>
      </c>
      <c r="H628">
        <f>AVERAGE(D429:D628)</f>
        <v/>
      </c>
      <c r="I628">
        <f>AVERAGE(E429:E628)</f>
        <v/>
      </c>
      <c r="J628">
        <f>AVERAGE(F429:F628)</f>
        <v/>
      </c>
    </row>
    <row r="629">
      <c r="C629" s="539" t="n">
        <v>40360</v>
      </c>
      <c r="D629" t="n">
        <v>117.0400009155273</v>
      </c>
      <c r="E629" t="n">
        <v>262.9599914550781</v>
      </c>
      <c r="F629" t="n">
        <v>20.7935619354248</v>
      </c>
      <c r="G629" t="n">
        <v>73.24070739746094</v>
      </c>
      <c r="H629">
        <f>AVERAGE(D430:D629)</f>
        <v/>
      </c>
      <c r="I629">
        <f>AVERAGE(E430:E629)</f>
        <v/>
      </c>
      <c r="J629">
        <f>AVERAGE(F430:F629)</f>
        <v/>
      </c>
    </row>
    <row r="630">
      <c r="C630" s="539" t="n">
        <v>40361</v>
      </c>
      <c r="D630" t="n">
        <v>118.4899978637695</v>
      </c>
      <c r="E630" t="n">
        <v>260.7999877929688</v>
      </c>
      <c r="F630" t="n">
        <v>20.72479438781738</v>
      </c>
      <c r="G630" t="n">
        <v>73.24070739746094</v>
      </c>
      <c r="H630">
        <f>AVERAGE(D431:D630)</f>
        <v/>
      </c>
      <c r="I630">
        <f>AVERAGE(E431:E630)</f>
        <v/>
      </c>
      <c r="J630">
        <f>AVERAGE(F431:F630)</f>
        <v/>
      </c>
    </row>
    <row r="631">
      <c r="C631" s="539" t="n">
        <v>40365</v>
      </c>
      <c r="D631" t="n">
        <v>116.5100021362305</v>
      </c>
      <c r="E631" t="n">
        <v>260.8800048828125</v>
      </c>
      <c r="F631" t="n">
        <v>20.53568267822266</v>
      </c>
      <c r="G631" t="n">
        <v>73.22470092773438</v>
      </c>
      <c r="H631">
        <f>AVERAGE(D432:D631)</f>
        <v/>
      </c>
      <c r="I631">
        <f>AVERAGE(E432:E631)</f>
        <v/>
      </c>
      <c r="J631">
        <f>AVERAGE(F432:F631)</f>
        <v/>
      </c>
    </row>
    <row r="632">
      <c r="C632" s="539" t="n">
        <v>40366</v>
      </c>
      <c r="D632" t="n">
        <v>117.7300033569336</v>
      </c>
      <c r="E632" t="n">
        <v>269.2000122070312</v>
      </c>
      <c r="F632" t="n">
        <v>20.99986267089844</v>
      </c>
      <c r="G632" t="n">
        <v>73.22470092773438</v>
      </c>
      <c r="H632">
        <f>AVERAGE(D433:D632)</f>
        <v/>
      </c>
      <c r="I632">
        <f>AVERAGE(E433:E632)</f>
        <v/>
      </c>
      <c r="J632">
        <f>AVERAGE(F433:F632)</f>
        <v/>
      </c>
    </row>
    <row r="633">
      <c r="C633" s="539" t="n">
        <v>40367</v>
      </c>
      <c r="D633" t="n">
        <v>117.2099990844727</v>
      </c>
      <c r="E633" t="n">
        <v>273.8399963378906</v>
      </c>
      <c r="F633" t="n">
        <v>21.16318702697754</v>
      </c>
      <c r="G633" t="n">
        <v>73.24070739746094</v>
      </c>
      <c r="H633">
        <f>AVERAGE(D434:D633)</f>
        <v/>
      </c>
      <c r="I633">
        <f>AVERAGE(E434:E633)</f>
        <v/>
      </c>
      <c r="J633">
        <f>AVERAGE(F434:F633)</f>
        <v/>
      </c>
    </row>
    <row r="634">
      <c r="C634" s="539" t="n">
        <v>40368</v>
      </c>
      <c r="D634" t="n">
        <v>118.3600006103516</v>
      </c>
      <c r="E634" t="n">
        <v>274.7200012207031</v>
      </c>
      <c r="F634" t="n">
        <v>21.09441947937012</v>
      </c>
      <c r="G634" t="n">
        <v>73.22470092773438</v>
      </c>
      <c r="H634">
        <f>AVERAGE(D435:D634)</f>
        <v/>
      </c>
      <c r="I634">
        <f>AVERAGE(E435:E634)</f>
        <v/>
      </c>
      <c r="J634">
        <f>AVERAGE(F435:F634)</f>
        <v/>
      </c>
    </row>
    <row r="635">
      <c r="C635" s="539" t="n">
        <v>40371</v>
      </c>
      <c r="D635" t="n">
        <v>117.3399963378906</v>
      </c>
      <c r="E635" t="n">
        <v>270.239990234375</v>
      </c>
      <c r="F635" t="n">
        <v>21.05143737792969</v>
      </c>
      <c r="G635" t="n">
        <v>73.24070739746094</v>
      </c>
      <c r="H635">
        <f>AVERAGE(D436:D635)</f>
        <v/>
      </c>
      <c r="I635">
        <f>AVERAGE(E436:E635)</f>
        <v/>
      </c>
      <c r="J635">
        <f>AVERAGE(F436:F635)</f>
        <v/>
      </c>
    </row>
    <row r="636">
      <c r="C636" s="539" t="n">
        <v>40372</v>
      </c>
      <c r="D636" t="n">
        <v>118.3600006103516</v>
      </c>
      <c r="E636" t="n">
        <v>277.9200134277344</v>
      </c>
      <c r="F636" t="n">
        <v>21.23195457458496</v>
      </c>
      <c r="G636" t="n">
        <v>73.24070739746094</v>
      </c>
      <c r="H636">
        <f>AVERAGE(D437:D636)</f>
        <v/>
      </c>
      <c r="I636">
        <f>AVERAGE(E437:E636)</f>
        <v/>
      </c>
      <c r="J636">
        <f>AVERAGE(F437:F636)</f>
        <v/>
      </c>
    </row>
    <row r="637">
      <c r="C637" s="539" t="n">
        <v>40373</v>
      </c>
      <c r="D637" t="n">
        <v>118.3000030517578</v>
      </c>
      <c r="E637" t="n">
        <v>277.2799987792969</v>
      </c>
      <c r="F637" t="n">
        <v>21.48123359680176</v>
      </c>
      <c r="G637" t="n">
        <v>73.24070739746094</v>
      </c>
      <c r="H637">
        <f>AVERAGE(D438:D637)</f>
        <v/>
      </c>
      <c r="I637">
        <f>AVERAGE(E438:E637)</f>
        <v/>
      </c>
      <c r="J637">
        <f>AVERAGE(F438:F637)</f>
        <v/>
      </c>
    </row>
    <row r="638">
      <c r="C638" s="539" t="n">
        <v>40374</v>
      </c>
      <c r="D638" t="n">
        <v>118.2300033569336</v>
      </c>
      <c r="E638" t="n">
        <v>276.6400146484375</v>
      </c>
      <c r="F638" t="n">
        <v>21.80788230895996</v>
      </c>
      <c r="G638" t="n">
        <v>73.24070739746094</v>
      </c>
      <c r="H638">
        <f>AVERAGE(D439:D638)</f>
        <v/>
      </c>
      <c r="I638">
        <f>AVERAGE(E439:E638)</f>
        <v/>
      </c>
      <c r="J638">
        <f>AVERAGE(F439:F638)</f>
        <v/>
      </c>
    </row>
    <row r="639">
      <c r="C639" s="539" t="n">
        <v>40375</v>
      </c>
      <c r="D639" t="n">
        <v>116.6699981689453</v>
      </c>
      <c r="E639" t="n">
        <v>273.2799987792969</v>
      </c>
      <c r="F639" t="n">
        <v>21.72192001342773</v>
      </c>
      <c r="G639" t="n">
        <v>73.24070739746094</v>
      </c>
      <c r="H639">
        <f>AVERAGE(D440:D639)</f>
        <v/>
      </c>
      <c r="I639">
        <f>AVERAGE(E440:E639)</f>
        <v/>
      </c>
      <c r="J639">
        <f>AVERAGE(F440:F639)</f>
        <v/>
      </c>
    </row>
    <row r="640">
      <c r="C640" s="539" t="n">
        <v>40378</v>
      </c>
      <c r="D640" t="n">
        <v>115.7300033569336</v>
      </c>
      <c r="E640" t="n">
        <v>275.6799926757812</v>
      </c>
      <c r="F640" t="n">
        <v>21.45544815063477</v>
      </c>
      <c r="G640" t="n">
        <v>73.22470092773438</v>
      </c>
      <c r="H640">
        <f>AVERAGE(D441:D640)</f>
        <v/>
      </c>
      <c r="I640">
        <f>AVERAGE(E441:E640)</f>
        <v/>
      </c>
      <c r="J640">
        <f>AVERAGE(F441:F640)</f>
        <v/>
      </c>
    </row>
    <row r="641">
      <c r="C641" s="539" t="n">
        <v>40379</v>
      </c>
      <c r="D641" t="n">
        <v>116.6500015258789</v>
      </c>
      <c r="E641" t="n">
        <v>278.5599975585938</v>
      </c>
      <c r="F641" t="n">
        <v>21.30931854248047</v>
      </c>
      <c r="G641" t="n">
        <v>73.22470092773438</v>
      </c>
      <c r="H641">
        <f>AVERAGE(D442:D641)</f>
        <v/>
      </c>
      <c r="I641">
        <f>AVERAGE(E442:E641)</f>
        <v/>
      </c>
      <c r="J641">
        <f>AVERAGE(F442:F641)</f>
        <v/>
      </c>
    </row>
    <row r="642">
      <c r="C642" s="539" t="n">
        <v>40380</v>
      </c>
      <c r="D642" t="n">
        <v>115.8499984741211</v>
      </c>
      <c r="E642" t="n">
        <v>273.6000061035156</v>
      </c>
      <c r="F642" t="n">
        <v>21.37808418273926</v>
      </c>
      <c r="G642" t="n">
        <v>73.22470092773438</v>
      </c>
      <c r="H642">
        <f>AVERAGE(D443:D642)</f>
        <v/>
      </c>
      <c r="I642">
        <f>AVERAGE(E443:E642)</f>
        <v/>
      </c>
      <c r="J642">
        <f>AVERAGE(F443:F642)</f>
        <v/>
      </c>
    </row>
    <row r="643">
      <c r="C643" s="539" t="n">
        <v>40381</v>
      </c>
      <c r="D643" t="n">
        <v>116.8600006103516</v>
      </c>
      <c r="E643" t="n">
        <v>283.3599853515625</v>
      </c>
      <c r="F643" t="n">
        <v>21.49842643737793</v>
      </c>
      <c r="G643" t="n">
        <v>73.22470092773438</v>
      </c>
      <c r="H643">
        <f>AVERAGE(D444:D643)</f>
        <v/>
      </c>
      <c r="I643">
        <f>AVERAGE(E444:E643)</f>
        <v/>
      </c>
      <c r="J643">
        <f>AVERAGE(F444:F643)</f>
        <v/>
      </c>
    </row>
    <row r="644">
      <c r="C644" s="539" t="n">
        <v>40382</v>
      </c>
      <c r="D644" t="n">
        <v>116.0899963378906</v>
      </c>
      <c r="E644" t="n">
        <v>283.1199951171875</v>
      </c>
      <c r="F644" t="n">
        <v>21.61877059936523</v>
      </c>
      <c r="G644" t="n">
        <v>73.24070739746094</v>
      </c>
      <c r="H644">
        <f>AVERAGE(D445:D644)</f>
        <v/>
      </c>
      <c r="I644">
        <f>AVERAGE(E445:E644)</f>
        <v/>
      </c>
      <c r="J644">
        <f>AVERAGE(F445:F644)</f>
        <v/>
      </c>
    </row>
    <row r="645">
      <c r="C645" s="539" t="n">
        <v>40385</v>
      </c>
      <c r="D645" t="n">
        <v>115.5199966430664</v>
      </c>
      <c r="E645" t="n">
        <v>282.7999877929688</v>
      </c>
      <c r="F645" t="n">
        <v>21.4726390838623</v>
      </c>
      <c r="G645" t="n">
        <v>73.20878601074219</v>
      </c>
      <c r="H645">
        <f>AVERAGE(D446:D645)</f>
        <v/>
      </c>
      <c r="I645">
        <f>AVERAGE(E446:E645)</f>
        <v/>
      </c>
      <c r="J645">
        <f>AVERAGE(F446:F645)</f>
        <v/>
      </c>
    </row>
    <row r="646">
      <c r="C646" s="539" t="n">
        <v>40386</v>
      </c>
      <c r="D646" t="n">
        <v>113.5100021362305</v>
      </c>
      <c r="E646" t="n">
        <v>277.3599853515625</v>
      </c>
      <c r="F646" t="n">
        <v>21.44685363769531</v>
      </c>
      <c r="G646" t="n">
        <v>73.20878601074219</v>
      </c>
      <c r="H646">
        <f>AVERAGE(D447:D646)</f>
        <v/>
      </c>
      <c r="I646">
        <f>AVERAGE(E447:E646)</f>
        <v/>
      </c>
      <c r="J646">
        <f>AVERAGE(F447:F646)</f>
        <v/>
      </c>
    </row>
    <row r="647">
      <c r="C647" s="539" t="n">
        <v>40387</v>
      </c>
      <c r="D647" t="n">
        <v>113.7799987792969</v>
      </c>
      <c r="E647" t="n">
        <v>274.8800048828125</v>
      </c>
      <c r="F647" t="n">
        <v>21.75630760192871</v>
      </c>
      <c r="G647" t="n">
        <v>73.22470092773438</v>
      </c>
      <c r="H647">
        <f>AVERAGE(D448:D647)</f>
        <v/>
      </c>
      <c r="I647">
        <f>AVERAGE(E448:E647)</f>
        <v/>
      </c>
      <c r="J647">
        <f>AVERAGE(F448:F647)</f>
        <v/>
      </c>
    </row>
    <row r="648">
      <c r="C648" s="539" t="n">
        <v>40388</v>
      </c>
      <c r="D648" t="n">
        <v>114.2900009155273</v>
      </c>
      <c r="E648" t="n">
        <v>280.4800109863281</v>
      </c>
      <c r="F648" t="n">
        <v>21.9454174041748</v>
      </c>
      <c r="G648" t="n">
        <v>73.20878601074219</v>
      </c>
      <c r="H648">
        <f>AVERAGE(D449:D648)</f>
        <v/>
      </c>
      <c r="I648">
        <f>AVERAGE(E449:E648)</f>
        <v/>
      </c>
      <c r="J648">
        <f>AVERAGE(F449:F648)</f>
        <v/>
      </c>
    </row>
    <row r="649">
      <c r="C649" s="539" t="n">
        <v>40389</v>
      </c>
      <c r="D649" t="n">
        <v>115.4899978637695</v>
      </c>
      <c r="E649" t="n">
        <v>282.7200012207031</v>
      </c>
      <c r="F649" t="n">
        <v>22.33223533630371</v>
      </c>
      <c r="G649" t="n">
        <v>73.22470092773438</v>
      </c>
      <c r="H649">
        <f>AVERAGE(D450:D649)</f>
        <v/>
      </c>
      <c r="I649">
        <f>AVERAGE(E450:E649)</f>
        <v/>
      </c>
      <c r="J649">
        <f>AVERAGE(F450:F649)</f>
        <v/>
      </c>
    </row>
    <row r="650">
      <c r="C650" s="539" t="n">
        <v>40392</v>
      </c>
      <c r="D650" t="n">
        <v>115.5400009155273</v>
      </c>
      <c r="E650" t="n">
        <v>291.8399963378906</v>
      </c>
      <c r="F650" t="n">
        <v>22.34082794189453</v>
      </c>
      <c r="G650" t="n">
        <v>73.20878601074219</v>
      </c>
      <c r="H650">
        <f>AVERAGE(D451:D650)</f>
        <v/>
      </c>
      <c r="I650">
        <f>AVERAGE(E451:E650)</f>
        <v/>
      </c>
      <c r="J650">
        <f>AVERAGE(F451:F650)</f>
        <v/>
      </c>
    </row>
    <row r="651">
      <c r="C651" s="539" t="n">
        <v>40393</v>
      </c>
      <c r="D651" t="n">
        <v>115.9899978637695</v>
      </c>
      <c r="E651" t="n">
        <v>295.2799987792969</v>
      </c>
      <c r="F651" t="n">
        <v>22.15171813964844</v>
      </c>
      <c r="G651" t="n">
        <v>73.20878601074219</v>
      </c>
      <c r="H651">
        <f>AVERAGE(D452:D651)</f>
        <v/>
      </c>
      <c r="I651">
        <f>AVERAGE(E452:E651)</f>
        <v/>
      </c>
      <c r="J651">
        <f>AVERAGE(F452:F651)</f>
        <v/>
      </c>
    </row>
    <row r="652">
      <c r="C652" s="539" t="n">
        <v>40394</v>
      </c>
      <c r="D652" t="n">
        <v>116.7200012207031</v>
      </c>
      <c r="E652" t="n">
        <v>295.2000122070312</v>
      </c>
      <c r="F652" t="n">
        <v>22.65028190612793</v>
      </c>
      <c r="G652" t="n">
        <v>73.20878601074219</v>
      </c>
      <c r="H652">
        <f>AVERAGE(D453:D652)</f>
        <v/>
      </c>
      <c r="I652">
        <f>AVERAGE(E453:E652)</f>
        <v/>
      </c>
      <c r="J652">
        <f>AVERAGE(F453:F652)</f>
        <v/>
      </c>
    </row>
    <row r="653">
      <c r="C653" s="539" t="n">
        <v>40395</v>
      </c>
      <c r="D653" t="n">
        <v>116.9800033569336</v>
      </c>
      <c r="E653" t="n">
        <v>293.6799926757812</v>
      </c>
      <c r="F653" t="n">
        <v>22.46976661682129</v>
      </c>
      <c r="G653" t="n">
        <v>73.20878601074219</v>
      </c>
      <c r="H653">
        <f>AVERAGE(D454:D653)</f>
        <v/>
      </c>
      <c r="I653">
        <f>AVERAGE(E454:E653)</f>
        <v/>
      </c>
      <c r="J653">
        <f>AVERAGE(F454:F653)</f>
        <v/>
      </c>
    </row>
    <row r="654">
      <c r="C654" s="539" t="n">
        <v>40396</v>
      </c>
      <c r="D654" t="n">
        <v>117.8399963378906</v>
      </c>
      <c r="E654" t="n">
        <v>289.6000061035156</v>
      </c>
      <c r="F654" t="n">
        <v>22.07435417175293</v>
      </c>
      <c r="G654" t="n">
        <v>73.20878601074219</v>
      </c>
      <c r="H654">
        <f>AVERAGE(D455:D654)</f>
        <v/>
      </c>
      <c r="I654">
        <f>AVERAGE(E455:E654)</f>
        <v/>
      </c>
      <c r="J654">
        <f>AVERAGE(F455:F654)</f>
        <v/>
      </c>
    </row>
    <row r="655">
      <c r="C655" s="539" t="n">
        <v>40399</v>
      </c>
      <c r="D655" t="n">
        <v>117.4000015258789</v>
      </c>
      <c r="E655" t="n">
        <v>292.239990234375</v>
      </c>
      <c r="F655" t="n">
        <v>22.22048568725586</v>
      </c>
      <c r="G655" t="n">
        <v>73.20878601074219</v>
      </c>
      <c r="H655">
        <f>AVERAGE(D456:D655)</f>
        <v/>
      </c>
      <c r="I655">
        <f>AVERAGE(E456:E655)</f>
        <v/>
      </c>
      <c r="J655">
        <f>AVERAGE(F456:F655)</f>
        <v/>
      </c>
    </row>
    <row r="656">
      <c r="C656" s="539" t="n">
        <v>40400</v>
      </c>
      <c r="D656" t="n">
        <v>117.7300033569336</v>
      </c>
      <c r="E656" t="n">
        <v>286.9599914550781</v>
      </c>
      <c r="F656" t="n">
        <v>22.10873794555664</v>
      </c>
      <c r="G656" t="n">
        <v>73.22470092773438</v>
      </c>
      <c r="H656">
        <f>AVERAGE(D457:D656)</f>
        <v/>
      </c>
      <c r="I656">
        <f>AVERAGE(E457:E656)</f>
        <v/>
      </c>
      <c r="J656">
        <f>AVERAGE(F457:F656)</f>
        <v/>
      </c>
    </row>
    <row r="657">
      <c r="C657" s="539" t="n">
        <v>40401</v>
      </c>
      <c r="D657" t="n">
        <v>117.3399963378906</v>
      </c>
      <c r="E657" t="n">
        <v>277.9200134277344</v>
      </c>
      <c r="F657" t="n">
        <v>21.91103172302246</v>
      </c>
      <c r="G657" t="n">
        <v>73.24070739746094</v>
      </c>
      <c r="H657">
        <f>AVERAGE(D458:D657)</f>
        <v/>
      </c>
      <c r="I657">
        <f>AVERAGE(E458:E657)</f>
        <v/>
      </c>
      <c r="J657">
        <f>AVERAGE(F458:F657)</f>
        <v/>
      </c>
    </row>
    <row r="658">
      <c r="C658" s="539" t="n">
        <v>40402</v>
      </c>
      <c r="D658" t="n">
        <v>118.7699966430664</v>
      </c>
      <c r="E658" t="n">
        <v>271.3599853515625</v>
      </c>
      <c r="F658" t="n">
        <v>22.30644607543945</v>
      </c>
      <c r="G658" t="n">
        <v>73.24070739746094</v>
      </c>
      <c r="H658">
        <f>AVERAGE(D459:D658)</f>
        <v/>
      </c>
      <c r="I658">
        <f>AVERAGE(E459:E658)</f>
        <v/>
      </c>
      <c r="J658">
        <f>AVERAGE(F459:F658)</f>
        <v/>
      </c>
    </row>
    <row r="659">
      <c r="C659" s="539" t="n">
        <v>40403</v>
      </c>
      <c r="D659" t="n">
        <v>118.7399978637695</v>
      </c>
      <c r="E659" t="n">
        <v>270.3200073242188</v>
      </c>
      <c r="F659" t="n">
        <v>22.32363700866699</v>
      </c>
      <c r="G659" t="n">
        <v>73.24070739746094</v>
      </c>
      <c r="H659">
        <f>AVERAGE(D460:D659)</f>
        <v/>
      </c>
      <c r="I659">
        <f>AVERAGE(E460:E659)</f>
        <v/>
      </c>
      <c r="J659">
        <f>AVERAGE(F460:F659)</f>
        <v/>
      </c>
    </row>
    <row r="660">
      <c r="C660" s="539" t="n">
        <v>40406</v>
      </c>
      <c r="D660" t="n">
        <v>119.7300033569336</v>
      </c>
      <c r="E660" t="n">
        <v>268.8800048828125</v>
      </c>
      <c r="F660" t="n">
        <v>22.29784965515137</v>
      </c>
      <c r="G660" t="n">
        <v>73.22470092773438</v>
      </c>
      <c r="H660">
        <f>AVERAGE(D461:D660)</f>
        <v/>
      </c>
      <c r="I660">
        <f>AVERAGE(E461:E660)</f>
        <v/>
      </c>
      <c r="J660">
        <f>AVERAGE(F461:F660)</f>
        <v/>
      </c>
    </row>
    <row r="661">
      <c r="C661" s="539" t="n">
        <v>40407</v>
      </c>
      <c r="D661" t="n">
        <v>119.75</v>
      </c>
      <c r="E661" t="n">
        <v>270.9599914550781</v>
      </c>
      <c r="F661" t="n">
        <v>22.41819190979004</v>
      </c>
      <c r="G661" t="n">
        <v>73.24070739746094</v>
      </c>
      <c r="H661">
        <f>AVERAGE(D462:D661)</f>
        <v/>
      </c>
      <c r="I661">
        <f>AVERAGE(E462:E661)</f>
        <v/>
      </c>
      <c r="J661">
        <f>AVERAGE(F462:F661)</f>
        <v/>
      </c>
    </row>
    <row r="662">
      <c r="C662" s="539" t="n">
        <v>40408</v>
      </c>
      <c r="D662" t="n">
        <v>120.2200012207031</v>
      </c>
      <c r="E662" t="n">
        <v>269.4400024414062</v>
      </c>
      <c r="F662" t="n">
        <v>22.41819190979004</v>
      </c>
      <c r="G662" t="n">
        <v>73.22470092773438</v>
      </c>
      <c r="H662">
        <f>AVERAGE(D463:D662)</f>
        <v/>
      </c>
      <c r="I662">
        <f>AVERAGE(E463:E662)</f>
        <v/>
      </c>
      <c r="J662">
        <f>AVERAGE(F463:F662)</f>
        <v/>
      </c>
    </row>
    <row r="663">
      <c r="C663" s="539" t="n">
        <v>40409</v>
      </c>
      <c r="D663" t="n">
        <v>120.3899993896484</v>
      </c>
      <c r="E663" t="n">
        <v>266</v>
      </c>
      <c r="F663" t="n">
        <v>22.49555587768555</v>
      </c>
      <c r="G663" t="n">
        <v>73.22470092773438</v>
      </c>
      <c r="H663">
        <f>AVERAGE(D464:D663)</f>
        <v/>
      </c>
      <c r="I663">
        <f>AVERAGE(E464:E663)</f>
        <v/>
      </c>
      <c r="J663">
        <f>AVERAGE(F464:F663)</f>
        <v/>
      </c>
    </row>
    <row r="664">
      <c r="C664" s="539" t="n">
        <v>40410</v>
      </c>
      <c r="D664" t="n">
        <v>119.9700012207031</v>
      </c>
      <c r="E664" t="n">
        <v>263.6000061035156</v>
      </c>
      <c r="F664" t="n">
        <v>22.53853416442871</v>
      </c>
      <c r="G664" t="n">
        <v>73.24070739746094</v>
      </c>
      <c r="H664">
        <f>AVERAGE(D465:D664)</f>
        <v/>
      </c>
      <c r="I664">
        <f>AVERAGE(E465:E664)</f>
        <v/>
      </c>
      <c r="J664">
        <f>AVERAGE(F465:F664)</f>
        <v/>
      </c>
    </row>
    <row r="665">
      <c r="C665" s="539" t="n">
        <v>40413</v>
      </c>
      <c r="D665" t="n">
        <v>119.7799987792969</v>
      </c>
      <c r="E665" t="n">
        <v>259.4400024414062</v>
      </c>
      <c r="F665" t="n">
        <v>22.67607116699219</v>
      </c>
      <c r="G665" t="n">
        <v>73.22470092773438</v>
      </c>
      <c r="H665">
        <f>AVERAGE(D466:D665)</f>
        <v/>
      </c>
      <c r="I665">
        <f>AVERAGE(E466:E665)</f>
        <v/>
      </c>
      <c r="J665">
        <f>AVERAGE(F466:F665)</f>
        <v/>
      </c>
    </row>
    <row r="666">
      <c r="C666" s="539" t="n">
        <v>40414</v>
      </c>
      <c r="D666" t="n">
        <v>120.3600006103516</v>
      </c>
      <c r="E666" t="n">
        <v>254.1600036621094</v>
      </c>
      <c r="F666" t="n">
        <v>22.22908210754395</v>
      </c>
      <c r="G666" t="n">
        <v>73.22470092773438</v>
      </c>
      <c r="H666">
        <f>AVERAGE(D467:D666)</f>
        <v/>
      </c>
      <c r="I666">
        <f>AVERAGE(E467:E666)</f>
        <v/>
      </c>
      <c r="J666">
        <f>AVERAGE(F467:F666)</f>
        <v/>
      </c>
    </row>
    <row r="667">
      <c r="C667" s="539" t="n">
        <v>40415</v>
      </c>
      <c r="D667" t="n">
        <v>121.3600006103516</v>
      </c>
      <c r="E667" t="n">
        <v>258.9599914550781</v>
      </c>
      <c r="F667" t="n">
        <v>22.0313720703125</v>
      </c>
      <c r="G667" t="n">
        <v>73.24070739746094</v>
      </c>
      <c r="H667">
        <f>AVERAGE(D468:D667)</f>
        <v/>
      </c>
      <c r="I667">
        <f>AVERAGE(E468:E667)</f>
        <v/>
      </c>
      <c r="J667">
        <f>AVERAGE(F468:F667)</f>
        <v/>
      </c>
    </row>
    <row r="668">
      <c r="C668" s="539" t="n">
        <v>40416</v>
      </c>
      <c r="D668" t="n">
        <v>120.9599990844727</v>
      </c>
      <c r="E668" t="n">
        <v>260.9599914550781</v>
      </c>
      <c r="F668" t="n">
        <v>22.23768043518066</v>
      </c>
      <c r="G668" t="n">
        <v>73.22470092773438</v>
      </c>
      <c r="H668">
        <f>AVERAGE(D469:D668)</f>
        <v/>
      </c>
      <c r="I668">
        <f>AVERAGE(E469:E668)</f>
        <v/>
      </c>
      <c r="J668">
        <f>AVERAGE(F469:F668)</f>
        <v/>
      </c>
    </row>
    <row r="669">
      <c r="C669" s="539" t="n">
        <v>40417</v>
      </c>
      <c r="D669" t="n">
        <v>121.0100021362305</v>
      </c>
      <c r="E669" t="n">
        <v>268.5599975585938</v>
      </c>
      <c r="F669" t="n">
        <v>22.4439811706543</v>
      </c>
      <c r="G669" t="n">
        <v>73.22470092773438</v>
      </c>
      <c r="H669">
        <f>AVERAGE(D470:D669)</f>
        <v/>
      </c>
      <c r="I669">
        <f>AVERAGE(E470:E669)</f>
        <v/>
      </c>
      <c r="J669">
        <f>AVERAGE(F470:F669)</f>
        <v/>
      </c>
    </row>
    <row r="670">
      <c r="C670" s="539" t="n">
        <v>40420</v>
      </c>
      <c r="D670" t="n">
        <v>120.9100036621094</v>
      </c>
      <c r="E670" t="n">
        <v>264.1600036621094</v>
      </c>
      <c r="F670" t="n">
        <v>22.49555587768555</v>
      </c>
      <c r="G670" t="n">
        <v>73.24070739746094</v>
      </c>
      <c r="H670">
        <f>AVERAGE(D471:D670)</f>
        <v/>
      </c>
      <c r="I670">
        <f>AVERAGE(E471:E670)</f>
        <v/>
      </c>
      <c r="J670">
        <f>AVERAGE(F471:F670)</f>
        <v/>
      </c>
    </row>
    <row r="671">
      <c r="C671" s="539" t="n">
        <v>40421</v>
      </c>
      <c r="D671" t="n">
        <v>122.0800018310547</v>
      </c>
      <c r="E671" t="n">
        <v>255.3600006103516</v>
      </c>
      <c r="F671" t="n">
        <v>22.33223533630371</v>
      </c>
      <c r="G671" t="n">
        <v>73.22470092773438</v>
      </c>
      <c r="H671">
        <f>AVERAGE(D472:D671)</f>
        <v/>
      </c>
      <c r="I671">
        <f>AVERAGE(E472:E671)</f>
        <v/>
      </c>
      <c r="J671">
        <f>AVERAGE(F472:F671)</f>
        <v/>
      </c>
    </row>
    <row r="672">
      <c r="C672" s="539" t="n">
        <v>40422</v>
      </c>
      <c r="D672" t="n">
        <v>121.6900024414062</v>
      </c>
      <c r="E672" t="n">
        <v>263.6000061035156</v>
      </c>
      <c r="F672" t="n">
        <v>22.6072998046875</v>
      </c>
      <c r="G672" t="n">
        <v>73.22470092773438</v>
      </c>
      <c r="H672">
        <f>AVERAGE(D473:D672)</f>
        <v/>
      </c>
      <c r="I672">
        <f>AVERAGE(E473:E672)</f>
        <v/>
      </c>
      <c r="J672">
        <f>AVERAGE(F473:F672)</f>
        <v/>
      </c>
    </row>
    <row r="673">
      <c r="C673" s="539" t="n">
        <v>40423</v>
      </c>
      <c r="D673" t="n">
        <v>122.2900009155273</v>
      </c>
      <c r="E673" t="n">
        <v>267.1199951171875</v>
      </c>
      <c r="F673" t="n">
        <v>22.77922058105469</v>
      </c>
      <c r="G673" t="n">
        <v>73.24070739746094</v>
      </c>
      <c r="H673">
        <f>AVERAGE(D474:D673)</f>
        <v/>
      </c>
      <c r="I673">
        <f>AVERAGE(E474:E673)</f>
        <v/>
      </c>
      <c r="J673">
        <f>AVERAGE(F474:F673)</f>
        <v/>
      </c>
    </row>
    <row r="674">
      <c r="C674" s="539" t="n">
        <v>40424</v>
      </c>
      <c r="D674" t="n">
        <v>121.8600006103516</v>
      </c>
      <c r="E674" t="n">
        <v>264.7200012207031</v>
      </c>
      <c r="F674" t="n">
        <v>23.17463111877441</v>
      </c>
      <c r="G674" t="n">
        <v>73.24070739746094</v>
      </c>
      <c r="H674">
        <f>AVERAGE(D475:D674)</f>
        <v/>
      </c>
      <c r="I674">
        <f>AVERAGE(E475:E674)</f>
        <v/>
      </c>
      <c r="J674">
        <f>AVERAGE(F475:F674)</f>
        <v/>
      </c>
    </row>
    <row r="675">
      <c r="C675" s="539" t="n">
        <v>40428</v>
      </c>
      <c r="D675" t="n">
        <v>122.6999969482422</v>
      </c>
      <c r="E675" t="n">
        <v>262.1600036621094</v>
      </c>
      <c r="F675" t="n">
        <v>23.10586738586426</v>
      </c>
      <c r="G675" t="n">
        <v>73.22470092773438</v>
      </c>
      <c r="H675">
        <f>AVERAGE(D476:D675)</f>
        <v/>
      </c>
      <c r="I675">
        <f>AVERAGE(E476:E675)</f>
        <v/>
      </c>
      <c r="J675">
        <f>AVERAGE(F476:F675)</f>
        <v/>
      </c>
    </row>
    <row r="676">
      <c r="C676" s="539" t="n">
        <v>40429</v>
      </c>
      <c r="D676" t="n">
        <v>122.7099990844727</v>
      </c>
      <c r="E676" t="n">
        <v>265.1199951171875</v>
      </c>
      <c r="F676" t="n">
        <v>23.07148361206055</v>
      </c>
      <c r="G676" t="n">
        <v>73.22470092773438</v>
      </c>
      <c r="H676">
        <f>AVERAGE(D477:D676)</f>
        <v/>
      </c>
      <c r="I676">
        <f>AVERAGE(E477:E676)</f>
        <v/>
      </c>
      <c r="J676">
        <f>AVERAGE(F477:F676)</f>
        <v/>
      </c>
    </row>
    <row r="677">
      <c r="C677" s="539" t="n">
        <v>40430</v>
      </c>
      <c r="D677" t="n">
        <v>121.5599975585938</v>
      </c>
      <c r="E677" t="n">
        <v>263.1199951171875</v>
      </c>
      <c r="F677" t="n">
        <v>23.24340057373047</v>
      </c>
      <c r="G677" t="n">
        <v>73.22470092773438</v>
      </c>
      <c r="H677">
        <f>AVERAGE(D478:D677)</f>
        <v/>
      </c>
      <c r="I677">
        <f>AVERAGE(E478:E677)</f>
        <v/>
      </c>
      <c r="J677">
        <f>AVERAGE(F478:F677)</f>
        <v/>
      </c>
    </row>
    <row r="678">
      <c r="C678" s="539" t="n">
        <v>40431</v>
      </c>
      <c r="D678" t="n">
        <v>121.7300033569336</v>
      </c>
      <c r="E678" t="n">
        <v>270.1600036621094</v>
      </c>
      <c r="F678" t="n">
        <v>23.15744209289551</v>
      </c>
      <c r="G678" t="n">
        <v>73.22470092773438</v>
      </c>
      <c r="H678">
        <f>AVERAGE(D479:D678)</f>
        <v/>
      </c>
      <c r="I678">
        <f>AVERAGE(E479:E678)</f>
        <v/>
      </c>
      <c r="J678">
        <f>AVERAGE(F479:F678)</f>
        <v/>
      </c>
    </row>
    <row r="679">
      <c r="C679" s="539" t="n">
        <v>40434</v>
      </c>
      <c r="D679" t="n">
        <v>121.620002746582</v>
      </c>
      <c r="E679" t="n">
        <v>272.239990234375</v>
      </c>
      <c r="F679" t="n">
        <v>23.38952827453613</v>
      </c>
      <c r="G679" t="n">
        <v>73.22470092773438</v>
      </c>
      <c r="H679">
        <f>AVERAGE(D480:D679)</f>
        <v/>
      </c>
      <c r="I679">
        <f>AVERAGE(E480:E679)</f>
        <v/>
      </c>
      <c r="J679">
        <f>AVERAGE(F480:F679)</f>
        <v/>
      </c>
    </row>
    <row r="680">
      <c r="C680" s="539" t="n">
        <v>40435</v>
      </c>
      <c r="D680" t="n">
        <v>124.0199966430664</v>
      </c>
      <c r="E680" t="n">
        <v>271.1199951171875</v>
      </c>
      <c r="F680" t="n">
        <v>23.68179321289062</v>
      </c>
      <c r="G680" t="n">
        <v>73.24070739746094</v>
      </c>
      <c r="H680">
        <f>AVERAGE(D481:D680)</f>
        <v/>
      </c>
      <c r="I680">
        <f>AVERAGE(E481:E680)</f>
        <v/>
      </c>
      <c r="J680">
        <f>AVERAGE(F481:F680)</f>
        <v/>
      </c>
    </row>
    <row r="681">
      <c r="C681" s="539" t="n">
        <v>40436</v>
      </c>
      <c r="D681" t="n">
        <v>123.9400024414062</v>
      </c>
      <c r="E681" t="n">
        <v>267.9200134277344</v>
      </c>
      <c r="F681" t="n">
        <v>23.54426002502441</v>
      </c>
      <c r="G681" t="n">
        <v>73.24070739746094</v>
      </c>
      <c r="H681">
        <f>AVERAGE(D482:D681)</f>
        <v/>
      </c>
      <c r="I681">
        <f>AVERAGE(E482:E681)</f>
        <v/>
      </c>
      <c r="J681">
        <f>AVERAGE(F482:F681)</f>
        <v/>
      </c>
    </row>
    <row r="682">
      <c r="C682" s="539" t="n">
        <v>40437</v>
      </c>
      <c r="D682" t="n">
        <v>124.629997253418</v>
      </c>
      <c r="E682" t="n">
        <v>263.8399963378906</v>
      </c>
      <c r="F682" t="n">
        <v>23.63881301879883</v>
      </c>
      <c r="G682" t="n">
        <v>73.24070739746094</v>
      </c>
      <c r="H682">
        <f>AVERAGE(D483:D682)</f>
        <v/>
      </c>
      <c r="I682">
        <f>AVERAGE(E483:E682)</f>
        <v/>
      </c>
      <c r="J682">
        <f>AVERAGE(F483:F682)</f>
        <v/>
      </c>
    </row>
    <row r="683">
      <c r="C683" s="539" t="n">
        <v>40438</v>
      </c>
      <c r="D683" t="n">
        <v>124.5400009155273</v>
      </c>
      <c r="E683" t="n">
        <v>261.2000122070312</v>
      </c>
      <c r="F683" t="n">
        <v>23.86230659484863</v>
      </c>
      <c r="G683" t="n">
        <v>73.22470092773438</v>
      </c>
      <c r="H683">
        <f>AVERAGE(D484:D683)</f>
        <v/>
      </c>
      <c r="I683">
        <f>AVERAGE(E484:E683)</f>
        <v/>
      </c>
      <c r="J683">
        <f>AVERAGE(F484:F683)</f>
        <v/>
      </c>
    </row>
    <row r="684">
      <c r="C684" s="539" t="n">
        <v>40441</v>
      </c>
      <c r="D684" t="n">
        <v>124.870002746582</v>
      </c>
      <c r="E684" t="n">
        <v>265.760009765625</v>
      </c>
      <c r="F684" t="n">
        <v>23.69038963317871</v>
      </c>
      <c r="G684" t="n">
        <v>73.22470092773438</v>
      </c>
      <c r="H684">
        <f>AVERAGE(D485:D684)</f>
        <v/>
      </c>
      <c r="I684">
        <f>AVERAGE(E485:E684)</f>
        <v/>
      </c>
      <c r="J684">
        <f>AVERAGE(F485:F684)</f>
        <v/>
      </c>
    </row>
    <row r="685">
      <c r="C685" s="539" t="n">
        <v>40442</v>
      </c>
      <c r="D685" t="n">
        <v>126.0100021362305</v>
      </c>
      <c r="E685" t="n">
        <v>261.2000122070312</v>
      </c>
      <c r="F685" t="n">
        <v>23.60442924499512</v>
      </c>
      <c r="G685" t="n">
        <v>73.22470092773438</v>
      </c>
      <c r="H685">
        <f>AVERAGE(D486:D685)</f>
        <v/>
      </c>
      <c r="I685">
        <f>AVERAGE(E486:E685)</f>
        <v/>
      </c>
      <c r="J685">
        <f>AVERAGE(F486:F685)</f>
        <v/>
      </c>
    </row>
    <row r="686">
      <c r="C686" s="539" t="n">
        <v>40443</v>
      </c>
      <c r="D686" t="n">
        <v>126.1999969482422</v>
      </c>
      <c r="E686" t="n">
        <v>260.6400146484375</v>
      </c>
      <c r="F686" t="n">
        <v>23.64740943908691</v>
      </c>
      <c r="G686" t="n">
        <v>73.22470092773438</v>
      </c>
      <c r="H686">
        <f>AVERAGE(D487:D686)</f>
        <v/>
      </c>
      <c r="I686">
        <f>AVERAGE(E487:E686)</f>
        <v/>
      </c>
      <c r="J686">
        <f>AVERAGE(F487:F686)</f>
        <v/>
      </c>
    </row>
    <row r="687">
      <c r="C687" s="539" t="n">
        <v>40444</v>
      </c>
      <c r="D687" t="n">
        <v>126.3000030517578</v>
      </c>
      <c r="E687" t="n">
        <v>261.3599853515625</v>
      </c>
      <c r="F687" t="n">
        <v>23.5098762512207</v>
      </c>
      <c r="G687" t="n">
        <v>73.22470092773438</v>
      </c>
      <c r="H687">
        <f>AVERAGE(D488:D687)</f>
        <v/>
      </c>
      <c r="I687">
        <f>AVERAGE(E488:E687)</f>
        <v/>
      </c>
      <c r="J687">
        <f>AVERAGE(F488:F687)</f>
        <v/>
      </c>
    </row>
    <row r="688">
      <c r="C688" s="539" t="n">
        <v>40445</v>
      </c>
      <c r="D688" t="n">
        <v>126.6900024414062</v>
      </c>
      <c r="E688" t="n">
        <v>267.2000122070312</v>
      </c>
      <c r="F688" t="n">
        <v>23.98265266418457</v>
      </c>
      <c r="G688" t="n">
        <v>73.24070739746094</v>
      </c>
      <c r="H688">
        <f>AVERAGE(D489:D688)</f>
        <v/>
      </c>
      <c r="I688">
        <f>AVERAGE(E489:E688)</f>
        <v/>
      </c>
      <c r="J688">
        <f>AVERAGE(F489:F688)</f>
        <v/>
      </c>
    </row>
    <row r="689">
      <c r="C689" s="539" t="n">
        <v>40448</v>
      </c>
      <c r="D689" t="n">
        <v>126.7200012207031</v>
      </c>
      <c r="E689" t="n">
        <v>265.9200134277344</v>
      </c>
      <c r="F689" t="n">
        <v>24.0686092376709</v>
      </c>
      <c r="G689" t="n">
        <v>73.24070739746094</v>
      </c>
      <c r="H689">
        <f>AVERAGE(D490:D689)</f>
        <v/>
      </c>
      <c r="I689">
        <f>AVERAGE(E490:E689)</f>
        <v/>
      </c>
      <c r="J689">
        <f>AVERAGE(F490:F689)</f>
        <v/>
      </c>
    </row>
    <row r="690">
      <c r="C690" s="539" t="n">
        <v>40449</v>
      </c>
      <c r="D690" t="n">
        <v>127.8499984741211</v>
      </c>
      <c r="E690" t="n">
        <v>265.5199890136719</v>
      </c>
      <c r="F690" t="n">
        <v>23.95686149597168</v>
      </c>
      <c r="G690" t="n">
        <v>73.22470092773438</v>
      </c>
      <c r="H690">
        <f>AVERAGE(D491:D690)</f>
        <v/>
      </c>
      <c r="I690">
        <f>AVERAGE(E491:E690)</f>
        <v/>
      </c>
      <c r="J690">
        <f>AVERAGE(F491:F690)</f>
        <v/>
      </c>
    </row>
    <row r="691">
      <c r="C691" s="539" t="n">
        <v>40450</v>
      </c>
      <c r="D691" t="n">
        <v>127.9499969482422</v>
      </c>
      <c r="E691" t="n">
        <v>271.5199890136719</v>
      </c>
      <c r="F691" t="n">
        <v>23.72477340698242</v>
      </c>
      <c r="G691" t="n">
        <v>73.22470092773438</v>
      </c>
      <c r="H691">
        <f>AVERAGE(D492:D691)</f>
        <v/>
      </c>
      <c r="I691">
        <f>AVERAGE(E492:E691)</f>
        <v/>
      </c>
      <c r="J691">
        <f>AVERAGE(F492:F691)</f>
        <v/>
      </c>
    </row>
    <row r="692">
      <c r="C692" s="539" t="n">
        <v>40451</v>
      </c>
      <c r="D692" t="n">
        <v>127.9100036621094</v>
      </c>
      <c r="E692" t="n">
        <v>278.7200012207031</v>
      </c>
      <c r="F692" t="n">
        <v>23.62162208557129</v>
      </c>
      <c r="G692" t="n">
        <v>73.22470092773438</v>
      </c>
      <c r="H692">
        <f>AVERAGE(D493:D692)</f>
        <v/>
      </c>
      <c r="I692">
        <f>AVERAGE(E493:E692)</f>
        <v/>
      </c>
      <c r="J692">
        <f>AVERAGE(F493:F692)</f>
        <v/>
      </c>
    </row>
    <row r="693">
      <c r="C693" s="539" t="n">
        <v>40452</v>
      </c>
      <c r="D693" t="n">
        <v>128.9100036621094</v>
      </c>
      <c r="E693" t="n">
        <v>285.0400085449219</v>
      </c>
      <c r="F693" t="n">
        <v>22.90815734863281</v>
      </c>
      <c r="G693" t="n">
        <v>73.22470092773438</v>
      </c>
      <c r="H693">
        <f>AVERAGE(D494:D693)</f>
        <v/>
      </c>
      <c r="I693">
        <f>AVERAGE(E494:E693)</f>
        <v/>
      </c>
      <c r="J693">
        <f>AVERAGE(F494:F693)</f>
        <v/>
      </c>
    </row>
    <row r="694">
      <c r="C694" s="539" t="n">
        <v>40455</v>
      </c>
      <c r="D694" t="n">
        <v>128.4600067138672</v>
      </c>
      <c r="E694" t="n">
        <v>284.7200012207031</v>
      </c>
      <c r="F694" t="n">
        <v>22.68466377258301</v>
      </c>
      <c r="G694" t="n">
        <v>73.24070739746094</v>
      </c>
      <c r="H694">
        <f>AVERAGE(D495:D694)</f>
        <v/>
      </c>
      <c r="I694">
        <f>AVERAGE(E495:E694)</f>
        <v/>
      </c>
      <c r="J694">
        <f>AVERAGE(F495:F694)</f>
        <v/>
      </c>
    </row>
    <row r="695">
      <c r="C695" s="539" t="n">
        <v>40456</v>
      </c>
      <c r="D695" t="n">
        <v>130.9900054931641</v>
      </c>
      <c r="E695" t="n">
        <v>288.7200012207031</v>
      </c>
      <c r="F695" t="n">
        <v>23.17463111877441</v>
      </c>
      <c r="G695" t="n">
        <v>73.22470092773438</v>
      </c>
      <c r="H695">
        <f>AVERAGE(D496:D695)</f>
        <v/>
      </c>
      <c r="I695">
        <f>AVERAGE(E496:E695)</f>
        <v/>
      </c>
      <c r="J695">
        <f>AVERAGE(F496:F695)</f>
        <v/>
      </c>
    </row>
    <row r="696">
      <c r="C696" s="539" t="n">
        <v>40457</v>
      </c>
      <c r="D696" t="n">
        <v>131.8099975585938</v>
      </c>
      <c r="E696" t="n">
        <v>290.239990234375</v>
      </c>
      <c r="F696" t="n">
        <v>23.02850341796875</v>
      </c>
      <c r="G696" t="n">
        <v>73.22470092773438</v>
      </c>
      <c r="H696">
        <f>AVERAGE(D497:D696)</f>
        <v/>
      </c>
      <c r="I696">
        <f>AVERAGE(E497:E696)</f>
        <v/>
      </c>
      <c r="J696">
        <f>AVERAGE(F497:F696)</f>
        <v/>
      </c>
    </row>
    <row r="697">
      <c r="C697" s="539" t="n">
        <v>40458</v>
      </c>
      <c r="D697" t="n">
        <v>130.3699951171875</v>
      </c>
      <c r="E697" t="n">
        <v>283.6799926757812</v>
      </c>
      <c r="F697" t="n">
        <v>23.2262077331543</v>
      </c>
      <c r="G697" t="n">
        <v>73.22470092773438</v>
      </c>
      <c r="H697">
        <f>AVERAGE(D498:D697)</f>
        <v/>
      </c>
      <c r="I697">
        <f>AVERAGE(E498:E697)</f>
        <v/>
      </c>
      <c r="J697">
        <f>AVERAGE(F498:F697)</f>
        <v/>
      </c>
    </row>
    <row r="698">
      <c r="C698" s="539" t="n">
        <v>40459</v>
      </c>
      <c r="D698" t="n">
        <v>131.6600036621094</v>
      </c>
      <c r="E698" t="n">
        <v>289.2000122070312</v>
      </c>
      <c r="F698" t="n">
        <v>24.67892074584961</v>
      </c>
      <c r="G698" t="n">
        <v>73.22470092773438</v>
      </c>
      <c r="H698">
        <f>AVERAGE(D499:D698)</f>
        <v/>
      </c>
      <c r="I698">
        <f>AVERAGE(E499:E698)</f>
        <v/>
      </c>
      <c r="J698">
        <f>AVERAGE(F499:F698)</f>
        <v/>
      </c>
    </row>
    <row r="699">
      <c r="C699" s="539" t="n">
        <v>40462</v>
      </c>
      <c r="D699" t="n">
        <v>132.2899932861328</v>
      </c>
      <c r="E699" t="n">
        <v>284.7999877929688</v>
      </c>
      <c r="F699" t="n">
        <v>24.32648849487305</v>
      </c>
      <c r="G699" t="n">
        <v>73.22470092773438</v>
      </c>
      <c r="H699">
        <f>AVERAGE(D500:D699)</f>
        <v/>
      </c>
      <c r="I699">
        <f>AVERAGE(E500:E699)</f>
        <v/>
      </c>
      <c r="J699">
        <f>AVERAGE(F500:F699)</f>
        <v/>
      </c>
    </row>
    <row r="700">
      <c r="C700" s="539" t="n">
        <v>40463</v>
      </c>
      <c r="D700" t="n">
        <v>131.9600067138672</v>
      </c>
      <c r="E700" t="n">
        <v>285.2000122070312</v>
      </c>
      <c r="F700" t="n">
        <v>24.80785942077637</v>
      </c>
      <c r="G700" t="n">
        <v>73.22470092773438</v>
      </c>
      <c r="H700">
        <f>AVERAGE(D501:D700)</f>
        <v/>
      </c>
      <c r="I700">
        <f>AVERAGE(E501:E700)</f>
        <v/>
      </c>
      <c r="J700">
        <f>AVERAGE(F501:F700)</f>
        <v/>
      </c>
    </row>
    <row r="701">
      <c r="C701" s="539" t="n">
        <v>40464</v>
      </c>
      <c r="D701" t="n">
        <v>134.0700073242188</v>
      </c>
      <c r="E701" t="n">
        <v>289.2799987792969</v>
      </c>
      <c r="F701" t="n">
        <v>24.66172981262207</v>
      </c>
      <c r="G701" t="n">
        <v>73.22470092773438</v>
      </c>
      <c r="H701">
        <f>AVERAGE(D502:D701)</f>
        <v/>
      </c>
      <c r="I701">
        <f>AVERAGE(E502:E701)</f>
        <v/>
      </c>
      <c r="J701">
        <f>AVERAGE(F502:F701)</f>
        <v/>
      </c>
    </row>
    <row r="702">
      <c r="C702" s="539" t="n">
        <v>40465</v>
      </c>
      <c r="D702" t="n">
        <v>134.75</v>
      </c>
      <c r="E702" t="n">
        <v>288</v>
      </c>
      <c r="F702" t="n">
        <v>24.75628280639648</v>
      </c>
      <c r="G702" t="n">
        <v>73.24070739746094</v>
      </c>
      <c r="H702">
        <f>AVERAGE(D503:D702)</f>
        <v/>
      </c>
      <c r="I702">
        <f>AVERAGE(E503:E702)</f>
        <v/>
      </c>
      <c r="J702">
        <f>AVERAGE(F503:F702)</f>
        <v/>
      </c>
    </row>
    <row r="703">
      <c r="C703" s="539" t="n">
        <v>40466</v>
      </c>
      <c r="D703" t="n">
        <v>133.6799926757812</v>
      </c>
      <c r="E703" t="n">
        <v>283.760009765625</v>
      </c>
      <c r="F703" t="n">
        <v>24.51559829711914</v>
      </c>
      <c r="G703" t="n">
        <v>73.22470092773438</v>
      </c>
      <c r="H703">
        <f>AVERAGE(D504:D703)</f>
        <v/>
      </c>
      <c r="I703">
        <f>AVERAGE(E504:E703)</f>
        <v/>
      </c>
      <c r="J703">
        <f>AVERAGE(F504:F703)</f>
        <v/>
      </c>
    </row>
    <row r="704">
      <c r="C704" s="539" t="n">
        <v>40469</v>
      </c>
      <c r="D704" t="n">
        <v>134.2799987792969</v>
      </c>
      <c r="E704" t="n">
        <v>290.239990234375</v>
      </c>
      <c r="F704" t="n">
        <v>24.5843677520752</v>
      </c>
      <c r="G704" t="n">
        <v>73.24070739746094</v>
      </c>
      <c r="H704">
        <f>AVERAGE(D505:D704)</f>
        <v/>
      </c>
      <c r="I704">
        <f>AVERAGE(E505:E704)</f>
        <v/>
      </c>
      <c r="J704">
        <f>AVERAGE(F505:F704)</f>
        <v/>
      </c>
    </row>
    <row r="705">
      <c r="C705" s="539" t="n">
        <v>40470</v>
      </c>
      <c r="D705" t="n">
        <v>130.1100006103516</v>
      </c>
      <c r="E705" t="n">
        <v>276.9599914550781</v>
      </c>
      <c r="F705" t="n">
        <v>24.41244697570801</v>
      </c>
      <c r="G705" t="n">
        <v>73.22470092773438</v>
      </c>
      <c r="H705">
        <f>AVERAGE(D506:D705)</f>
        <v/>
      </c>
      <c r="I705">
        <f>AVERAGE(E506:E705)</f>
        <v/>
      </c>
      <c r="J705">
        <f>AVERAGE(F506:F705)</f>
        <v/>
      </c>
    </row>
    <row r="706">
      <c r="C706" s="539" t="n">
        <v>40471</v>
      </c>
      <c r="D706" t="n">
        <v>131.3200073242188</v>
      </c>
      <c r="E706" t="n">
        <v>284.7200012207031</v>
      </c>
      <c r="F706" t="n">
        <v>25.0743350982666</v>
      </c>
      <c r="G706" t="n">
        <v>73.22470092773438</v>
      </c>
      <c r="H706">
        <f>AVERAGE(D507:D706)</f>
        <v/>
      </c>
      <c r="I706">
        <f>AVERAGE(E507:E706)</f>
        <v/>
      </c>
      <c r="J706">
        <f>AVERAGE(F507:F706)</f>
        <v/>
      </c>
    </row>
    <row r="707">
      <c r="C707" s="539" t="n">
        <v>40472</v>
      </c>
      <c r="D707" t="n">
        <v>129.4700012207031</v>
      </c>
      <c r="E707" t="n">
        <v>278.7999877929688</v>
      </c>
      <c r="F707" t="n">
        <v>25.01416397094727</v>
      </c>
      <c r="G707" t="n">
        <v>73.22470092773438</v>
      </c>
      <c r="H707">
        <f>AVERAGE(D508:D707)</f>
        <v/>
      </c>
      <c r="I707">
        <f>AVERAGE(E508:E707)</f>
        <v/>
      </c>
      <c r="J707">
        <f>AVERAGE(F508:F707)</f>
        <v/>
      </c>
    </row>
    <row r="708">
      <c r="C708" s="539" t="n">
        <v>40473</v>
      </c>
      <c r="D708" t="n">
        <v>129.7299957275391</v>
      </c>
      <c r="E708" t="n">
        <v>283.9200134277344</v>
      </c>
      <c r="F708" t="n">
        <v>25.03995132446289</v>
      </c>
      <c r="G708" t="n">
        <v>73.24070739746094</v>
      </c>
      <c r="H708">
        <f>AVERAGE(D509:D708)</f>
        <v/>
      </c>
      <c r="I708">
        <f>AVERAGE(E509:E708)</f>
        <v/>
      </c>
      <c r="J708">
        <f>AVERAGE(F509:F708)</f>
        <v/>
      </c>
    </row>
    <row r="709">
      <c r="C709" s="539" t="n">
        <v>40476</v>
      </c>
      <c r="D709" t="n">
        <v>130.8500061035156</v>
      </c>
      <c r="E709" t="n">
        <v>284.5599975585938</v>
      </c>
      <c r="F709" t="n">
        <v>25.28923225402832</v>
      </c>
      <c r="G709" t="n">
        <v>73.22470092773438</v>
      </c>
      <c r="H709">
        <f>AVERAGE(D510:D709)</f>
        <v/>
      </c>
      <c r="I709">
        <f>AVERAGE(E510:E709)</f>
        <v/>
      </c>
      <c r="J709">
        <f>AVERAGE(F510:F709)</f>
        <v/>
      </c>
    </row>
    <row r="710">
      <c r="C710" s="539" t="n">
        <v>40477</v>
      </c>
      <c r="D710" t="n">
        <v>130.8800048828125</v>
      </c>
      <c r="E710" t="n">
        <v>285.4400024414062</v>
      </c>
      <c r="F710" t="n">
        <v>25.42676734924316</v>
      </c>
      <c r="G710" t="n">
        <v>73.24070739746094</v>
      </c>
      <c r="H710">
        <f>AVERAGE(D511:D710)</f>
        <v/>
      </c>
      <c r="I710">
        <f>AVERAGE(E511:E710)</f>
        <v/>
      </c>
      <c r="J710">
        <f>AVERAGE(F511:F710)</f>
        <v/>
      </c>
    </row>
    <row r="711">
      <c r="C711" s="539" t="n">
        <v>40478</v>
      </c>
      <c r="D711" t="n">
        <v>129.5200042724609</v>
      </c>
      <c r="E711" t="n">
        <v>283.3599853515625</v>
      </c>
      <c r="F711" t="n">
        <v>25.3837890625</v>
      </c>
      <c r="G711" t="n">
        <v>73.24070739746094</v>
      </c>
      <c r="H711">
        <f>AVERAGE(D512:D711)</f>
        <v/>
      </c>
      <c r="I711">
        <f>AVERAGE(E512:E711)</f>
        <v/>
      </c>
      <c r="J711">
        <f>AVERAGE(F512:F711)</f>
        <v/>
      </c>
    </row>
    <row r="712">
      <c r="C712" s="539" t="n">
        <v>40479</v>
      </c>
      <c r="D712" t="n">
        <v>131.2400054931641</v>
      </c>
      <c r="E712" t="n">
        <v>283.1199951171875</v>
      </c>
      <c r="F712" t="n">
        <v>25.39238357543945</v>
      </c>
      <c r="G712" t="n">
        <v>73.22470092773438</v>
      </c>
      <c r="H712">
        <f>AVERAGE(D513:D712)</f>
        <v/>
      </c>
      <c r="I712">
        <f>AVERAGE(E513:E712)</f>
        <v/>
      </c>
      <c r="J712">
        <f>AVERAGE(F513:F712)</f>
        <v/>
      </c>
    </row>
    <row r="713">
      <c r="C713" s="539" t="n">
        <v>40480</v>
      </c>
      <c r="D713" t="n">
        <v>132.6199951171875</v>
      </c>
      <c r="E713" t="n">
        <v>281.3599853515625</v>
      </c>
      <c r="F713" t="n">
        <v>25.52992057800293</v>
      </c>
      <c r="G713" t="n">
        <v>73.24070739746094</v>
      </c>
      <c r="H713">
        <f>AVERAGE(D514:D713)</f>
        <v/>
      </c>
      <c r="I713">
        <f>AVERAGE(E514:E713)</f>
        <v/>
      </c>
      <c r="J713">
        <f>AVERAGE(F514:F713)</f>
        <v/>
      </c>
    </row>
    <row r="714">
      <c r="C714" s="539" t="n">
        <v>40483</v>
      </c>
      <c r="D714" t="n">
        <v>131.9199981689453</v>
      </c>
      <c r="E714" t="n">
        <v>286.4800109863281</v>
      </c>
      <c r="F714" t="n">
        <v>25.33221244812012</v>
      </c>
      <c r="G714" t="n">
        <v>73.24070739746094</v>
      </c>
      <c r="H714">
        <f>AVERAGE(D515:D714)</f>
        <v/>
      </c>
      <c r="I714">
        <f>AVERAGE(E515:E714)</f>
        <v/>
      </c>
      <c r="J714">
        <f>AVERAGE(F515:F714)</f>
        <v/>
      </c>
    </row>
    <row r="715">
      <c r="C715" s="539" t="n">
        <v>40484</v>
      </c>
      <c r="D715" t="n">
        <v>132.4900054931641</v>
      </c>
      <c r="E715" t="n">
        <v>290.1600036621094</v>
      </c>
      <c r="F715" t="n">
        <v>25.53851318359375</v>
      </c>
      <c r="G715" t="n">
        <v>73.20878601074219</v>
      </c>
      <c r="H715">
        <f>AVERAGE(D516:D715)</f>
        <v/>
      </c>
      <c r="I715">
        <f>AVERAGE(E516:E715)</f>
        <v/>
      </c>
      <c r="J715">
        <f>AVERAGE(F516:F715)</f>
        <v/>
      </c>
    </row>
    <row r="716">
      <c r="C716" s="539" t="n">
        <v>40485</v>
      </c>
      <c r="D716" t="n">
        <v>131.5700073242188</v>
      </c>
      <c r="E716" t="n">
        <v>293.9200134277344</v>
      </c>
      <c r="F716" t="n">
        <v>25.55570793151855</v>
      </c>
      <c r="G716" t="n">
        <v>73.22470092773438</v>
      </c>
      <c r="H716">
        <f>AVERAGE(D517:D716)</f>
        <v/>
      </c>
      <c r="I716">
        <f>AVERAGE(E517:E716)</f>
        <v/>
      </c>
      <c r="J716">
        <f>AVERAGE(F517:F716)</f>
        <v/>
      </c>
    </row>
    <row r="717">
      <c r="C717" s="539" t="n">
        <v>40486</v>
      </c>
      <c r="D717" t="n">
        <v>136.0299987792969</v>
      </c>
      <c r="E717" t="n">
        <v>299.9200134277344</v>
      </c>
      <c r="F717" t="n">
        <v>26.13163757324219</v>
      </c>
      <c r="G717" t="n">
        <v>73.22470092773438</v>
      </c>
      <c r="H717">
        <f>AVERAGE(D518:D717)</f>
        <v/>
      </c>
      <c r="I717">
        <f>AVERAGE(E518:E717)</f>
        <v/>
      </c>
      <c r="J717">
        <f>AVERAGE(F518:F717)</f>
        <v/>
      </c>
    </row>
    <row r="718">
      <c r="C718" s="539" t="n">
        <v>40487</v>
      </c>
      <c r="D718" t="n">
        <v>136.3800048828125</v>
      </c>
      <c r="E718" t="n">
        <v>301.2000122070312</v>
      </c>
      <c r="F718" t="n">
        <v>26.07146263122559</v>
      </c>
      <c r="G718" t="n">
        <v>73.22470092773438</v>
      </c>
      <c r="H718">
        <f>AVERAGE(D519:D718)</f>
        <v/>
      </c>
      <c r="I718">
        <f>AVERAGE(E519:E718)</f>
        <v/>
      </c>
      <c r="J718">
        <f>AVERAGE(F519:F718)</f>
        <v/>
      </c>
    </row>
    <row r="719">
      <c r="C719" s="539" t="n">
        <v>40490</v>
      </c>
      <c r="D719" t="n">
        <v>137.7799987792969</v>
      </c>
      <c r="E719" t="n">
        <v>300.239990234375</v>
      </c>
      <c r="F719" t="n">
        <v>26.39810752868652</v>
      </c>
      <c r="G719" t="n">
        <v>73.22470092773438</v>
      </c>
      <c r="H719">
        <f>AVERAGE(D520:D719)</f>
        <v/>
      </c>
      <c r="I719">
        <f>AVERAGE(E520:E719)</f>
        <v/>
      </c>
      <c r="J719">
        <f>AVERAGE(F520:F719)</f>
        <v/>
      </c>
    </row>
    <row r="720">
      <c r="C720" s="539" t="n">
        <v>40491</v>
      </c>
      <c r="D720" t="n">
        <v>135.5899963378906</v>
      </c>
      <c r="E720" t="n">
        <v>296.3999938964844</v>
      </c>
      <c r="F720" t="n">
        <v>26.54423713684082</v>
      </c>
      <c r="G720" t="n">
        <v>73.22470092773438</v>
      </c>
      <c r="H720">
        <f>AVERAGE(D521:D720)</f>
        <v/>
      </c>
      <c r="I720">
        <f>AVERAGE(E521:E720)</f>
        <v/>
      </c>
      <c r="J720">
        <f>AVERAGE(F521:F720)</f>
        <v/>
      </c>
    </row>
    <row r="721">
      <c r="C721" s="539" t="n">
        <v>40492</v>
      </c>
      <c r="D721" t="n">
        <v>137.2400054931641</v>
      </c>
      <c r="E721" t="n">
        <v>304.3200073242188</v>
      </c>
      <c r="F721" t="n">
        <v>26.50126075744629</v>
      </c>
      <c r="G721" t="n">
        <v>73.22470092773438</v>
      </c>
      <c r="H721">
        <f>AVERAGE(D522:D721)</f>
        <v/>
      </c>
      <c r="I721">
        <f>AVERAGE(E522:E721)</f>
        <v/>
      </c>
      <c r="J721">
        <f>AVERAGE(F522:F721)</f>
        <v/>
      </c>
    </row>
    <row r="722">
      <c r="C722" s="539" t="n">
        <v>40493</v>
      </c>
      <c r="D722" t="n">
        <v>137.6600036621094</v>
      </c>
      <c r="E722" t="n">
        <v>302.7200012207031</v>
      </c>
      <c r="F722" t="n">
        <v>25.89954566955566</v>
      </c>
      <c r="G722" t="n">
        <v>73.20878601074219</v>
      </c>
      <c r="H722">
        <f>AVERAGE(D523:D722)</f>
        <v/>
      </c>
      <c r="I722">
        <f>AVERAGE(E523:E722)</f>
        <v/>
      </c>
      <c r="J722">
        <f>AVERAGE(F523:F722)</f>
        <v/>
      </c>
    </row>
    <row r="723">
      <c r="C723" s="539" t="n">
        <v>40494</v>
      </c>
      <c r="D723" t="n">
        <v>133.6900024414062</v>
      </c>
      <c r="E723" t="n">
        <v>291.760009765625</v>
      </c>
      <c r="F723" t="n">
        <v>24.81645965576172</v>
      </c>
      <c r="G723" t="n">
        <v>73.24070739746094</v>
      </c>
      <c r="H723">
        <f>AVERAGE(D524:D723)</f>
        <v/>
      </c>
      <c r="I723">
        <f>AVERAGE(E524:E723)</f>
        <v/>
      </c>
      <c r="J723">
        <f>AVERAGE(F524:F723)</f>
        <v/>
      </c>
    </row>
    <row r="724">
      <c r="C724" s="539" t="n">
        <v>40497</v>
      </c>
      <c r="D724" t="n">
        <v>132.4199981689453</v>
      </c>
      <c r="E724" t="n">
        <v>292</v>
      </c>
      <c r="F724" t="n">
        <v>25.11731338500977</v>
      </c>
      <c r="G724" t="n">
        <v>73.24070739746094</v>
      </c>
      <c r="H724">
        <f>AVERAGE(D525:D724)</f>
        <v/>
      </c>
      <c r="I724">
        <f>AVERAGE(E525:E724)</f>
        <v/>
      </c>
      <c r="J724">
        <f>AVERAGE(F525:F724)</f>
        <v/>
      </c>
    </row>
    <row r="725">
      <c r="C725" s="539" t="n">
        <v>40498</v>
      </c>
      <c r="D725" t="n">
        <v>130.9700012207031</v>
      </c>
      <c r="E725" t="n">
        <v>283.6000061035156</v>
      </c>
      <c r="F725" t="n">
        <v>24.30929565429688</v>
      </c>
      <c r="G725" t="n">
        <v>73.24070739746094</v>
      </c>
      <c r="H725">
        <f>AVERAGE(D526:D725)</f>
        <v/>
      </c>
      <c r="I725">
        <f>AVERAGE(E526:E725)</f>
        <v/>
      </c>
      <c r="J725">
        <f>AVERAGE(F526:F725)</f>
        <v/>
      </c>
    </row>
    <row r="726">
      <c r="C726" s="539" t="n">
        <v>40499</v>
      </c>
      <c r="D726" t="n">
        <v>130.3800048828125</v>
      </c>
      <c r="E726" t="n">
        <v>277.8399963378906</v>
      </c>
      <c r="F726" t="n">
        <v>24.49840545654297</v>
      </c>
      <c r="G726" t="n">
        <v>73.24070739746094</v>
      </c>
      <c r="H726">
        <f>AVERAGE(D527:D726)</f>
        <v/>
      </c>
      <c r="I726">
        <f>AVERAGE(E527:E726)</f>
        <v/>
      </c>
      <c r="J726">
        <f>AVERAGE(F527:F726)</f>
        <v/>
      </c>
    </row>
    <row r="727">
      <c r="C727" s="539" t="n">
        <v>40500</v>
      </c>
      <c r="D727" t="n">
        <v>132.0899963378906</v>
      </c>
      <c r="E727" t="n">
        <v>284</v>
      </c>
      <c r="F727" t="n">
        <v>25.39238357543945</v>
      </c>
      <c r="G727" t="n">
        <v>73.22470092773438</v>
      </c>
      <c r="H727">
        <f>AVERAGE(D528:D727)</f>
        <v/>
      </c>
      <c r="I727">
        <f>AVERAGE(E528:E727)</f>
        <v/>
      </c>
      <c r="J727">
        <f>AVERAGE(F528:F727)</f>
        <v/>
      </c>
    </row>
    <row r="728">
      <c r="C728" s="539" t="n">
        <v>40501</v>
      </c>
      <c r="D728" t="n">
        <v>132.1999969482422</v>
      </c>
      <c r="E728" t="n">
        <v>281.760009765625</v>
      </c>
      <c r="F728" t="n">
        <v>24.91960906982422</v>
      </c>
      <c r="G728" t="n">
        <v>73.22470092773438</v>
      </c>
      <c r="H728">
        <f>AVERAGE(D529:D728)</f>
        <v/>
      </c>
      <c r="I728">
        <f>AVERAGE(E529:E728)</f>
        <v/>
      </c>
      <c r="J728">
        <f>AVERAGE(F529:F728)</f>
        <v/>
      </c>
    </row>
    <row r="729">
      <c r="C729" s="539" t="n">
        <v>40504</v>
      </c>
      <c r="D729" t="n">
        <v>133.4799957275391</v>
      </c>
      <c r="E729" t="n">
        <v>280.3999938964844</v>
      </c>
      <c r="F729" t="n">
        <v>24.93680000305176</v>
      </c>
      <c r="G729" t="n">
        <v>73.22470092773438</v>
      </c>
      <c r="H729">
        <f>AVERAGE(D530:D729)</f>
        <v/>
      </c>
      <c r="I729">
        <f>AVERAGE(E530:E729)</f>
        <v/>
      </c>
      <c r="J729">
        <f>AVERAGE(F530:F729)</f>
        <v/>
      </c>
    </row>
    <row r="730">
      <c r="C730" s="539" t="n">
        <v>40505</v>
      </c>
      <c r="D730" t="n">
        <v>134.4100036621094</v>
      </c>
      <c r="E730" t="n">
        <v>279.6000061035156</v>
      </c>
      <c r="F730" t="n">
        <v>25.03135681152344</v>
      </c>
      <c r="G730" t="n">
        <v>73.22470092773438</v>
      </c>
      <c r="H730">
        <f>AVERAGE(D531:D730)</f>
        <v/>
      </c>
      <c r="I730">
        <f>AVERAGE(E531:E730)</f>
        <v/>
      </c>
      <c r="J730">
        <f>AVERAGE(F531:F730)</f>
        <v/>
      </c>
    </row>
    <row r="731">
      <c r="C731" s="539" t="n">
        <v>40506</v>
      </c>
      <c r="D731" t="n">
        <v>134.1799926757812</v>
      </c>
      <c r="E731" t="n">
        <v>288.6400146484375</v>
      </c>
      <c r="F731" t="n">
        <v>25.25485038757324</v>
      </c>
      <c r="G731" t="n">
        <v>73.24070739746094</v>
      </c>
      <c r="H731">
        <f>AVERAGE(D532:D731)</f>
        <v/>
      </c>
      <c r="I731">
        <f>AVERAGE(E532:E731)</f>
        <v/>
      </c>
      <c r="J731">
        <f>AVERAGE(F532:F731)</f>
        <v/>
      </c>
    </row>
    <row r="732">
      <c r="C732" s="539" t="n">
        <v>40508</v>
      </c>
      <c r="D732" t="n">
        <v>133.1100006103516</v>
      </c>
      <c r="E732" t="n">
        <v>287.760009765625</v>
      </c>
      <c r="F732" t="n">
        <v>24.96258926391602</v>
      </c>
      <c r="G732" t="n">
        <v>73.24070739746094</v>
      </c>
      <c r="H732">
        <f>AVERAGE(D533:D732)</f>
        <v/>
      </c>
      <c r="I732">
        <f>AVERAGE(E533:E732)</f>
        <v/>
      </c>
      <c r="J732">
        <f>AVERAGE(F533:F732)</f>
        <v/>
      </c>
    </row>
    <row r="733">
      <c r="C733" s="539" t="n">
        <v>40511</v>
      </c>
      <c r="D733" t="n">
        <v>133.5099945068359</v>
      </c>
      <c r="E733" t="n">
        <v>294.239990234375</v>
      </c>
      <c r="F733" t="n">
        <v>25.15169906616211</v>
      </c>
      <c r="G733" t="n">
        <v>73.24070739746094</v>
      </c>
      <c r="H733">
        <f>AVERAGE(D534:D733)</f>
        <v/>
      </c>
      <c r="I733">
        <f>AVERAGE(E534:E733)</f>
        <v/>
      </c>
      <c r="J733">
        <f>AVERAGE(F534:F733)</f>
        <v/>
      </c>
    </row>
    <row r="734">
      <c r="C734" s="539" t="n">
        <v>40512</v>
      </c>
      <c r="D734" t="n">
        <v>135.4199981689453</v>
      </c>
      <c r="E734" t="n">
        <v>288.3200073242188</v>
      </c>
      <c r="F734" t="n">
        <v>25.00556755065918</v>
      </c>
      <c r="G734" t="n">
        <v>73.24070739746094</v>
      </c>
      <c r="H734">
        <f>AVERAGE(D535:D734)</f>
        <v/>
      </c>
      <c r="I734">
        <f>AVERAGE(E535:E734)</f>
        <v/>
      </c>
      <c r="J734">
        <f>AVERAGE(F535:F734)</f>
        <v/>
      </c>
    </row>
    <row r="735">
      <c r="C735" s="539" t="n">
        <v>40513</v>
      </c>
      <c r="D735" t="n">
        <v>135.3800048828125</v>
      </c>
      <c r="E735" t="n">
        <v>297.6000061035156</v>
      </c>
      <c r="F735" t="n">
        <v>25.54711151123047</v>
      </c>
      <c r="G735" t="n">
        <v>73.22470092773438</v>
      </c>
      <c r="H735">
        <f>AVERAGE(D536:D735)</f>
        <v/>
      </c>
      <c r="I735">
        <f>AVERAGE(E536:E735)</f>
        <v/>
      </c>
      <c r="J735">
        <f>AVERAGE(F536:F735)</f>
        <v/>
      </c>
    </row>
    <row r="736">
      <c r="C736" s="539" t="n">
        <v>40514</v>
      </c>
      <c r="D736" t="n">
        <v>135.1999969482422</v>
      </c>
      <c r="E736" t="n">
        <v>302.1600036621094</v>
      </c>
      <c r="F736" t="n">
        <v>25.63306999206543</v>
      </c>
      <c r="G736" t="n">
        <v>73.22470092773438</v>
      </c>
      <c r="H736">
        <f>AVERAGE(D537:D736)</f>
        <v/>
      </c>
      <c r="I736">
        <f>AVERAGE(E537:E736)</f>
        <v/>
      </c>
      <c r="J736">
        <f>AVERAGE(F537:F736)</f>
        <v/>
      </c>
    </row>
    <row r="737">
      <c r="C737" s="539" t="n">
        <v>40515</v>
      </c>
      <c r="D737" t="n">
        <v>138.0700073242188</v>
      </c>
      <c r="E737" t="n">
        <v>306.4800109863281</v>
      </c>
      <c r="F737" t="n">
        <v>26.09724998474121</v>
      </c>
      <c r="G737" t="n">
        <v>73.24070739746094</v>
      </c>
      <c r="H737">
        <f>AVERAGE(D538:D737)</f>
        <v/>
      </c>
      <c r="I737">
        <f>AVERAGE(E538:E737)</f>
        <v/>
      </c>
      <c r="J737">
        <f>AVERAGE(F538:F737)</f>
        <v/>
      </c>
    </row>
    <row r="738">
      <c r="C738" s="539" t="n">
        <v>40518</v>
      </c>
      <c r="D738" t="n">
        <v>139.1100006103516</v>
      </c>
      <c r="E738" t="n">
        <v>305.760009765625</v>
      </c>
      <c r="F738" t="n">
        <v>26.19180679321289</v>
      </c>
      <c r="G738" t="n">
        <v>73.22470092773438</v>
      </c>
      <c r="H738">
        <f>AVERAGE(D539:D738)</f>
        <v/>
      </c>
      <c r="I738">
        <f>AVERAGE(E539:E738)</f>
        <v/>
      </c>
      <c r="J738">
        <f>AVERAGE(F539:F738)</f>
        <v/>
      </c>
    </row>
    <row r="739">
      <c r="C739" s="539" t="n">
        <v>40519</v>
      </c>
      <c r="D739" t="n">
        <v>136.5</v>
      </c>
      <c r="E739" t="n">
        <v>302.3999938964844</v>
      </c>
      <c r="F739" t="n">
        <v>25.87375640869141</v>
      </c>
      <c r="G739" t="n">
        <v>73.22470092773438</v>
      </c>
      <c r="H739">
        <f>AVERAGE(D540:D739)</f>
        <v/>
      </c>
      <c r="I739">
        <f>AVERAGE(E540:E739)</f>
        <v/>
      </c>
      <c r="J739">
        <f>AVERAGE(F540:F739)</f>
        <v/>
      </c>
    </row>
    <row r="740">
      <c r="C740" s="539" t="n">
        <v>40520</v>
      </c>
      <c r="D740" t="n">
        <v>134.7899932861328</v>
      </c>
      <c r="E740" t="n">
        <v>303.6799926757812</v>
      </c>
      <c r="F740" t="n">
        <v>26.09724998474121</v>
      </c>
      <c r="G740" t="n">
        <v>73.22470092773438</v>
      </c>
      <c r="H740">
        <f>AVERAGE(D541:D740)</f>
        <v/>
      </c>
      <c r="I740">
        <f>AVERAGE(E541:E740)</f>
        <v/>
      </c>
      <c r="J740">
        <f>AVERAGE(F541:F740)</f>
        <v/>
      </c>
    </row>
    <row r="741">
      <c r="C741" s="539" t="n">
        <v>40521</v>
      </c>
      <c r="D741" t="n">
        <v>135.3699951171875</v>
      </c>
      <c r="E741" t="n">
        <v>303.5199890136719</v>
      </c>
      <c r="F741" t="n">
        <v>26.03708267211914</v>
      </c>
      <c r="G741" t="n">
        <v>73.24070739746094</v>
      </c>
      <c r="H741">
        <f>AVERAGE(D542:D741)</f>
        <v/>
      </c>
      <c r="I741">
        <f>AVERAGE(E542:E741)</f>
        <v/>
      </c>
      <c r="J741">
        <f>AVERAGE(F542:F741)</f>
        <v/>
      </c>
    </row>
    <row r="742">
      <c r="C742" s="539" t="n">
        <v>40522</v>
      </c>
      <c r="D742" t="n">
        <v>135.4100036621094</v>
      </c>
      <c r="E742" t="n">
        <v>301.2799987792969</v>
      </c>
      <c r="F742" t="n">
        <v>25.91673469543457</v>
      </c>
      <c r="G742" t="n">
        <v>73.24070739746094</v>
      </c>
      <c r="H742">
        <f>AVERAGE(D543:D742)</f>
        <v/>
      </c>
      <c r="I742">
        <f>AVERAGE(E543:E742)</f>
        <v/>
      </c>
      <c r="J742">
        <f>AVERAGE(F543:F742)</f>
        <v/>
      </c>
    </row>
    <row r="743">
      <c r="C743" s="539" t="n">
        <v>40525</v>
      </c>
      <c r="D743" t="n">
        <v>136.0500030517578</v>
      </c>
      <c r="E743" t="n">
        <v>303.1199951171875</v>
      </c>
      <c r="F743" t="n">
        <v>26.39810752868652</v>
      </c>
      <c r="G743" t="n">
        <v>73.24070739746094</v>
      </c>
      <c r="H743">
        <f>AVERAGE(D544:D743)</f>
        <v/>
      </c>
      <c r="I743">
        <f>AVERAGE(E544:E743)</f>
        <v/>
      </c>
      <c r="J743">
        <f>AVERAGE(F544:F743)</f>
        <v/>
      </c>
    </row>
    <row r="744">
      <c r="C744" s="539" t="n">
        <v>40526</v>
      </c>
      <c r="D744" t="n">
        <v>136.1799926757812</v>
      </c>
      <c r="E744" t="n">
        <v>303.2000122070312</v>
      </c>
      <c r="F744" t="n">
        <v>26.25197792053223</v>
      </c>
      <c r="G744" t="n">
        <v>73.24070739746094</v>
      </c>
      <c r="H744">
        <f>AVERAGE(D545:D744)</f>
        <v/>
      </c>
      <c r="I744">
        <f>AVERAGE(E545:E744)</f>
        <v/>
      </c>
      <c r="J744">
        <f>AVERAGE(F545:F744)</f>
        <v/>
      </c>
    </row>
    <row r="745">
      <c r="C745" s="539" t="n">
        <v>40527</v>
      </c>
      <c r="D745" t="n">
        <v>134.6999969482422</v>
      </c>
      <c r="E745" t="n">
        <v>303.9200134277344</v>
      </c>
      <c r="F745" t="n">
        <v>26.30355453491211</v>
      </c>
      <c r="G745" t="n">
        <v>73.22470092773438</v>
      </c>
      <c r="H745">
        <f>AVERAGE(D546:D745)</f>
        <v/>
      </c>
      <c r="I745">
        <f>AVERAGE(E546:E745)</f>
        <v/>
      </c>
      <c r="J745">
        <f>AVERAGE(F546:F745)</f>
        <v/>
      </c>
    </row>
    <row r="746">
      <c r="C746" s="539" t="n">
        <v>40528</v>
      </c>
      <c r="D746" t="n">
        <v>133.8099975585938</v>
      </c>
      <c r="E746" t="n">
        <v>302.1600036621094</v>
      </c>
      <c r="F746" t="n">
        <v>26.38091850280762</v>
      </c>
      <c r="G746" t="n">
        <v>73.22470092773438</v>
      </c>
      <c r="H746">
        <f>AVERAGE(D547:D746)</f>
        <v/>
      </c>
      <c r="I746">
        <f>AVERAGE(E547:E746)</f>
        <v/>
      </c>
      <c r="J746">
        <f>AVERAGE(F547:F746)</f>
        <v/>
      </c>
    </row>
    <row r="747">
      <c r="C747" s="539" t="n">
        <v>40529</v>
      </c>
      <c r="D747" t="n">
        <v>134.1999969482422</v>
      </c>
      <c r="E747" t="n">
        <v>302.4800109863281</v>
      </c>
      <c r="F747" t="n">
        <v>26.79351997375488</v>
      </c>
      <c r="G747" t="n">
        <v>73.24070739746094</v>
      </c>
      <c r="H747">
        <f>AVERAGE(D548:D747)</f>
        <v/>
      </c>
      <c r="I747">
        <f>AVERAGE(E548:E747)</f>
        <v/>
      </c>
      <c r="J747">
        <f>AVERAGE(F548:F747)</f>
        <v/>
      </c>
    </row>
    <row r="748">
      <c r="C748" s="539" t="n">
        <v>40532</v>
      </c>
      <c r="D748" t="n">
        <v>135.1100006103516</v>
      </c>
      <c r="E748" t="n">
        <v>304.3999938964844</v>
      </c>
      <c r="F748" t="n">
        <v>26.93105506896973</v>
      </c>
      <c r="G748" t="n">
        <v>73.24070739746094</v>
      </c>
      <c r="H748">
        <f>AVERAGE(D549:D748)</f>
        <v/>
      </c>
      <c r="I748">
        <f>AVERAGE(E549:E748)</f>
        <v/>
      </c>
      <c r="J748">
        <f>AVERAGE(F549:F748)</f>
        <v/>
      </c>
    </row>
    <row r="749">
      <c r="C749" s="539" t="n">
        <v>40533</v>
      </c>
      <c r="D749" t="n">
        <v>135.3200073242188</v>
      </c>
      <c r="E749" t="n">
        <v>306.3200073242188</v>
      </c>
      <c r="F749" t="n">
        <v>27.10297393798828</v>
      </c>
      <c r="G749" t="n">
        <v>73.24070739746094</v>
      </c>
      <c r="H749">
        <f>AVERAGE(D550:D749)</f>
        <v/>
      </c>
      <c r="I749">
        <f>AVERAGE(E550:E749)</f>
        <v/>
      </c>
      <c r="J749">
        <f>AVERAGE(F550:F749)</f>
        <v/>
      </c>
    </row>
    <row r="750">
      <c r="C750" s="539" t="n">
        <v>40534</v>
      </c>
      <c r="D750" t="n">
        <v>135.0500030517578</v>
      </c>
      <c r="E750" t="n">
        <v>309.1199951171875</v>
      </c>
      <c r="F750" t="n">
        <v>27.39523696899414</v>
      </c>
      <c r="G750" t="n">
        <v>73.22470092773438</v>
      </c>
      <c r="H750">
        <f>AVERAGE(D551:D750)</f>
        <v/>
      </c>
      <c r="I750">
        <f>AVERAGE(E551:E750)</f>
        <v/>
      </c>
      <c r="J750">
        <f>AVERAGE(F551:F750)</f>
        <v/>
      </c>
    </row>
    <row r="751">
      <c r="C751" s="539" t="n">
        <v>40535</v>
      </c>
      <c r="D751" t="n">
        <v>134.6600036621094</v>
      </c>
      <c r="E751" t="n">
        <v>311.8399963378906</v>
      </c>
      <c r="F751" t="n">
        <v>27.54996299743652</v>
      </c>
      <c r="G751" t="n">
        <v>73.22470092773438</v>
      </c>
      <c r="H751">
        <f>AVERAGE(D552:D751)</f>
        <v/>
      </c>
      <c r="I751">
        <f>AVERAGE(E552:E751)</f>
        <v/>
      </c>
      <c r="J751">
        <f>AVERAGE(F552:F751)</f>
        <v/>
      </c>
    </row>
    <row r="752">
      <c r="C752" s="539" t="n">
        <v>40539</v>
      </c>
      <c r="D752" t="n">
        <v>135.0200042724609</v>
      </c>
      <c r="E752" t="n">
        <v>309.6799926757812</v>
      </c>
      <c r="F752" t="n">
        <v>27.60153770446777</v>
      </c>
      <c r="G752" t="n">
        <v>73.22470092773438</v>
      </c>
      <c r="H752">
        <f>AVERAGE(D553:D752)</f>
        <v/>
      </c>
      <c r="I752">
        <f>AVERAGE(E553:E752)</f>
        <v/>
      </c>
      <c r="J752">
        <f>AVERAGE(F553:F752)</f>
        <v/>
      </c>
    </row>
    <row r="753">
      <c r="C753" s="539" t="n">
        <v>40540</v>
      </c>
      <c r="D753" t="n">
        <v>137.2200012207031</v>
      </c>
      <c r="E753" t="n">
        <v>311.2799987792969</v>
      </c>
      <c r="F753" t="n">
        <v>27.79065132141113</v>
      </c>
      <c r="G753" t="n">
        <v>73.24070739746094</v>
      </c>
      <c r="H753">
        <f>AVERAGE(D554:D753)</f>
        <v/>
      </c>
      <c r="I753">
        <f>AVERAGE(E554:E753)</f>
        <v/>
      </c>
      <c r="J753">
        <f>AVERAGE(F554:F753)</f>
        <v/>
      </c>
    </row>
    <row r="754">
      <c r="C754" s="539" t="n">
        <v>40541</v>
      </c>
      <c r="D754" t="n">
        <v>137.7100067138672</v>
      </c>
      <c r="E754" t="n">
        <v>310.5599975585938</v>
      </c>
      <c r="F754" t="n">
        <v>27.75626564025879</v>
      </c>
      <c r="G754" t="n">
        <v>73.22470092773438</v>
      </c>
      <c r="H754">
        <f>AVERAGE(D555:D754)</f>
        <v/>
      </c>
      <c r="I754">
        <f>AVERAGE(E555:E754)</f>
        <v/>
      </c>
      <c r="J754">
        <f>AVERAGE(F555:F754)</f>
        <v/>
      </c>
    </row>
    <row r="755">
      <c r="C755" s="539" t="n">
        <v>40542</v>
      </c>
      <c r="D755" t="n">
        <v>137.0299987792969</v>
      </c>
      <c r="E755" t="n">
        <v>304.9599914550781</v>
      </c>
      <c r="F755" t="n">
        <v>27.37804412841797</v>
      </c>
      <c r="G755" t="n">
        <v>73.24070739746094</v>
      </c>
      <c r="H755">
        <f>AVERAGE(D556:D755)</f>
        <v/>
      </c>
      <c r="I755">
        <f>AVERAGE(E556:E755)</f>
        <v/>
      </c>
      <c r="J755">
        <f>AVERAGE(F556:F755)</f>
        <v/>
      </c>
    </row>
    <row r="756">
      <c r="C756" s="539" t="n">
        <v>40543</v>
      </c>
      <c r="D756" t="n">
        <v>138.7200012207031</v>
      </c>
      <c r="E756" t="n">
        <v>312</v>
      </c>
      <c r="F756" t="n">
        <v>27.80784034729004</v>
      </c>
      <c r="G756" t="n">
        <v>73.22470092773438</v>
      </c>
      <c r="H756">
        <f>AVERAGE(D557:D756)</f>
        <v/>
      </c>
      <c r="I756">
        <f>AVERAGE(E557:E756)</f>
        <v/>
      </c>
      <c r="J756">
        <f>AVERAGE(F557:F756)</f>
        <v/>
      </c>
    </row>
    <row r="757">
      <c r="C757" s="539" t="n">
        <v>40546</v>
      </c>
      <c r="D757" t="n">
        <v>138</v>
      </c>
      <c r="E757" t="n">
        <v>312.3999938964844</v>
      </c>
      <c r="F757" t="n">
        <v>27.76485824584961</v>
      </c>
      <c r="G757" t="n">
        <v>73.24070739746094</v>
      </c>
      <c r="H757">
        <f>AVERAGE(D558:D757)</f>
        <v/>
      </c>
      <c r="I757">
        <f>AVERAGE(E558:E757)</f>
        <v/>
      </c>
      <c r="J757">
        <f>AVERAGE(F558:F757)</f>
        <v/>
      </c>
    </row>
    <row r="758">
      <c r="C758" s="539" t="n">
        <v>40547</v>
      </c>
      <c r="D758" t="n">
        <v>134.75</v>
      </c>
      <c r="E758" t="n">
        <v>304.6400146484375</v>
      </c>
      <c r="F758" t="n">
        <v>27.20612525939941</v>
      </c>
      <c r="G758" t="n">
        <v>73.24070739746094</v>
      </c>
      <c r="H758">
        <f>AVERAGE(D559:D758)</f>
        <v/>
      </c>
      <c r="I758">
        <f>AVERAGE(E559:E758)</f>
        <v/>
      </c>
      <c r="J758">
        <f>AVERAGE(F559:F758)</f>
        <v/>
      </c>
    </row>
    <row r="759">
      <c r="C759" s="539" t="n">
        <v>40548</v>
      </c>
      <c r="D759" t="n">
        <v>134.3699951171875</v>
      </c>
      <c r="E759" t="n">
        <v>308.1600036621094</v>
      </c>
      <c r="F759" t="n">
        <v>27.46400451660156</v>
      </c>
      <c r="G759" t="n">
        <v>73.24070739746094</v>
      </c>
      <c r="H759">
        <f>AVERAGE(D560:D759)</f>
        <v/>
      </c>
      <c r="I759">
        <f>AVERAGE(E560:E759)</f>
        <v/>
      </c>
      <c r="J759">
        <f>AVERAGE(F560:F759)</f>
        <v/>
      </c>
    </row>
    <row r="760">
      <c r="C760" s="539" t="n">
        <v>40549</v>
      </c>
      <c r="D760" t="n">
        <v>133.8300018310547</v>
      </c>
      <c r="E760" t="n">
        <v>301.4400024414062</v>
      </c>
      <c r="F760" t="n">
        <v>27.13735771179199</v>
      </c>
      <c r="G760" t="n">
        <v>73.24070739746094</v>
      </c>
      <c r="H760">
        <f>AVERAGE(D561:D760)</f>
        <v/>
      </c>
      <c r="I760">
        <f>AVERAGE(E561:E760)</f>
        <v/>
      </c>
      <c r="J760">
        <f>AVERAGE(F561:F760)</f>
        <v/>
      </c>
    </row>
    <row r="761">
      <c r="C761" s="539" t="n">
        <v>40550</v>
      </c>
      <c r="D761" t="n">
        <v>133.5800018310547</v>
      </c>
      <c r="E761" t="n">
        <v>301.3599853515625</v>
      </c>
      <c r="F761" t="n">
        <v>27.18893241882324</v>
      </c>
      <c r="G761" t="n">
        <v>73.22470092773438</v>
      </c>
      <c r="H761">
        <f>AVERAGE(D562:D761)</f>
        <v/>
      </c>
      <c r="I761">
        <f>AVERAGE(E562:E761)</f>
        <v/>
      </c>
      <c r="J761">
        <f>AVERAGE(F562:F761)</f>
        <v/>
      </c>
    </row>
    <row r="762">
      <c r="C762" s="539" t="n">
        <v>40553</v>
      </c>
      <c r="D762" t="n">
        <v>134.1199951171875</v>
      </c>
      <c r="E762" t="n">
        <v>305.3599853515625</v>
      </c>
      <c r="F762" t="n">
        <v>27.50698280334473</v>
      </c>
      <c r="G762" t="n">
        <v>73.24070739746094</v>
      </c>
      <c r="H762">
        <f>AVERAGE(D563:D762)</f>
        <v/>
      </c>
      <c r="I762">
        <f>AVERAGE(E563:E762)</f>
        <v/>
      </c>
      <c r="J762">
        <f>AVERAGE(F563:F762)</f>
        <v/>
      </c>
    </row>
    <row r="763">
      <c r="C763" s="539" t="n">
        <v>40554</v>
      </c>
      <c r="D763" t="n">
        <v>134.9100036621094</v>
      </c>
      <c r="E763" t="n">
        <v>311.0400085449219</v>
      </c>
      <c r="F763" t="n">
        <v>27.66170883178711</v>
      </c>
      <c r="G763" t="n">
        <v>73.24070739746094</v>
      </c>
      <c r="H763">
        <f>AVERAGE(D564:D763)</f>
        <v/>
      </c>
      <c r="I763">
        <f>AVERAGE(E564:E763)</f>
        <v/>
      </c>
      <c r="J763">
        <f>AVERAGE(F564:F763)</f>
        <v/>
      </c>
    </row>
    <row r="764">
      <c r="C764" s="539" t="n">
        <v>40555</v>
      </c>
      <c r="D764" t="n">
        <v>135.4600067138672</v>
      </c>
      <c r="E764" t="n">
        <v>311.9200134277344</v>
      </c>
      <c r="F764" t="n">
        <v>28.10869789123535</v>
      </c>
      <c r="G764" t="n">
        <v>73.22470092773438</v>
      </c>
      <c r="H764">
        <f>AVERAGE(D565:D764)</f>
        <v/>
      </c>
      <c r="I764">
        <f>AVERAGE(E565:E764)</f>
        <v/>
      </c>
      <c r="J764">
        <f>AVERAGE(F565:F764)</f>
        <v/>
      </c>
    </row>
    <row r="765">
      <c r="C765" s="539" t="n">
        <v>40556</v>
      </c>
      <c r="D765" t="n">
        <v>134.0500030517578</v>
      </c>
      <c r="E765" t="n">
        <v>309.2000122070312</v>
      </c>
      <c r="F765" t="n">
        <v>28.21184921264648</v>
      </c>
      <c r="G765" t="n">
        <v>73.22470092773438</v>
      </c>
      <c r="H765">
        <f>AVERAGE(D566:D765)</f>
        <v/>
      </c>
      <c r="I765">
        <f>AVERAGE(E566:E765)</f>
        <v/>
      </c>
      <c r="J765">
        <f>AVERAGE(F566:F765)</f>
        <v/>
      </c>
    </row>
    <row r="766">
      <c r="C766" s="539" t="n">
        <v>40557</v>
      </c>
      <c r="D766" t="n">
        <v>132.6900024414062</v>
      </c>
      <c r="E766" t="n">
        <v>311.3599853515625</v>
      </c>
      <c r="F766" t="n">
        <v>28.10869789123535</v>
      </c>
      <c r="G766" t="n">
        <v>73.22470092773438</v>
      </c>
      <c r="H766">
        <f>AVERAGE(D567:D766)</f>
        <v/>
      </c>
      <c r="I766">
        <f>AVERAGE(E567:E766)</f>
        <v/>
      </c>
      <c r="J766">
        <f>AVERAGE(F567:F766)</f>
        <v/>
      </c>
    </row>
    <row r="767">
      <c r="C767" s="539" t="n">
        <v>40561</v>
      </c>
      <c r="D767" t="n">
        <v>133.4299926757812</v>
      </c>
      <c r="E767" t="n">
        <v>309.8399963378906</v>
      </c>
      <c r="F767" t="n">
        <v>28.33219337463379</v>
      </c>
      <c r="G767" t="n">
        <v>73.22470092773438</v>
      </c>
      <c r="H767">
        <f>AVERAGE(D568:D767)</f>
        <v/>
      </c>
      <c r="I767">
        <f>AVERAGE(E568:E767)</f>
        <v/>
      </c>
      <c r="J767">
        <f>AVERAGE(F568:F767)</f>
        <v/>
      </c>
    </row>
    <row r="768">
      <c r="C768" s="539" t="n">
        <v>40562</v>
      </c>
      <c r="D768" t="n">
        <v>133.7200012207031</v>
      </c>
      <c r="E768" t="n">
        <v>308.3200073242188</v>
      </c>
      <c r="F768" t="n">
        <v>28.26342582702637</v>
      </c>
      <c r="G768" t="n">
        <v>73.24070739746094</v>
      </c>
      <c r="H768">
        <f>AVERAGE(D569:D768)</f>
        <v/>
      </c>
      <c r="I768">
        <f>AVERAGE(E569:E768)</f>
        <v/>
      </c>
      <c r="J768">
        <f>AVERAGE(F569:F768)</f>
        <v/>
      </c>
    </row>
    <row r="769">
      <c r="C769" s="539" t="n">
        <v>40563</v>
      </c>
      <c r="D769" t="n">
        <v>131.1999969482422</v>
      </c>
      <c r="E769" t="n">
        <v>300.5599975585938</v>
      </c>
      <c r="F769" t="n">
        <v>28.50411033630371</v>
      </c>
      <c r="G769" t="n">
        <v>73.24070739746094</v>
      </c>
      <c r="H769">
        <f>AVERAGE(D570:D769)</f>
        <v/>
      </c>
      <c r="I769">
        <f>AVERAGE(E570:E769)</f>
        <v/>
      </c>
      <c r="J769">
        <f>AVERAGE(F570:F769)</f>
        <v/>
      </c>
    </row>
    <row r="770">
      <c r="C770" s="539" t="n">
        <v>40564</v>
      </c>
      <c r="D770" t="n">
        <v>131.0299987792969</v>
      </c>
      <c r="E770" t="n">
        <v>300.0799865722656</v>
      </c>
      <c r="F770" t="n">
        <v>28.78778076171875</v>
      </c>
      <c r="G770" t="n">
        <v>73.22470092773438</v>
      </c>
      <c r="H770">
        <f>AVERAGE(D571:D770)</f>
        <v/>
      </c>
      <c r="I770">
        <f>AVERAGE(E571:E770)</f>
        <v/>
      </c>
      <c r="J770">
        <f>AVERAGE(F571:F770)</f>
        <v/>
      </c>
    </row>
    <row r="771">
      <c r="C771" s="539" t="n">
        <v>40567</v>
      </c>
      <c r="D771" t="n">
        <v>130.3600006103516</v>
      </c>
      <c r="E771" t="n">
        <v>295.4400024414062</v>
      </c>
      <c r="F771" t="n">
        <v>28.79637145996094</v>
      </c>
      <c r="G771" t="n">
        <v>73.22470092773438</v>
      </c>
      <c r="H771">
        <f>AVERAGE(D572:D771)</f>
        <v/>
      </c>
      <c r="I771">
        <f>AVERAGE(E572:E771)</f>
        <v/>
      </c>
      <c r="J771">
        <f>AVERAGE(F572:F771)</f>
        <v/>
      </c>
    </row>
    <row r="772">
      <c r="C772" s="539" t="n">
        <v>40568</v>
      </c>
      <c r="D772" t="n">
        <v>130.1000061035156</v>
      </c>
      <c r="E772" t="n">
        <v>290.1600036621094</v>
      </c>
      <c r="F772" t="n">
        <v>28.65884017944336</v>
      </c>
      <c r="G772" t="n">
        <v>73.24070739746094</v>
      </c>
      <c r="H772">
        <f>AVERAGE(D573:D772)</f>
        <v/>
      </c>
      <c r="I772">
        <f>AVERAGE(E573:E772)</f>
        <v/>
      </c>
      <c r="J772">
        <f>AVERAGE(F573:F772)</f>
        <v/>
      </c>
    </row>
    <row r="773">
      <c r="C773" s="539" t="n">
        <v>40569</v>
      </c>
      <c r="D773" t="n">
        <v>131.1600036621094</v>
      </c>
      <c r="E773" t="n">
        <v>294.7999877929688</v>
      </c>
      <c r="F773" t="n">
        <v>29.20898056030273</v>
      </c>
      <c r="G773" t="n">
        <v>73.22470092773438</v>
      </c>
      <c r="H773">
        <f>AVERAGE(D574:D773)</f>
        <v/>
      </c>
      <c r="I773">
        <f>AVERAGE(E574:E773)</f>
        <v/>
      </c>
      <c r="J773">
        <f>AVERAGE(F574:F773)</f>
        <v/>
      </c>
    </row>
    <row r="774">
      <c r="C774" s="539" t="n">
        <v>40570</v>
      </c>
      <c r="D774" t="n">
        <v>127.9300003051758</v>
      </c>
      <c r="E774" t="n">
        <v>287.5199890136719</v>
      </c>
      <c r="F774" t="n">
        <v>29.16599655151367</v>
      </c>
      <c r="G774" t="n">
        <v>73.24070739746094</v>
      </c>
      <c r="H774">
        <f>AVERAGE(D575:D774)</f>
        <v/>
      </c>
      <c r="I774">
        <f>AVERAGE(E575:E774)</f>
        <v/>
      </c>
      <c r="J774">
        <f>AVERAGE(F575:F774)</f>
        <v/>
      </c>
    </row>
    <row r="775">
      <c r="C775" s="539" t="n">
        <v>40571</v>
      </c>
      <c r="D775" t="n">
        <v>130.2799987792969</v>
      </c>
      <c r="E775" t="n">
        <v>300.6400146484375</v>
      </c>
      <c r="F775" t="n">
        <v>29.15740203857422</v>
      </c>
      <c r="G775" t="n">
        <v>73.22470092773438</v>
      </c>
      <c r="H775">
        <f>AVERAGE(D576:D775)</f>
        <v/>
      </c>
      <c r="I775">
        <f>AVERAGE(E576:E775)</f>
        <v/>
      </c>
      <c r="J775">
        <f>AVERAGE(F576:F775)</f>
        <v/>
      </c>
    </row>
    <row r="776">
      <c r="C776" s="539" t="n">
        <v>40574</v>
      </c>
      <c r="D776" t="n">
        <v>129.8699951171875</v>
      </c>
      <c r="E776" t="n">
        <v>308.8800048828125</v>
      </c>
      <c r="F776" t="n">
        <v>29.4754524230957</v>
      </c>
      <c r="G776" t="n">
        <v>73.22470092773438</v>
      </c>
      <c r="H776">
        <f>AVERAGE(D577:D776)</f>
        <v/>
      </c>
      <c r="I776">
        <f>AVERAGE(E577:E776)</f>
        <v/>
      </c>
      <c r="J776">
        <f>AVERAGE(F577:F776)</f>
        <v/>
      </c>
    </row>
    <row r="777">
      <c r="C777" s="539" t="n">
        <v>40575</v>
      </c>
      <c r="D777" t="n">
        <v>130.8000030517578</v>
      </c>
      <c r="E777" t="n">
        <v>304.5599975585938</v>
      </c>
      <c r="F777" t="n">
        <v>29.66456031799316</v>
      </c>
      <c r="G777" t="n">
        <v>73.22470092773438</v>
      </c>
      <c r="H777">
        <f>AVERAGE(D578:D777)</f>
        <v/>
      </c>
      <c r="I777">
        <f>AVERAGE(E578:E777)</f>
        <v/>
      </c>
      <c r="J777">
        <f>AVERAGE(F578:F777)</f>
        <v/>
      </c>
    </row>
    <row r="778">
      <c r="C778" s="539" t="n">
        <v>40576</v>
      </c>
      <c r="D778" t="n">
        <v>130.4499969482422</v>
      </c>
      <c r="E778" t="n">
        <v>305.4400024414062</v>
      </c>
      <c r="F778" t="n">
        <v>29.99980545043945</v>
      </c>
      <c r="G778" t="n">
        <v>73.22470092773438</v>
      </c>
      <c r="H778">
        <f>AVERAGE(D579:D778)</f>
        <v/>
      </c>
      <c r="I778">
        <f>AVERAGE(E579:E778)</f>
        <v/>
      </c>
      <c r="J778">
        <f>AVERAGE(F579:F778)</f>
        <v/>
      </c>
    </row>
    <row r="779">
      <c r="C779" s="539" t="n">
        <v>40577</v>
      </c>
      <c r="D779" t="n">
        <v>132.1999969482422</v>
      </c>
      <c r="E779" t="n">
        <v>304.7200012207031</v>
      </c>
      <c r="F779" t="n">
        <v>29.54421997070312</v>
      </c>
      <c r="G779" t="n">
        <v>73.22470092773438</v>
      </c>
      <c r="H779">
        <f>AVERAGE(D580:D779)</f>
        <v/>
      </c>
      <c r="I779">
        <f>AVERAGE(E580:E779)</f>
        <v/>
      </c>
      <c r="J779">
        <f>AVERAGE(F580:F779)</f>
        <v/>
      </c>
    </row>
    <row r="780">
      <c r="C780" s="539" t="n">
        <v>40578</v>
      </c>
      <c r="D780" t="n">
        <v>131.6600036621094</v>
      </c>
      <c r="E780" t="n">
        <v>298.7200012207031</v>
      </c>
      <c r="F780" t="n">
        <v>29.50123977661133</v>
      </c>
      <c r="G780" t="n">
        <v>73.24070739746094</v>
      </c>
      <c r="H780">
        <f>AVERAGE(D581:D780)</f>
        <v/>
      </c>
      <c r="I780">
        <f>AVERAGE(E581:E780)</f>
        <v/>
      </c>
      <c r="J780">
        <f>AVERAGE(F581:F780)</f>
        <v/>
      </c>
    </row>
    <row r="781">
      <c r="C781" s="539" t="n">
        <v>40581</v>
      </c>
      <c r="D781" t="n">
        <v>131.6799926757812</v>
      </c>
      <c r="E781" t="n">
        <v>293.2799987792969</v>
      </c>
      <c r="F781" t="n">
        <v>29.57860374450684</v>
      </c>
      <c r="G781" t="n">
        <v>73.22470092773438</v>
      </c>
      <c r="H781">
        <f>AVERAGE(D582:D781)</f>
        <v/>
      </c>
      <c r="I781">
        <f>AVERAGE(E582:E781)</f>
        <v/>
      </c>
      <c r="J781">
        <f>AVERAGE(F582:F781)</f>
        <v/>
      </c>
    </row>
    <row r="782">
      <c r="C782" s="539" t="n">
        <v>40582</v>
      </c>
      <c r="D782" t="n">
        <v>133.1399993896484</v>
      </c>
      <c r="E782" t="n">
        <v>293.1199951171875</v>
      </c>
      <c r="F782" t="n">
        <v>29.5614128112793</v>
      </c>
      <c r="G782" t="n">
        <v>73.22470092773438</v>
      </c>
      <c r="H782">
        <f>AVERAGE(D583:D782)</f>
        <v/>
      </c>
      <c r="I782">
        <f>AVERAGE(E583:E782)</f>
        <v/>
      </c>
      <c r="J782">
        <f>AVERAGE(F583:F782)</f>
        <v/>
      </c>
    </row>
    <row r="783">
      <c r="C783" s="539" t="n">
        <v>40583</v>
      </c>
      <c r="D783" t="n">
        <v>133.0700073242188</v>
      </c>
      <c r="E783" t="n">
        <v>292</v>
      </c>
      <c r="F783" t="n">
        <v>29.86227035522461</v>
      </c>
      <c r="G783" t="n">
        <v>73.24070739746094</v>
      </c>
      <c r="H783">
        <f>AVERAGE(D584:D783)</f>
        <v/>
      </c>
      <c r="I783">
        <f>AVERAGE(E584:E783)</f>
        <v/>
      </c>
      <c r="J783">
        <f>AVERAGE(F584:F783)</f>
        <v/>
      </c>
    </row>
    <row r="784">
      <c r="C784" s="539" t="n">
        <v>40584</v>
      </c>
      <c r="D784" t="n">
        <v>132.8500061035156</v>
      </c>
      <c r="E784" t="n">
        <v>292.3200073242188</v>
      </c>
      <c r="F784" t="n">
        <v>30.05137825012207</v>
      </c>
      <c r="G784" t="n">
        <v>73.22470092773438</v>
      </c>
      <c r="H784">
        <f>AVERAGE(D585:D784)</f>
        <v/>
      </c>
      <c r="I784">
        <f>AVERAGE(E585:E784)</f>
        <v/>
      </c>
      <c r="J784">
        <f>AVERAGE(F585:F784)</f>
        <v/>
      </c>
    </row>
    <row r="785">
      <c r="C785" s="539" t="n">
        <v>40585</v>
      </c>
      <c r="D785" t="n">
        <v>132.3200073242188</v>
      </c>
      <c r="E785" t="n">
        <v>288.3999938964844</v>
      </c>
      <c r="F785" t="n">
        <v>29.93963623046875</v>
      </c>
      <c r="G785" t="n">
        <v>73.22470092773438</v>
      </c>
      <c r="H785">
        <f>AVERAGE(D586:D785)</f>
        <v/>
      </c>
      <c r="I785">
        <f>AVERAGE(E586:E785)</f>
        <v/>
      </c>
      <c r="J785">
        <f>AVERAGE(F586:F785)</f>
        <v/>
      </c>
    </row>
    <row r="786">
      <c r="C786" s="539" t="n">
        <v>40588</v>
      </c>
      <c r="D786" t="n">
        <v>132.9499969482422</v>
      </c>
      <c r="E786" t="n">
        <v>287.0400085449219</v>
      </c>
      <c r="F786" t="n">
        <v>29.94822883605957</v>
      </c>
      <c r="G786" t="n">
        <v>73.22470092773438</v>
      </c>
      <c r="H786">
        <f>AVERAGE(D587:D786)</f>
        <v/>
      </c>
      <c r="I786">
        <f>AVERAGE(E587:E786)</f>
        <v/>
      </c>
      <c r="J786">
        <f>AVERAGE(F587:F786)</f>
        <v/>
      </c>
    </row>
    <row r="787">
      <c r="C787" s="539" t="n">
        <v>40589</v>
      </c>
      <c r="D787" t="n">
        <v>133.9700012207031</v>
      </c>
      <c r="E787" t="n">
        <v>283.1199951171875</v>
      </c>
      <c r="F787" t="n">
        <v>29.57860374450684</v>
      </c>
      <c r="G787" t="n">
        <v>73.24070739746094</v>
      </c>
      <c r="H787">
        <f>AVERAGE(D588:D787)</f>
        <v/>
      </c>
      <c r="I787">
        <f>AVERAGE(E588:E787)</f>
        <v/>
      </c>
      <c r="J787">
        <f>AVERAGE(F588:F787)</f>
        <v/>
      </c>
    </row>
    <row r="788">
      <c r="C788" s="539" t="n">
        <v>40590</v>
      </c>
      <c r="D788" t="n">
        <v>134.1000061035156</v>
      </c>
      <c r="E788" t="n">
        <v>284.239990234375</v>
      </c>
      <c r="F788" t="n">
        <v>29.76771545410156</v>
      </c>
      <c r="G788" t="n">
        <v>73.24070739746094</v>
      </c>
      <c r="H788">
        <f>AVERAGE(D589:D788)</f>
        <v/>
      </c>
      <c r="I788">
        <f>AVERAGE(E589:E788)</f>
        <v/>
      </c>
      <c r="J788">
        <f>AVERAGE(F589:F788)</f>
        <v/>
      </c>
    </row>
    <row r="789">
      <c r="C789" s="539" t="n">
        <v>40591</v>
      </c>
      <c r="D789" t="n">
        <v>135.0399932861328</v>
      </c>
      <c r="E789" t="n">
        <v>288.4800109863281</v>
      </c>
      <c r="F789" t="n">
        <v>30.29206848144531</v>
      </c>
      <c r="G789" t="n">
        <v>73.24070739746094</v>
      </c>
      <c r="H789">
        <f>AVERAGE(D590:D789)</f>
        <v/>
      </c>
      <c r="I789">
        <f>AVERAGE(E590:E789)</f>
        <v/>
      </c>
      <c r="J789">
        <f>AVERAGE(F590:F789)</f>
        <v/>
      </c>
    </row>
    <row r="790">
      <c r="C790" s="539" t="n">
        <v>40592</v>
      </c>
      <c r="D790" t="n">
        <v>135.4100036621094</v>
      </c>
      <c r="E790" t="n">
        <v>290.8800048828125</v>
      </c>
      <c r="F790" t="n">
        <v>30.00840187072754</v>
      </c>
      <c r="G790" t="n">
        <v>73.22470092773438</v>
      </c>
      <c r="H790">
        <f>AVERAGE(D591:D790)</f>
        <v/>
      </c>
      <c r="I790">
        <f>AVERAGE(E591:E790)</f>
        <v/>
      </c>
      <c r="J790">
        <f>AVERAGE(F591:F790)</f>
        <v/>
      </c>
    </row>
    <row r="791">
      <c r="C791" s="539" t="n">
        <v>40596</v>
      </c>
      <c r="D791" t="n">
        <v>136.2899932861328</v>
      </c>
      <c r="E791" t="n">
        <v>307.9200134277344</v>
      </c>
      <c r="F791" t="n">
        <v>29.38089942932129</v>
      </c>
      <c r="G791" t="n">
        <v>73.22470092773438</v>
      </c>
      <c r="H791">
        <f>AVERAGE(D592:D791)</f>
        <v/>
      </c>
      <c r="I791">
        <f>AVERAGE(E592:E791)</f>
        <v/>
      </c>
      <c r="J791">
        <f>AVERAGE(F592:F791)</f>
        <v/>
      </c>
    </row>
    <row r="792">
      <c r="C792" s="539" t="n">
        <v>40597</v>
      </c>
      <c r="D792" t="n">
        <v>137.5099945068359</v>
      </c>
      <c r="E792" t="n">
        <v>318.3999938964844</v>
      </c>
      <c r="F792" t="n">
        <v>29.46685791015625</v>
      </c>
      <c r="G792" t="n">
        <v>73.24070739746094</v>
      </c>
      <c r="H792">
        <f>AVERAGE(D593:D792)</f>
        <v/>
      </c>
      <c r="I792">
        <f>AVERAGE(E593:E792)</f>
        <v/>
      </c>
      <c r="J792">
        <f>AVERAGE(F593:F792)</f>
        <v/>
      </c>
    </row>
    <row r="793">
      <c r="C793" s="539" t="n">
        <v>40598</v>
      </c>
      <c r="D793" t="n">
        <v>136.4799957275391</v>
      </c>
      <c r="E793" t="n">
        <v>311.760009765625</v>
      </c>
      <c r="F793" t="n">
        <v>29.23476791381836</v>
      </c>
      <c r="G793" t="n">
        <v>73.24070739746094</v>
      </c>
      <c r="H793">
        <f>AVERAGE(D594:D793)</f>
        <v/>
      </c>
      <c r="I793">
        <f>AVERAGE(E594:E793)</f>
        <v/>
      </c>
      <c r="J793">
        <f>AVERAGE(F594:F793)</f>
        <v/>
      </c>
    </row>
    <row r="794">
      <c r="C794" s="539" t="n">
        <v>40599</v>
      </c>
      <c r="D794" t="n">
        <v>137.3800048828125</v>
      </c>
      <c r="E794" t="n">
        <v>317.4400024414062</v>
      </c>
      <c r="F794" t="n">
        <v>29.83648300170898</v>
      </c>
      <c r="G794" t="n">
        <v>73.24070739746094</v>
      </c>
      <c r="H794">
        <f>AVERAGE(D595:D794)</f>
        <v/>
      </c>
      <c r="I794">
        <f>AVERAGE(E595:E794)</f>
        <v/>
      </c>
      <c r="J794">
        <f>AVERAGE(F595:F794)</f>
        <v/>
      </c>
    </row>
    <row r="795">
      <c r="C795" s="539" t="n">
        <v>40602</v>
      </c>
      <c r="D795" t="n">
        <v>137.6600036621094</v>
      </c>
      <c r="E795" t="n">
        <v>313.5199890136719</v>
      </c>
      <c r="F795" t="n">
        <v>30.05997467041016</v>
      </c>
      <c r="G795" t="n">
        <v>73.22470092773438</v>
      </c>
      <c r="H795">
        <f>AVERAGE(D596:D795)</f>
        <v/>
      </c>
      <c r="I795">
        <f>AVERAGE(E596:E795)</f>
        <v/>
      </c>
      <c r="J795">
        <f>AVERAGE(F596:F795)</f>
        <v/>
      </c>
    </row>
    <row r="796">
      <c r="C796" s="539" t="n">
        <v>40603</v>
      </c>
      <c r="D796" t="n">
        <v>140.0299987792969</v>
      </c>
      <c r="E796" t="n">
        <v>323.8399963378906</v>
      </c>
      <c r="F796" t="n">
        <v>29.75911712646484</v>
      </c>
      <c r="G796" t="n">
        <v>73.22470092773438</v>
      </c>
      <c r="H796">
        <f>AVERAGE(D597:D796)</f>
        <v/>
      </c>
      <c r="I796">
        <f>AVERAGE(E597:E796)</f>
        <v/>
      </c>
      <c r="J796">
        <f>AVERAGE(F597:F796)</f>
        <v/>
      </c>
    </row>
    <row r="797">
      <c r="C797" s="539" t="n">
        <v>40604</v>
      </c>
      <c r="D797" t="n">
        <v>139.9199981689453</v>
      </c>
      <c r="E797" t="n">
        <v>331.1199951171875</v>
      </c>
      <c r="F797" t="n">
        <v>30.04278373718262</v>
      </c>
      <c r="G797" t="n">
        <v>73.24070739746094</v>
      </c>
      <c r="H797">
        <f>AVERAGE(D598:D797)</f>
        <v/>
      </c>
      <c r="I797">
        <f>AVERAGE(E598:E797)</f>
        <v/>
      </c>
      <c r="J797">
        <f>AVERAGE(F598:F797)</f>
        <v/>
      </c>
    </row>
    <row r="798">
      <c r="C798" s="539" t="n">
        <v>40605</v>
      </c>
      <c r="D798" t="n">
        <v>138.0899963378906</v>
      </c>
      <c r="E798" t="n">
        <v>329.4400024414062</v>
      </c>
      <c r="F798" t="n">
        <v>30.4639835357666</v>
      </c>
      <c r="G798" t="n">
        <v>73.22470092773438</v>
      </c>
      <c r="H798">
        <f>AVERAGE(D599:D798)</f>
        <v/>
      </c>
      <c r="I798">
        <f>AVERAGE(E599:E798)</f>
        <v/>
      </c>
      <c r="J798">
        <f>AVERAGE(F599:F798)</f>
        <v/>
      </c>
    </row>
    <row r="799">
      <c r="C799" s="539" t="n">
        <v>40606</v>
      </c>
      <c r="D799" t="n">
        <v>139.3500061035156</v>
      </c>
      <c r="E799" t="n">
        <v>338.6400146484375</v>
      </c>
      <c r="F799" t="n">
        <v>30.34364318847656</v>
      </c>
      <c r="G799" t="n">
        <v>73.24070739746094</v>
      </c>
      <c r="H799">
        <f>AVERAGE(D600:D799)</f>
        <v/>
      </c>
      <c r="I799">
        <f>AVERAGE(E600:E799)</f>
        <v/>
      </c>
      <c r="J799">
        <f>AVERAGE(F600:F799)</f>
        <v/>
      </c>
    </row>
    <row r="800">
      <c r="C800" s="539" t="n">
        <v>40609</v>
      </c>
      <c r="D800" t="n">
        <v>139.7200012207031</v>
      </c>
      <c r="E800" t="n">
        <v>338.9599914550781</v>
      </c>
      <c r="F800" t="n">
        <v>30.32645034790039</v>
      </c>
      <c r="G800" t="n">
        <v>73.22470092773438</v>
      </c>
      <c r="H800">
        <f>AVERAGE(D601:D800)</f>
        <v/>
      </c>
      <c r="I800">
        <f>AVERAGE(E601:E800)</f>
        <v/>
      </c>
      <c r="J800">
        <f>AVERAGE(F601:F800)</f>
        <v/>
      </c>
    </row>
    <row r="801">
      <c r="C801" s="539" t="n">
        <v>40610</v>
      </c>
      <c r="D801" t="n">
        <v>139.3600006103516</v>
      </c>
      <c r="E801" t="n">
        <v>338.4800109863281</v>
      </c>
      <c r="F801" t="n">
        <v>30.31785202026367</v>
      </c>
      <c r="G801" t="n">
        <v>73.22470092773438</v>
      </c>
      <c r="H801">
        <f>AVERAGE(D602:D801)</f>
        <v/>
      </c>
      <c r="I801">
        <f>AVERAGE(E602:E801)</f>
        <v/>
      </c>
      <c r="J801">
        <f>AVERAGE(F602:F801)</f>
        <v/>
      </c>
    </row>
    <row r="802">
      <c r="C802" s="539" t="n">
        <v>40611</v>
      </c>
      <c r="D802" t="n">
        <v>139.4100036621094</v>
      </c>
      <c r="E802" t="n">
        <v>336.3999938964844</v>
      </c>
      <c r="F802" t="n">
        <v>30.1373405456543</v>
      </c>
      <c r="G802" t="n">
        <v>73.22470092773438</v>
      </c>
      <c r="H802">
        <f>AVERAGE(D603:D802)</f>
        <v/>
      </c>
      <c r="I802">
        <f>AVERAGE(E603:E802)</f>
        <v/>
      </c>
      <c r="J802">
        <f>AVERAGE(F603:F802)</f>
        <v/>
      </c>
    </row>
    <row r="803">
      <c r="C803" s="539" t="n">
        <v>40612</v>
      </c>
      <c r="D803" t="n">
        <v>137.7700042724609</v>
      </c>
      <c r="E803" t="n">
        <v>331.2000122070312</v>
      </c>
      <c r="F803" t="n">
        <v>29.3722972869873</v>
      </c>
      <c r="G803" t="n">
        <v>73.22470092773438</v>
      </c>
      <c r="H803">
        <f>AVERAGE(D604:D803)</f>
        <v/>
      </c>
      <c r="I803">
        <f>AVERAGE(E604:E803)</f>
        <v/>
      </c>
      <c r="J803">
        <f>AVERAGE(F604:F803)</f>
        <v/>
      </c>
    </row>
    <row r="804">
      <c r="C804" s="539" t="n">
        <v>40613</v>
      </c>
      <c r="D804" t="n">
        <v>138.2200012207031</v>
      </c>
      <c r="E804" t="n">
        <v>325.5199890136719</v>
      </c>
      <c r="F804" t="n">
        <v>29.21757698059082</v>
      </c>
      <c r="G804" t="n">
        <v>73.24070739746094</v>
      </c>
      <c r="H804">
        <f>AVERAGE(D605:D804)</f>
        <v/>
      </c>
      <c r="I804">
        <f>AVERAGE(E605:E804)</f>
        <v/>
      </c>
      <c r="J804">
        <f>AVERAGE(F605:F804)</f>
        <v/>
      </c>
    </row>
    <row r="805">
      <c r="C805" s="539" t="n">
        <v>40616</v>
      </c>
      <c r="D805" t="n">
        <v>138.8600006103516</v>
      </c>
      <c r="E805" t="n">
        <v>327.2799987792969</v>
      </c>
      <c r="F805" t="n">
        <v>28.95109939575195</v>
      </c>
      <c r="G805" t="n">
        <v>73.24070739746094</v>
      </c>
      <c r="H805">
        <f>AVERAGE(D606:D805)</f>
        <v/>
      </c>
      <c r="I805">
        <f>AVERAGE(E606:E805)</f>
        <v/>
      </c>
      <c r="J805">
        <f>AVERAGE(F606:F805)</f>
        <v/>
      </c>
    </row>
    <row r="806">
      <c r="C806" s="539" t="n">
        <v>40617</v>
      </c>
      <c r="D806" t="n">
        <v>136.2700042724609</v>
      </c>
      <c r="E806" t="n">
        <v>315.1199951171875</v>
      </c>
      <c r="F806" t="n">
        <v>27.6273250579834</v>
      </c>
      <c r="G806" t="n">
        <v>73.25666046142578</v>
      </c>
      <c r="H806">
        <f>AVERAGE(D607:D806)</f>
        <v/>
      </c>
      <c r="I806">
        <f>AVERAGE(E607:E806)</f>
        <v/>
      </c>
      <c r="J806">
        <f>AVERAGE(F607:F806)</f>
        <v/>
      </c>
    </row>
    <row r="807">
      <c r="C807" s="539" t="n">
        <v>40618</v>
      </c>
      <c r="D807" t="n">
        <v>136.2400054931641</v>
      </c>
      <c r="E807" t="n">
        <v>317.4400024414062</v>
      </c>
      <c r="F807" t="n">
        <v>27.67030334472656</v>
      </c>
      <c r="G807" t="n">
        <v>73.25666046142578</v>
      </c>
      <c r="H807">
        <f>AVERAGE(D608:D807)</f>
        <v/>
      </c>
      <c r="I807">
        <f>AVERAGE(E608:E807)</f>
        <v/>
      </c>
      <c r="J807">
        <f>AVERAGE(F608:F807)</f>
        <v/>
      </c>
    </row>
    <row r="808">
      <c r="C808" s="539" t="n">
        <v>40619</v>
      </c>
      <c r="D808" t="n">
        <v>136.9700012207031</v>
      </c>
      <c r="E808" t="n">
        <v>325.5199890136719</v>
      </c>
      <c r="F808" t="n">
        <v>28.71900939941406</v>
      </c>
      <c r="G808" t="n">
        <v>73.25666046142578</v>
      </c>
      <c r="H808">
        <f>AVERAGE(D609:D808)</f>
        <v/>
      </c>
      <c r="I808">
        <f>AVERAGE(E609:E808)</f>
        <v/>
      </c>
      <c r="J808">
        <f>AVERAGE(F609:F808)</f>
        <v/>
      </c>
    </row>
    <row r="809">
      <c r="C809" s="539" t="n">
        <v>40620</v>
      </c>
      <c r="D809" t="n">
        <v>138.3699951171875</v>
      </c>
      <c r="E809" t="n">
        <v>327.760009765625</v>
      </c>
      <c r="F809" t="n">
        <v>28.93390846252441</v>
      </c>
      <c r="G809" t="n">
        <v>73.25666046142578</v>
      </c>
      <c r="H809">
        <f>AVERAGE(D610:D809)</f>
        <v/>
      </c>
      <c r="I809">
        <f>AVERAGE(E610:E809)</f>
        <v/>
      </c>
      <c r="J809">
        <f>AVERAGE(F610:F809)</f>
        <v/>
      </c>
    </row>
    <row r="810">
      <c r="C810" s="539" t="n">
        <v>40623</v>
      </c>
      <c r="D810" t="n">
        <v>139.1399993896484</v>
      </c>
      <c r="E810" t="n">
        <v>329.0400085449219</v>
      </c>
      <c r="F810" t="n">
        <v>29.14021110534668</v>
      </c>
      <c r="G810" t="n">
        <v>73.25666046142578</v>
      </c>
      <c r="H810">
        <f>AVERAGE(D611:D810)</f>
        <v/>
      </c>
      <c r="I810">
        <f>AVERAGE(E611:E810)</f>
        <v/>
      </c>
      <c r="J810">
        <f>AVERAGE(F611:F810)</f>
        <v/>
      </c>
    </row>
    <row r="811">
      <c r="C811" s="539" t="n">
        <v>40624</v>
      </c>
      <c r="D811" t="n">
        <v>139.0500030517578</v>
      </c>
      <c r="E811" t="n">
        <v>335.4400024414062</v>
      </c>
      <c r="F811" t="n">
        <v>29.18318748474121</v>
      </c>
      <c r="G811" t="n">
        <v>73.22470092773438</v>
      </c>
      <c r="H811">
        <f>AVERAGE(D612:D811)</f>
        <v/>
      </c>
      <c r="I811">
        <f>AVERAGE(E612:E811)</f>
        <v/>
      </c>
      <c r="J811">
        <f>AVERAGE(F612:F811)</f>
        <v/>
      </c>
    </row>
    <row r="812">
      <c r="C812" s="539" t="n">
        <v>40625</v>
      </c>
      <c r="D812" t="n">
        <v>140.3399963378906</v>
      </c>
      <c r="E812" t="n">
        <v>336.8800048828125</v>
      </c>
      <c r="F812" t="n">
        <v>28.8823299407959</v>
      </c>
      <c r="G812" t="n">
        <v>73.24070739746094</v>
      </c>
      <c r="H812">
        <f>AVERAGE(D613:D812)</f>
        <v/>
      </c>
      <c r="I812">
        <f>AVERAGE(E613:E812)</f>
        <v/>
      </c>
      <c r="J812">
        <f>AVERAGE(F613:F812)</f>
        <v/>
      </c>
    </row>
    <row r="813">
      <c r="C813" s="539" t="n">
        <v>40626</v>
      </c>
      <c r="D813" t="n">
        <v>139.2200012207031</v>
      </c>
      <c r="E813" t="n">
        <v>336.3999938964844</v>
      </c>
      <c r="F813" t="n">
        <v>29.16599655151367</v>
      </c>
      <c r="G813" t="n">
        <v>73.22470092773438</v>
      </c>
      <c r="H813">
        <f>AVERAGE(D614:D813)</f>
        <v/>
      </c>
      <c r="I813">
        <f>AVERAGE(E614:E813)</f>
        <v/>
      </c>
      <c r="J813">
        <f>AVERAGE(F614:F813)</f>
        <v/>
      </c>
    </row>
    <row r="814">
      <c r="C814" s="539" t="n">
        <v>40627</v>
      </c>
      <c r="D814" t="n">
        <v>139.2599945068359</v>
      </c>
      <c r="E814" t="n">
        <v>337.4400024414062</v>
      </c>
      <c r="F814" t="n">
        <v>29.35511016845703</v>
      </c>
      <c r="G814" t="n">
        <v>73.22470092773438</v>
      </c>
      <c r="H814">
        <f>AVERAGE(D615:D814)</f>
        <v/>
      </c>
      <c r="I814">
        <f>AVERAGE(E615:E814)</f>
        <v/>
      </c>
      <c r="J814">
        <f>AVERAGE(F615:F814)</f>
        <v/>
      </c>
    </row>
    <row r="815">
      <c r="C815" s="539" t="n">
        <v>40630</v>
      </c>
      <c r="D815" t="n">
        <v>138.5399932861328</v>
      </c>
      <c r="E815" t="n">
        <v>331.3599853515625</v>
      </c>
      <c r="F815" t="n">
        <v>29.04565811157227</v>
      </c>
      <c r="G815" t="n">
        <v>73.24070739746094</v>
      </c>
      <c r="H815">
        <f>AVERAGE(D616:D815)</f>
        <v/>
      </c>
      <c r="I815">
        <f>AVERAGE(E616:E815)</f>
        <v/>
      </c>
      <c r="J815">
        <f>AVERAGE(F616:F815)</f>
        <v/>
      </c>
    </row>
    <row r="816">
      <c r="C816" s="539" t="n">
        <v>40631</v>
      </c>
      <c r="D816" t="n">
        <v>138.2100067138672</v>
      </c>
      <c r="E816" t="n">
        <v>334.6400146484375</v>
      </c>
      <c r="F816" t="n">
        <v>29.00267791748047</v>
      </c>
      <c r="G816" t="n">
        <v>73.22470092773438</v>
      </c>
      <c r="H816">
        <f>AVERAGE(D617:D816)</f>
        <v/>
      </c>
      <c r="I816">
        <f>AVERAGE(E617:E816)</f>
        <v/>
      </c>
      <c r="J816">
        <f>AVERAGE(F617:F816)</f>
        <v/>
      </c>
    </row>
    <row r="817">
      <c r="C817" s="539" t="n">
        <v>40632</v>
      </c>
      <c r="D817" t="n">
        <v>138.6699981689453</v>
      </c>
      <c r="E817" t="n">
        <v>333.2799987792969</v>
      </c>
      <c r="F817" t="n">
        <v>28.93390846252441</v>
      </c>
      <c r="G817" t="n">
        <v>73.24070739746094</v>
      </c>
      <c r="H817">
        <f>AVERAGE(D618:D817)</f>
        <v/>
      </c>
      <c r="I817">
        <f>AVERAGE(E618:E817)</f>
        <v/>
      </c>
      <c r="J817">
        <f>AVERAGE(F618:F817)</f>
        <v/>
      </c>
    </row>
    <row r="818">
      <c r="C818" s="539" t="n">
        <v>40633</v>
      </c>
      <c r="D818" t="n">
        <v>139.8600006103516</v>
      </c>
      <c r="E818" t="n">
        <v>340.7999877929688</v>
      </c>
      <c r="F818" t="n">
        <v>29.42387771606445</v>
      </c>
      <c r="G818" t="n">
        <v>73.22470092773438</v>
      </c>
      <c r="H818">
        <f>AVERAGE(D619:D818)</f>
        <v/>
      </c>
      <c r="I818">
        <f>AVERAGE(E619:E818)</f>
        <v/>
      </c>
      <c r="J818">
        <f>AVERAGE(F619:F818)</f>
        <v/>
      </c>
    </row>
    <row r="819">
      <c r="C819" s="539" t="n">
        <v>40634</v>
      </c>
      <c r="D819" t="n">
        <v>139.1999969482422</v>
      </c>
      <c r="E819" t="n">
        <v>345.3599853515625</v>
      </c>
      <c r="F819" t="n">
        <v>29.50983810424805</v>
      </c>
      <c r="G819" t="n">
        <v>73.22470092773438</v>
      </c>
      <c r="H819">
        <f>AVERAGE(D620:D819)</f>
        <v/>
      </c>
      <c r="I819">
        <f>AVERAGE(E620:E819)</f>
        <v/>
      </c>
      <c r="J819">
        <f>AVERAGE(F620:F819)</f>
        <v/>
      </c>
    </row>
    <row r="820">
      <c r="C820" s="539" t="n">
        <v>40637</v>
      </c>
      <c r="D820" t="n">
        <v>139.8399963378906</v>
      </c>
      <c r="E820" t="n">
        <v>346.0799865722656</v>
      </c>
      <c r="F820" t="n">
        <v>29.67315864562988</v>
      </c>
      <c r="G820" t="n">
        <v>73.22470092773438</v>
      </c>
      <c r="H820">
        <f>AVERAGE(D621:D820)</f>
        <v/>
      </c>
      <c r="I820">
        <f>AVERAGE(E621:E820)</f>
        <v/>
      </c>
      <c r="J820">
        <f>AVERAGE(F621:F820)</f>
        <v/>
      </c>
    </row>
    <row r="821">
      <c r="C821" s="539" t="n">
        <v>40638</v>
      </c>
      <c r="D821" t="n">
        <v>142.0500030517578</v>
      </c>
      <c r="E821" t="n">
        <v>344.7999877929688</v>
      </c>
      <c r="F821" t="n">
        <v>29.69035148620605</v>
      </c>
      <c r="G821" t="n">
        <v>73.22470092773438</v>
      </c>
      <c r="H821">
        <f>AVERAGE(D622:D821)</f>
        <v/>
      </c>
      <c r="I821">
        <f>AVERAGE(E622:E821)</f>
        <v/>
      </c>
      <c r="J821">
        <f>AVERAGE(F622:F821)</f>
        <v/>
      </c>
    </row>
    <row r="822">
      <c r="C822" s="539" t="n">
        <v>40639</v>
      </c>
      <c r="D822" t="n">
        <v>142.3800048828125</v>
      </c>
      <c r="E822" t="n">
        <v>346.9599914550781</v>
      </c>
      <c r="F822" t="n">
        <v>29.49264717102051</v>
      </c>
      <c r="G822" t="n">
        <v>73.22470092773438</v>
      </c>
      <c r="H822">
        <f>AVERAGE(D623:D822)</f>
        <v/>
      </c>
      <c r="I822">
        <f>AVERAGE(E623:E822)</f>
        <v/>
      </c>
      <c r="J822">
        <f>AVERAGE(F623:F822)</f>
        <v/>
      </c>
    </row>
    <row r="823">
      <c r="C823" s="539" t="n">
        <v>40640</v>
      </c>
      <c r="D823" t="n">
        <v>142.5099945068359</v>
      </c>
      <c r="E823" t="n">
        <v>351.9200134277344</v>
      </c>
      <c r="F823" t="n">
        <v>29.45826148986816</v>
      </c>
      <c r="G823" t="n">
        <v>73.24070739746094</v>
      </c>
      <c r="H823">
        <f>AVERAGE(D624:D823)</f>
        <v/>
      </c>
      <c r="I823">
        <f>AVERAGE(E624:E823)</f>
        <v/>
      </c>
      <c r="J823">
        <f>AVERAGE(F624:F823)</f>
        <v/>
      </c>
    </row>
    <row r="824">
      <c r="C824" s="539" t="n">
        <v>40641</v>
      </c>
      <c r="D824" t="n">
        <v>143.6600036621094</v>
      </c>
      <c r="E824" t="n">
        <v>361.2000122070312</v>
      </c>
      <c r="F824" t="n">
        <v>29.57000732421875</v>
      </c>
      <c r="G824" t="n">
        <v>73.22470092773438</v>
      </c>
      <c r="H824">
        <f>AVERAGE(D625:D824)</f>
        <v/>
      </c>
      <c r="I824">
        <f>AVERAGE(E625:E824)</f>
        <v/>
      </c>
      <c r="J824">
        <f>AVERAGE(F625:F824)</f>
        <v/>
      </c>
    </row>
    <row r="825">
      <c r="C825" s="539" t="n">
        <v>40644</v>
      </c>
      <c r="D825" t="n">
        <v>142.6399993896484</v>
      </c>
      <c r="E825" t="n">
        <v>349.1199951171875</v>
      </c>
      <c r="F825" t="n">
        <v>29.44106674194336</v>
      </c>
      <c r="G825" t="n">
        <v>73.22470092773438</v>
      </c>
      <c r="H825">
        <f>AVERAGE(D626:D825)</f>
        <v/>
      </c>
      <c r="I825">
        <f>AVERAGE(E626:E825)</f>
        <v/>
      </c>
      <c r="J825">
        <f>AVERAGE(F626:F825)</f>
        <v/>
      </c>
    </row>
    <row r="826">
      <c r="C826" s="539" t="n">
        <v>40645</v>
      </c>
      <c r="D826" t="n">
        <v>141.6100006103516</v>
      </c>
      <c r="E826" t="n">
        <v>338.3999938964844</v>
      </c>
      <c r="F826" t="n">
        <v>28.99407768249512</v>
      </c>
      <c r="G826" t="n">
        <v>73.24070739746094</v>
      </c>
      <c r="H826">
        <f>AVERAGE(D627:D826)</f>
        <v/>
      </c>
      <c r="I826">
        <f>AVERAGE(E627:E826)</f>
        <v/>
      </c>
      <c r="J826">
        <f>AVERAGE(F627:F826)</f>
        <v/>
      </c>
    </row>
    <row r="827">
      <c r="C827" s="539" t="n">
        <v>40646</v>
      </c>
      <c r="D827" t="n">
        <v>141.8999938964844</v>
      </c>
      <c r="E827" t="n">
        <v>342</v>
      </c>
      <c r="F827" t="n">
        <v>29.15740203857422</v>
      </c>
      <c r="G827" t="n">
        <v>73.24070739746094</v>
      </c>
      <c r="H827">
        <f>AVERAGE(D628:D827)</f>
        <v/>
      </c>
      <c r="I827">
        <f>AVERAGE(E628:E827)</f>
        <v/>
      </c>
      <c r="J827">
        <f>AVERAGE(F628:F827)</f>
        <v/>
      </c>
    </row>
    <row r="828">
      <c r="C828" s="539" t="n">
        <v>40647</v>
      </c>
      <c r="D828" t="n">
        <v>143.8099975585938</v>
      </c>
      <c r="E828" t="n">
        <v>346.239990234375</v>
      </c>
      <c r="F828" t="n">
        <v>29.21757698059082</v>
      </c>
      <c r="G828" t="n">
        <v>73.22470092773438</v>
      </c>
      <c r="H828">
        <f>AVERAGE(D629:D828)</f>
        <v/>
      </c>
      <c r="I828">
        <f>AVERAGE(E629:E828)</f>
        <v/>
      </c>
      <c r="J828">
        <f>AVERAGE(F629:F828)</f>
        <v/>
      </c>
    </row>
    <row r="829">
      <c r="C829" s="539" t="n">
        <v>40648</v>
      </c>
      <c r="D829" t="n">
        <v>145.0500030517578</v>
      </c>
      <c r="E829" t="n">
        <v>349.6799926757812</v>
      </c>
      <c r="F829" t="n">
        <v>29.13161277770996</v>
      </c>
      <c r="G829" t="n">
        <v>73.24070739746094</v>
      </c>
      <c r="H829">
        <f>AVERAGE(D630:D829)</f>
        <v/>
      </c>
      <c r="I829">
        <f>AVERAGE(E630:E829)</f>
        <v/>
      </c>
      <c r="J829">
        <f>AVERAGE(F630:F829)</f>
        <v/>
      </c>
    </row>
    <row r="830">
      <c r="C830" s="539" t="n">
        <v>40651</v>
      </c>
      <c r="D830" t="n">
        <v>145.9299926757812</v>
      </c>
      <c r="E830" t="n">
        <v>343.0400085449219</v>
      </c>
      <c r="F830" t="n">
        <v>29.21757698059082</v>
      </c>
      <c r="G830" t="n">
        <v>73.22470092773438</v>
      </c>
      <c r="H830">
        <f>AVERAGE(D631:D830)</f>
        <v/>
      </c>
      <c r="I830">
        <f>AVERAGE(E631:E830)</f>
        <v/>
      </c>
      <c r="J830">
        <f>AVERAGE(F631:F830)</f>
        <v/>
      </c>
    </row>
    <row r="831">
      <c r="C831" s="539" t="n">
        <v>40652</v>
      </c>
      <c r="D831" t="n">
        <v>145.9299926757812</v>
      </c>
      <c r="E831" t="n">
        <v>343.6000061035156</v>
      </c>
      <c r="F831" t="n">
        <v>29.50123977661133</v>
      </c>
      <c r="G831" t="n">
        <v>73.22470092773438</v>
      </c>
      <c r="H831">
        <f>AVERAGE(D632:D831)</f>
        <v/>
      </c>
      <c r="I831">
        <f>AVERAGE(E632:E831)</f>
        <v/>
      </c>
      <c r="J831">
        <f>AVERAGE(F632:F831)</f>
        <v/>
      </c>
    </row>
    <row r="832">
      <c r="C832" s="539" t="n">
        <v>40653</v>
      </c>
      <c r="D832" t="n">
        <v>146.5</v>
      </c>
      <c r="E832" t="n">
        <v>353.760009765625</v>
      </c>
      <c r="F832" t="n">
        <v>29.50983810424805</v>
      </c>
      <c r="G832" t="n">
        <v>73.22470092773438</v>
      </c>
      <c r="H832">
        <f>AVERAGE(D633:D832)</f>
        <v/>
      </c>
      <c r="I832">
        <f>AVERAGE(E633:E832)</f>
        <v/>
      </c>
      <c r="J832">
        <f>AVERAGE(F633:F832)</f>
        <v/>
      </c>
    </row>
    <row r="833">
      <c r="C833" s="539" t="n">
        <v>40654</v>
      </c>
      <c r="D833" t="n">
        <v>146.7400054931641</v>
      </c>
      <c r="E833" t="n">
        <v>356.5599975585938</v>
      </c>
      <c r="F833" t="n">
        <v>29.58719635009766</v>
      </c>
      <c r="G833" t="n">
        <v>73.22470092773438</v>
      </c>
      <c r="H833">
        <f>AVERAGE(D634:D833)</f>
        <v/>
      </c>
      <c r="I833">
        <f>AVERAGE(E634:E833)</f>
        <v/>
      </c>
      <c r="J833">
        <f>AVERAGE(F634:F833)</f>
        <v/>
      </c>
    </row>
    <row r="834">
      <c r="C834" s="539" t="n">
        <v>40658</v>
      </c>
      <c r="D834" t="n">
        <v>146.8699951171875</v>
      </c>
      <c r="E834" t="n">
        <v>356.239990234375</v>
      </c>
      <c r="F834" t="n">
        <v>29.44966316223145</v>
      </c>
      <c r="G834" t="n">
        <v>73.22470092773438</v>
      </c>
      <c r="H834">
        <f>AVERAGE(D635:D834)</f>
        <v/>
      </c>
      <c r="I834">
        <f>AVERAGE(E635:E834)</f>
        <v/>
      </c>
      <c r="J834">
        <f>AVERAGE(F635:F834)</f>
        <v/>
      </c>
    </row>
    <row r="835">
      <c r="C835" s="539" t="n">
        <v>40659</v>
      </c>
      <c r="D835" t="n">
        <v>146.3800048828125</v>
      </c>
      <c r="E835" t="n">
        <v>355.8399963378906</v>
      </c>
      <c r="F835" t="n">
        <v>29.34651565551758</v>
      </c>
      <c r="G835" t="n">
        <v>73.22470092773438</v>
      </c>
      <c r="H835">
        <f>AVERAGE(D636:D835)</f>
        <v/>
      </c>
      <c r="I835">
        <f>AVERAGE(E636:E835)</f>
        <v/>
      </c>
      <c r="J835">
        <f>AVERAGE(F636:F835)</f>
        <v/>
      </c>
    </row>
    <row r="836">
      <c r="C836" s="539" t="n">
        <v>40660</v>
      </c>
      <c r="D836" t="n">
        <v>149.1999969482422</v>
      </c>
      <c r="E836" t="n">
        <v>360.1600036621094</v>
      </c>
      <c r="F836" t="n">
        <v>29.30353164672852</v>
      </c>
      <c r="G836" t="n">
        <v>73.22470092773438</v>
      </c>
      <c r="H836">
        <f>AVERAGE(D637:D836)</f>
        <v/>
      </c>
      <c r="I836">
        <f>AVERAGE(E637:E836)</f>
        <v/>
      </c>
      <c r="J836">
        <f>AVERAGE(F637:F836)</f>
        <v/>
      </c>
    </row>
    <row r="837">
      <c r="C837" s="539" t="n">
        <v>40661</v>
      </c>
      <c r="D837" t="n">
        <v>149.8200073242188</v>
      </c>
      <c r="E837" t="n">
        <v>358.6400146484375</v>
      </c>
      <c r="F837" t="n">
        <v>28.96829223632812</v>
      </c>
      <c r="G837" t="n">
        <v>73.22470092773438</v>
      </c>
      <c r="H837">
        <f>AVERAGE(D638:D837)</f>
        <v/>
      </c>
      <c r="I837">
        <f>AVERAGE(E638:E837)</f>
        <v/>
      </c>
      <c r="J837">
        <f>AVERAGE(F638:F837)</f>
        <v/>
      </c>
    </row>
    <row r="838">
      <c r="C838" s="539" t="n">
        <v>40662</v>
      </c>
      <c r="D838" t="n">
        <v>152.3699951171875</v>
      </c>
      <c r="E838" t="n">
        <v>361.2000122070312</v>
      </c>
      <c r="F838" t="n">
        <v>29.27774810791016</v>
      </c>
      <c r="G838" t="n">
        <v>73.22470092773438</v>
      </c>
      <c r="H838">
        <f>AVERAGE(D639:D838)</f>
        <v/>
      </c>
      <c r="I838">
        <f>AVERAGE(E639:E838)</f>
        <v/>
      </c>
      <c r="J838">
        <f>AVERAGE(F639:F838)</f>
        <v/>
      </c>
    </row>
    <row r="839">
      <c r="C839" s="539" t="n">
        <v>40665</v>
      </c>
      <c r="D839" t="n">
        <v>150.4100036621094</v>
      </c>
      <c r="E839" t="n">
        <v>359.4400024414062</v>
      </c>
      <c r="F839" t="n">
        <v>29.14021110534668</v>
      </c>
      <c r="G839" t="n">
        <v>73.22470092773438</v>
      </c>
      <c r="H839">
        <f>AVERAGE(D640:D839)</f>
        <v/>
      </c>
      <c r="I839">
        <f>AVERAGE(E640:E839)</f>
        <v/>
      </c>
      <c r="J839">
        <f>AVERAGE(F640:F839)</f>
        <v/>
      </c>
    </row>
    <row r="840">
      <c r="C840" s="539" t="n">
        <v>40666</v>
      </c>
      <c r="D840" t="n">
        <v>149.8800048828125</v>
      </c>
      <c r="E840" t="n">
        <v>352.6400146484375</v>
      </c>
      <c r="F840" t="n">
        <v>28.9854850769043</v>
      </c>
      <c r="G840" t="n">
        <v>73.22470092773438</v>
      </c>
      <c r="H840">
        <f>AVERAGE(D641:D840)</f>
        <v/>
      </c>
      <c r="I840">
        <f>AVERAGE(E641:E840)</f>
        <v/>
      </c>
      <c r="J840">
        <f>AVERAGE(F641:F840)</f>
        <v/>
      </c>
    </row>
    <row r="841">
      <c r="C841" s="539" t="n">
        <v>40667</v>
      </c>
      <c r="D841" t="n">
        <v>147.7299957275391</v>
      </c>
      <c r="E841" t="n">
        <v>346.0799865722656</v>
      </c>
      <c r="F841" t="n">
        <v>28.52130508422852</v>
      </c>
      <c r="G841" t="n">
        <v>73.25666046142578</v>
      </c>
      <c r="H841">
        <f>AVERAGE(D642:D841)</f>
        <v/>
      </c>
      <c r="I841">
        <f>AVERAGE(E642:E841)</f>
        <v/>
      </c>
      <c r="J841">
        <f>AVERAGE(F642:F841)</f>
        <v/>
      </c>
    </row>
    <row r="842">
      <c r="C842" s="539" t="n">
        <v>40668</v>
      </c>
      <c r="D842" t="n">
        <v>143.4700012207031</v>
      </c>
      <c r="E842" t="n">
        <v>314.5599975585938</v>
      </c>
      <c r="F842" t="n">
        <v>27.83362770080566</v>
      </c>
      <c r="G842" t="n">
        <v>73.25666046142578</v>
      </c>
      <c r="H842">
        <f>AVERAGE(D643:D842)</f>
        <v/>
      </c>
      <c r="I842">
        <f>AVERAGE(E643:E842)</f>
        <v/>
      </c>
      <c r="J842">
        <f>AVERAGE(F643:F842)</f>
        <v/>
      </c>
    </row>
    <row r="843">
      <c r="C843" s="539" t="n">
        <v>40669</v>
      </c>
      <c r="D843" t="n">
        <v>145.3000030517578</v>
      </c>
      <c r="E843" t="n">
        <v>310.9599914550781</v>
      </c>
      <c r="F843" t="n">
        <v>27.86801147460938</v>
      </c>
      <c r="G843" t="n">
        <v>73.25666046142578</v>
      </c>
      <c r="H843">
        <f>AVERAGE(D644:D843)</f>
        <v/>
      </c>
      <c r="I843">
        <f>AVERAGE(E644:E843)</f>
        <v/>
      </c>
      <c r="J843">
        <f>AVERAGE(F644:F843)</f>
        <v/>
      </c>
    </row>
    <row r="844">
      <c r="C844" s="539" t="n">
        <v>40672</v>
      </c>
      <c r="D844" t="n">
        <v>147.3800048828125</v>
      </c>
      <c r="E844" t="n">
        <v>326.9599914550781</v>
      </c>
      <c r="F844" t="n">
        <v>28.31499862670898</v>
      </c>
      <c r="G844" t="n">
        <v>73.25666046142578</v>
      </c>
      <c r="H844">
        <f>AVERAGE(D645:D844)</f>
        <v/>
      </c>
      <c r="I844">
        <f>AVERAGE(E645:E844)</f>
        <v/>
      </c>
      <c r="J844">
        <f>AVERAGE(F645:F844)</f>
        <v/>
      </c>
    </row>
    <row r="845">
      <c r="C845" s="539" t="n">
        <v>40673</v>
      </c>
      <c r="D845" t="n">
        <v>147.8999938964844</v>
      </c>
      <c r="E845" t="n">
        <v>328.6400146484375</v>
      </c>
      <c r="F845" t="n">
        <v>28.44394111633301</v>
      </c>
      <c r="G845" t="n">
        <v>73.25666046142578</v>
      </c>
      <c r="H845">
        <f>AVERAGE(D646:D845)</f>
        <v/>
      </c>
      <c r="I845">
        <f>AVERAGE(E646:E845)</f>
        <v/>
      </c>
      <c r="J845">
        <f>AVERAGE(F646:F845)</f>
        <v/>
      </c>
    </row>
    <row r="846">
      <c r="C846" s="539" t="n">
        <v>40674</v>
      </c>
      <c r="D846" t="n">
        <v>146.5399932861328</v>
      </c>
      <c r="E846" t="n">
        <v>314.7999877929688</v>
      </c>
      <c r="F846" t="n">
        <v>27.85941696166992</v>
      </c>
      <c r="G846" t="n">
        <v>73.25666046142578</v>
      </c>
      <c r="H846">
        <f>AVERAGE(D647:D846)</f>
        <v/>
      </c>
      <c r="I846">
        <f>AVERAGE(E647:E846)</f>
        <v/>
      </c>
      <c r="J846">
        <f>AVERAGE(F647:F846)</f>
        <v/>
      </c>
    </row>
    <row r="847">
      <c r="C847" s="539" t="n">
        <v>40675</v>
      </c>
      <c r="D847" t="n">
        <v>146.5899963378906</v>
      </c>
      <c r="E847" t="n">
        <v>314.239990234375</v>
      </c>
      <c r="F847" t="n">
        <v>27.88520240783691</v>
      </c>
      <c r="G847" t="n">
        <v>73.25666046142578</v>
      </c>
      <c r="H847">
        <f>AVERAGE(D648:D847)</f>
        <v/>
      </c>
      <c r="I847">
        <f>AVERAGE(E648:E847)</f>
        <v/>
      </c>
      <c r="J847">
        <f>AVERAGE(F648:F847)</f>
        <v/>
      </c>
    </row>
    <row r="848">
      <c r="C848" s="539" t="n">
        <v>40676</v>
      </c>
      <c r="D848" t="n">
        <v>145.6300048828125</v>
      </c>
      <c r="E848" t="n">
        <v>315.5199890136719</v>
      </c>
      <c r="F848" t="n">
        <v>27.6273250579834</v>
      </c>
      <c r="G848" t="n">
        <v>73.24070739746094</v>
      </c>
      <c r="H848">
        <f>AVERAGE(D649:D848)</f>
        <v/>
      </c>
      <c r="I848">
        <f>AVERAGE(E649:E848)</f>
        <v/>
      </c>
      <c r="J848">
        <f>AVERAGE(F649:F848)</f>
        <v/>
      </c>
    </row>
    <row r="849">
      <c r="C849" s="539" t="n">
        <v>40679</v>
      </c>
      <c r="D849" t="n">
        <v>145.3699951171875</v>
      </c>
      <c r="E849" t="n">
        <v>308.0799865722656</v>
      </c>
      <c r="F849" t="n">
        <v>27.54136848449707</v>
      </c>
      <c r="G849" t="n">
        <v>73.24070739746094</v>
      </c>
      <c r="H849">
        <f>AVERAGE(D650:D849)</f>
        <v/>
      </c>
      <c r="I849">
        <f>AVERAGE(E650:E849)</f>
        <v/>
      </c>
      <c r="J849">
        <f>AVERAGE(F650:F849)</f>
        <v/>
      </c>
    </row>
    <row r="850">
      <c r="C850" s="539" t="n">
        <v>40680</v>
      </c>
      <c r="D850" t="n">
        <v>144.7400054931641</v>
      </c>
      <c r="E850" t="n">
        <v>308.3999938964844</v>
      </c>
      <c r="F850" t="n">
        <v>27.893798828125</v>
      </c>
      <c r="G850" t="n">
        <v>73.24070739746094</v>
      </c>
      <c r="H850">
        <f>AVERAGE(D651:D850)</f>
        <v/>
      </c>
      <c r="I850">
        <f>AVERAGE(E651:E850)</f>
        <v/>
      </c>
      <c r="J850">
        <f>AVERAGE(F651:F850)</f>
        <v/>
      </c>
    </row>
    <row r="851">
      <c r="C851" s="539" t="n">
        <v>40681</v>
      </c>
      <c r="D851" t="n">
        <v>145.6000061035156</v>
      </c>
      <c r="E851" t="n">
        <v>316</v>
      </c>
      <c r="F851" t="n">
        <v>28.42675018310547</v>
      </c>
      <c r="G851" t="n">
        <v>73.22470092773438</v>
      </c>
      <c r="H851">
        <f>AVERAGE(D652:D851)</f>
        <v/>
      </c>
      <c r="I851">
        <f>AVERAGE(E652:E851)</f>
        <v/>
      </c>
      <c r="J851">
        <f>AVERAGE(F652:F851)</f>
        <v/>
      </c>
    </row>
    <row r="852">
      <c r="C852" s="539" t="n">
        <v>40682</v>
      </c>
      <c r="D852" t="n">
        <v>145.6499938964844</v>
      </c>
      <c r="E852" t="n">
        <v>312.5599975585938</v>
      </c>
      <c r="F852" t="n">
        <v>28.09150695800781</v>
      </c>
      <c r="G852" t="n">
        <v>73.25666046142578</v>
      </c>
      <c r="H852">
        <f>AVERAGE(D653:D852)</f>
        <v/>
      </c>
      <c r="I852">
        <f>AVERAGE(E653:E852)</f>
        <v/>
      </c>
      <c r="J852">
        <f>AVERAGE(F653:F852)</f>
        <v/>
      </c>
    </row>
    <row r="853">
      <c r="C853" s="539" t="n">
        <v>40683</v>
      </c>
      <c r="D853" t="n">
        <v>147.4900054931641</v>
      </c>
      <c r="E853" t="n">
        <v>315.760009765625</v>
      </c>
      <c r="F853" t="n">
        <v>27.94537353515625</v>
      </c>
      <c r="G853" t="n">
        <v>73.24070739746094</v>
      </c>
      <c r="H853">
        <f>AVERAGE(D654:D853)</f>
        <v/>
      </c>
      <c r="I853">
        <f>AVERAGE(E654:E853)</f>
        <v/>
      </c>
      <c r="J853">
        <f>AVERAGE(F654:F853)</f>
        <v/>
      </c>
    </row>
    <row r="854">
      <c r="C854" s="539" t="n">
        <v>40686</v>
      </c>
      <c r="D854" t="n">
        <v>147.8300018310547</v>
      </c>
      <c r="E854" t="n">
        <v>307.760009765625</v>
      </c>
      <c r="F854" t="n">
        <v>27.6273250579834</v>
      </c>
      <c r="G854" t="n">
        <v>73.24070739746094</v>
      </c>
      <c r="H854">
        <f>AVERAGE(D655:D854)</f>
        <v/>
      </c>
      <c r="I854">
        <f>AVERAGE(E655:E854)</f>
        <v/>
      </c>
      <c r="J854">
        <f>AVERAGE(F655:F854)</f>
        <v/>
      </c>
    </row>
    <row r="855">
      <c r="C855" s="539" t="n">
        <v>40687</v>
      </c>
      <c r="D855" t="n">
        <v>148.5899963378906</v>
      </c>
      <c r="E855" t="n">
        <v>314.239990234375</v>
      </c>
      <c r="F855" t="n">
        <v>27.61013412475586</v>
      </c>
      <c r="G855" t="n">
        <v>73.24070739746094</v>
      </c>
      <c r="H855">
        <f>AVERAGE(D656:D855)</f>
        <v/>
      </c>
      <c r="I855">
        <f>AVERAGE(E656:E855)</f>
        <v/>
      </c>
      <c r="J855">
        <f>AVERAGE(F656:F855)</f>
        <v/>
      </c>
    </row>
    <row r="856">
      <c r="C856" s="539" t="n">
        <v>40688</v>
      </c>
      <c r="D856" t="n">
        <v>148.5800018310547</v>
      </c>
      <c r="E856" t="n">
        <v>319.4400024414062</v>
      </c>
      <c r="F856" t="n">
        <v>28.02273941040039</v>
      </c>
      <c r="G856" t="n">
        <v>73.24070739746094</v>
      </c>
      <c r="H856">
        <f>AVERAGE(D657:D856)</f>
        <v/>
      </c>
      <c r="I856">
        <f>AVERAGE(E657:E856)</f>
        <v/>
      </c>
      <c r="J856">
        <f>AVERAGE(F657:F856)</f>
        <v/>
      </c>
    </row>
    <row r="857">
      <c r="C857" s="539" t="n">
        <v>40689</v>
      </c>
      <c r="D857" t="n">
        <v>148.2200012207031</v>
      </c>
      <c r="E857" t="n">
        <v>316.7999877929688</v>
      </c>
      <c r="F857" t="n">
        <v>28.19465637207031</v>
      </c>
      <c r="G857" t="n">
        <v>73.24070739746094</v>
      </c>
      <c r="H857">
        <f>AVERAGE(D658:D857)</f>
        <v/>
      </c>
      <c r="I857">
        <f>AVERAGE(E658:E857)</f>
        <v/>
      </c>
      <c r="J857">
        <f>AVERAGE(F658:F857)</f>
        <v/>
      </c>
    </row>
    <row r="858">
      <c r="C858" s="539" t="n">
        <v>40690</v>
      </c>
      <c r="D858" t="n">
        <v>149.6999969482422</v>
      </c>
      <c r="E858" t="n">
        <v>317.6799926757812</v>
      </c>
      <c r="F858" t="n">
        <v>28.2204475402832</v>
      </c>
      <c r="G858" t="n">
        <v>73.24070739746094</v>
      </c>
      <c r="H858">
        <f>AVERAGE(D659:D858)</f>
        <v/>
      </c>
      <c r="I858">
        <f>AVERAGE(E659:E858)</f>
        <v/>
      </c>
      <c r="J858">
        <f>AVERAGE(F659:F858)</f>
        <v/>
      </c>
    </row>
    <row r="859">
      <c r="C859" s="539" t="n">
        <v>40694</v>
      </c>
      <c r="D859" t="n">
        <v>149.6399993896484</v>
      </c>
      <c r="E859" t="n">
        <v>324</v>
      </c>
      <c r="F859" t="n">
        <v>28.13448715209961</v>
      </c>
      <c r="G859" t="n">
        <v>73.24070739746094</v>
      </c>
      <c r="H859">
        <f>AVERAGE(D660:D859)</f>
        <v/>
      </c>
      <c r="I859">
        <f>AVERAGE(E660:E859)</f>
        <v/>
      </c>
      <c r="J859">
        <f>AVERAGE(F660:F859)</f>
        <v/>
      </c>
    </row>
    <row r="860">
      <c r="C860" s="539" t="n">
        <v>40695</v>
      </c>
      <c r="D860" t="n">
        <v>149.9100036621094</v>
      </c>
      <c r="E860" t="n">
        <v>316.1600036621094</v>
      </c>
      <c r="F860" t="n">
        <v>27.75626564025879</v>
      </c>
      <c r="G860" t="n">
        <v>73.22470092773438</v>
      </c>
      <c r="H860">
        <f>AVERAGE(D661:D860)</f>
        <v/>
      </c>
      <c r="I860">
        <f>AVERAGE(E661:E860)</f>
        <v/>
      </c>
      <c r="J860">
        <f>AVERAGE(F661:F860)</f>
        <v/>
      </c>
    </row>
    <row r="861">
      <c r="C861" s="539" t="n">
        <v>40696</v>
      </c>
      <c r="D861" t="n">
        <v>149.5</v>
      </c>
      <c r="E861" t="n">
        <v>317.4400024414062</v>
      </c>
      <c r="F861" t="n">
        <v>28.16887092590332</v>
      </c>
      <c r="G861" t="n">
        <v>73.22470092773438</v>
      </c>
      <c r="H861">
        <f>AVERAGE(D662:D861)</f>
        <v/>
      </c>
      <c r="I861">
        <f>AVERAGE(E662:E861)</f>
        <v/>
      </c>
      <c r="J861">
        <f>AVERAGE(F662:F861)</f>
        <v/>
      </c>
    </row>
    <row r="862">
      <c r="C862" s="539" t="n">
        <v>40697</v>
      </c>
      <c r="D862" t="n">
        <v>150.2200012207031</v>
      </c>
      <c r="E862" t="n">
        <v>317.2799987792969</v>
      </c>
      <c r="F862" t="n">
        <v>28.31499862670898</v>
      </c>
      <c r="G862" t="n">
        <v>73.22470092773438</v>
      </c>
      <c r="H862">
        <f>AVERAGE(D663:D862)</f>
        <v/>
      </c>
      <c r="I862">
        <f>AVERAGE(E663:E862)</f>
        <v/>
      </c>
      <c r="J862">
        <f>AVERAGE(F663:F862)</f>
        <v/>
      </c>
    </row>
    <row r="863">
      <c r="C863" s="539" t="n">
        <v>40700</v>
      </c>
      <c r="D863" t="n">
        <v>150.4799957275391</v>
      </c>
      <c r="E863" t="n">
        <v>312</v>
      </c>
      <c r="F863" t="n">
        <v>27.73047637939453</v>
      </c>
      <c r="G863" t="n">
        <v>73.22470092773438</v>
      </c>
      <c r="H863">
        <f>AVERAGE(D664:D863)</f>
        <v/>
      </c>
      <c r="I863">
        <f>AVERAGE(E664:E863)</f>
        <v/>
      </c>
      <c r="J863">
        <f>AVERAGE(F664:F863)</f>
        <v/>
      </c>
    </row>
    <row r="864">
      <c r="C864" s="539" t="n">
        <v>40701</v>
      </c>
      <c r="D864" t="n">
        <v>150.4199981689453</v>
      </c>
      <c r="E864" t="n">
        <v>312.3999938964844</v>
      </c>
      <c r="F864" t="n">
        <v>27.91099166870117</v>
      </c>
      <c r="G864" t="n">
        <v>73.24070739746094</v>
      </c>
      <c r="H864">
        <f>AVERAGE(D665:D864)</f>
        <v/>
      </c>
      <c r="I864">
        <f>AVERAGE(E665:E864)</f>
        <v/>
      </c>
      <c r="J864">
        <f>AVERAGE(F665:F864)</f>
        <v/>
      </c>
    </row>
    <row r="865">
      <c r="C865" s="539" t="n">
        <v>40702</v>
      </c>
      <c r="D865" t="n">
        <v>149.8099975585938</v>
      </c>
      <c r="E865" t="n">
        <v>318.7999877929688</v>
      </c>
      <c r="F865" t="n">
        <v>28.22904205322266</v>
      </c>
      <c r="G865" t="n">
        <v>73.24070739746094</v>
      </c>
      <c r="H865">
        <f>AVERAGE(D666:D865)</f>
        <v/>
      </c>
      <c r="I865">
        <f>AVERAGE(E666:E865)</f>
        <v/>
      </c>
      <c r="J865">
        <f>AVERAGE(F666:F865)</f>
        <v/>
      </c>
    </row>
    <row r="866">
      <c r="C866" s="539" t="n">
        <v>40703</v>
      </c>
      <c r="D866" t="n">
        <v>150.5599975585938</v>
      </c>
      <c r="E866" t="n">
        <v>321.1199951171875</v>
      </c>
      <c r="F866" t="n">
        <v>28.49551773071289</v>
      </c>
      <c r="G866" t="n">
        <v>73.22470092773438</v>
      </c>
      <c r="H866">
        <f>AVERAGE(D667:D866)</f>
        <v/>
      </c>
      <c r="I866">
        <f>AVERAGE(E667:E866)</f>
        <v/>
      </c>
      <c r="J866">
        <f>AVERAGE(F667:F866)</f>
        <v/>
      </c>
    </row>
    <row r="867">
      <c r="C867" s="539" t="n">
        <v>40704</v>
      </c>
      <c r="D867" t="n">
        <v>149.2400054931641</v>
      </c>
      <c r="E867" t="n">
        <v>312.5599975585938</v>
      </c>
      <c r="F867" t="n">
        <v>28.2204475402832</v>
      </c>
      <c r="G867" t="n">
        <v>73.24070739746094</v>
      </c>
      <c r="H867">
        <f>AVERAGE(D668:D867)</f>
        <v/>
      </c>
      <c r="I867">
        <f>AVERAGE(E668:E867)</f>
        <v/>
      </c>
      <c r="J867">
        <f>AVERAGE(F668:F867)</f>
        <v/>
      </c>
    </row>
    <row r="868">
      <c r="C868" s="539" t="n">
        <v>40707</v>
      </c>
      <c r="D868" t="n">
        <v>147.7700042724609</v>
      </c>
      <c r="E868" t="n">
        <v>306.0799865722656</v>
      </c>
      <c r="F868" t="n">
        <v>28.23763465881348</v>
      </c>
      <c r="G868" t="n">
        <v>73.22470092773438</v>
      </c>
      <c r="H868">
        <f>AVERAGE(D669:D868)</f>
        <v/>
      </c>
      <c r="I868">
        <f>AVERAGE(E669:E868)</f>
        <v/>
      </c>
      <c r="J868">
        <f>AVERAGE(F669:F868)</f>
        <v/>
      </c>
    </row>
    <row r="869">
      <c r="C869" s="539" t="n">
        <v>40708</v>
      </c>
      <c r="D869" t="n">
        <v>148.6699981689453</v>
      </c>
      <c r="E869" t="n">
        <v>312.7999877929688</v>
      </c>
      <c r="F869" t="n">
        <v>28.16027069091797</v>
      </c>
      <c r="G869" t="n">
        <v>73.24070739746094</v>
      </c>
      <c r="H869">
        <f>AVERAGE(D670:D869)</f>
        <v/>
      </c>
      <c r="I869">
        <f>AVERAGE(E670:E869)</f>
        <v/>
      </c>
      <c r="J869">
        <f>AVERAGE(F670:F869)</f>
        <v/>
      </c>
    </row>
    <row r="870">
      <c r="C870" s="539" t="n">
        <v>40709</v>
      </c>
      <c r="D870" t="n">
        <v>149.1199951171875</v>
      </c>
      <c r="E870" t="n">
        <v>300.6400146484375</v>
      </c>
      <c r="F870" t="n">
        <v>27.76485824584961</v>
      </c>
      <c r="G870" t="n">
        <v>73.24070739746094</v>
      </c>
      <c r="H870">
        <f>AVERAGE(D671:D870)</f>
        <v/>
      </c>
      <c r="I870">
        <f>AVERAGE(E671:E870)</f>
        <v/>
      </c>
      <c r="J870">
        <f>AVERAGE(F671:F870)</f>
        <v/>
      </c>
    </row>
    <row r="871">
      <c r="C871" s="539" t="n">
        <v>40710</v>
      </c>
      <c r="D871" t="n">
        <v>148.9700012207031</v>
      </c>
      <c r="E871" t="n">
        <v>299.3599853515625</v>
      </c>
      <c r="F871" t="n">
        <v>27.63592338562012</v>
      </c>
      <c r="G871" t="n">
        <v>73.24070739746094</v>
      </c>
      <c r="H871">
        <f>AVERAGE(D672:D871)</f>
        <v/>
      </c>
      <c r="I871">
        <f>AVERAGE(E672:E871)</f>
        <v/>
      </c>
      <c r="J871">
        <f>AVERAGE(F672:F871)</f>
        <v/>
      </c>
    </row>
    <row r="872">
      <c r="C872" s="539" t="n">
        <v>40711</v>
      </c>
      <c r="D872" t="n">
        <v>149.9400024414062</v>
      </c>
      <c r="E872" t="n">
        <v>293.0400085449219</v>
      </c>
      <c r="F872" t="n">
        <v>27.71328735351562</v>
      </c>
      <c r="G872" t="n">
        <v>73.24070739746094</v>
      </c>
      <c r="H872">
        <f>AVERAGE(D673:D872)</f>
        <v/>
      </c>
      <c r="I872">
        <f>AVERAGE(E673:E872)</f>
        <v/>
      </c>
      <c r="J872">
        <f>AVERAGE(F673:F872)</f>
        <v/>
      </c>
    </row>
    <row r="873">
      <c r="C873" s="539" t="n">
        <v>40714</v>
      </c>
      <c r="D873" t="n">
        <v>150.0299987792969</v>
      </c>
      <c r="E873" t="n">
        <v>293.760009765625</v>
      </c>
      <c r="F873" t="n">
        <v>27.82503128051758</v>
      </c>
      <c r="G873" t="n">
        <v>73.24070739746094</v>
      </c>
      <c r="H873">
        <f>AVERAGE(D674:D873)</f>
        <v/>
      </c>
      <c r="I873">
        <f>AVERAGE(E674:E873)</f>
        <v/>
      </c>
      <c r="J873">
        <f>AVERAGE(F674:F873)</f>
        <v/>
      </c>
    </row>
    <row r="874">
      <c r="C874" s="539" t="n">
        <v>40715</v>
      </c>
      <c r="D874" t="n">
        <v>150.7599945068359</v>
      </c>
      <c r="E874" t="n">
        <v>294.3200073242188</v>
      </c>
      <c r="F874" t="n">
        <v>28.2032527923584</v>
      </c>
      <c r="G874" t="n">
        <v>73.22470092773438</v>
      </c>
      <c r="H874">
        <f>AVERAGE(D675:D874)</f>
        <v/>
      </c>
      <c r="I874">
        <f>AVERAGE(E675:E874)</f>
        <v/>
      </c>
      <c r="J874">
        <f>AVERAGE(F675:F874)</f>
        <v/>
      </c>
    </row>
    <row r="875">
      <c r="C875" s="539" t="n">
        <v>40716</v>
      </c>
      <c r="D875" t="n">
        <v>150.9900054931641</v>
      </c>
      <c r="E875" t="n">
        <v>296.7999877929688</v>
      </c>
      <c r="F875" t="n">
        <v>27.73047637939453</v>
      </c>
      <c r="G875" t="n">
        <v>73.24070739746094</v>
      </c>
      <c r="H875">
        <f>AVERAGE(D676:D875)</f>
        <v/>
      </c>
      <c r="I875">
        <f>AVERAGE(E676:E875)</f>
        <v/>
      </c>
      <c r="J875">
        <f>AVERAGE(F676:F875)</f>
        <v/>
      </c>
    </row>
    <row r="876">
      <c r="C876" s="539" t="n">
        <v>40717</v>
      </c>
      <c r="D876" t="n">
        <v>148.3399963378906</v>
      </c>
      <c r="E876" t="n">
        <v>288.0799865722656</v>
      </c>
      <c r="F876" t="n">
        <v>27.69609642028809</v>
      </c>
      <c r="G876" t="n">
        <v>73.24070739746094</v>
      </c>
      <c r="H876">
        <f>AVERAGE(D677:D876)</f>
        <v/>
      </c>
      <c r="I876">
        <f>AVERAGE(E677:E876)</f>
        <v/>
      </c>
      <c r="J876">
        <f>AVERAGE(F677:F876)</f>
        <v/>
      </c>
    </row>
    <row r="877">
      <c r="C877" s="539" t="n">
        <v>40718</v>
      </c>
      <c r="D877" t="n">
        <v>146.2599945068359</v>
      </c>
      <c r="E877" t="n">
        <v>286.4800109863281</v>
      </c>
      <c r="F877" t="n">
        <v>27.44681167602539</v>
      </c>
      <c r="G877" t="n">
        <v>73.22470092773438</v>
      </c>
      <c r="H877">
        <f>AVERAGE(D678:D877)</f>
        <v/>
      </c>
      <c r="I877">
        <f>AVERAGE(E678:E877)</f>
        <v/>
      </c>
      <c r="J877">
        <f>AVERAGE(F678:F877)</f>
        <v/>
      </c>
    </row>
    <row r="878">
      <c r="C878" s="539" t="n">
        <v>40721</v>
      </c>
      <c r="D878" t="n">
        <v>145.7299957275391</v>
      </c>
      <c r="E878" t="n">
        <v>285.1199951171875</v>
      </c>
      <c r="F878" t="n">
        <v>27.32646942138672</v>
      </c>
      <c r="G878" t="n">
        <v>73.22470092773438</v>
      </c>
      <c r="H878">
        <f>AVERAGE(D679:D878)</f>
        <v/>
      </c>
      <c r="I878">
        <f>AVERAGE(E679:E878)</f>
        <v/>
      </c>
      <c r="J878">
        <f>AVERAGE(F679:F878)</f>
        <v/>
      </c>
    </row>
    <row r="879">
      <c r="C879" s="539" t="n">
        <v>40722</v>
      </c>
      <c r="D879" t="n">
        <v>146.2400054931641</v>
      </c>
      <c r="E879" t="n">
        <v>291.3599853515625</v>
      </c>
      <c r="F879" t="n">
        <v>27.83362770080566</v>
      </c>
      <c r="G879" t="n">
        <v>73.22470092773438</v>
      </c>
      <c r="H879">
        <f>AVERAGE(D680:D879)</f>
        <v/>
      </c>
      <c r="I879">
        <f>AVERAGE(E680:E879)</f>
        <v/>
      </c>
      <c r="J879">
        <f>AVERAGE(F680:F879)</f>
        <v/>
      </c>
    </row>
    <row r="880">
      <c r="C880" s="539" t="n">
        <v>40723</v>
      </c>
      <c r="D880" t="n">
        <v>147.1799926757812</v>
      </c>
      <c r="E880" t="n">
        <v>297.8399963378906</v>
      </c>
      <c r="F880" t="n">
        <v>27.97116279602051</v>
      </c>
      <c r="G880" t="n">
        <v>73.24070739746094</v>
      </c>
      <c r="H880">
        <f>AVERAGE(D681:D880)</f>
        <v/>
      </c>
      <c r="I880">
        <f>AVERAGE(E681:E880)</f>
        <v/>
      </c>
      <c r="J880">
        <f>AVERAGE(F681:F880)</f>
        <v/>
      </c>
    </row>
    <row r="881">
      <c r="C881" s="539" t="n">
        <v>40724</v>
      </c>
      <c r="D881" t="n">
        <v>146</v>
      </c>
      <c r="E881" t="n">
        <v>297.9200134277344</v>
      </c>
      <c r="F881" t="n">
        <v>27.28348731994629</v>
      </c>
      <c r="G881" t="n">
        <v>73.24070739746094</v>
      </c>
      <c r="H881">
        <f>AVERAGE(D682:D881)</f>
        <v/>
      </c>
      <c r="I881">
        <f>AVERAGE(E682:E881)</f>
        <v/>
      </c>
      <c r="J881">
        <f>AVERAGE(F682:F881)</f>
        <v/>
      </c>
    </row>
    <row r="882">
      <c r="C882" s="539" t="n">
        <v>40725</v>
      </c>
      <c r="D882" t="n">
        <v>144.9299926757812</v>
      </c>
      <c r="E882" t="n">
        <v>297.2000122070312</v>
      </c>
      <c r="F882" t="n">
        <v>27.64451789855957</v>
      </c>
      <c r="G882" t="n">
        <v>73.22470092773438</v>
      </c>
      <c r="H882">
        <f>AVERAGE(D683:D882)</f>
        <v/>
      </c>
      <c r="I882">
        <f>AVERAGE(E683:E882)</f>
        <v/>
      </c>
      <c r="J882">
        <f>AVERAGE(F683:F882)</f>
        <v/>
      </c>
    </row>
    <row r="883">
      <c r="C883" s="539" t="n">
        <v>40729</v>
      </c>
      <c r="D883" t="n">
        <v>147.6300048828125</v>
      </c>
      <c r="E883" t="n">
        <v>303.6799926757812</v>
      </c>
      <c r="F883" t="n">
        <v>27.97116279602051</v>
      </c>
      <c r="G883" t="n">
        <v>73.22470092773438</v>
      </c>
      <c r="H883">
        <f>AVERAGE(D684:D883)</f>
        <v/>
      </c>
      <c r="I883">
        <f>AVERAGE(E684:E883)</f>
        <v/>
      </c>
      <c r="J883">
        <f>AVERAGE(F684:F883)</f>
        <v/>
      </c>
    </row>
    <row r="884">
      <c r="C884" s="539" t="n">
        <v>40730</v>
      </c>
      <c r="D884" t="n">
        <v>148.9100036621094</v>
      </c>
      <c r="E884" t="n">
        <v>303.1199951171875</v>
      </c>
      <c r="F884" t="n">
        <v>27.79065132141113</v>
      </c>
      <c r="G884" t="n">
        <v>73.24070739746094</v>
      </c>
      <c r="H884">
        <f>AVERAGE(D685:D884)</f>
        <v/>
      </c>
      <c r="I884">
        <f>AVERAGE(E685:E884)</f>
        <v/>
      </c>
      <c r="J884">
        <f>AVERAGE(F685:F884)</f>
        <v/>
      </c>
    </row>
    <row r="885">
      <c r="C885" s="539" t="n">
        <v>40731</v>
      </c>
      <c r="D885" t="n">
        <v>149.1499938964844</v>
      </c>
      <c r="E885" t="n">
        <v>308.8800048828125</v>
      </c>
      <c r="F885" t="n">
        <v>28.10869789123535</v>
      </c>
      <c r="G885" t="n">
        <v>73.22470092773438</v>
      </c>
      <c r="H885">
        <f>AVERAGE(D686:D885)</f>
        <v/>
      </c>
      <c r="I885">
        <f>AVERAGE(E686:E885)</f>
        <v/>
      </c>
      <c r="J885">
        <f>AVERAGE(F686:F885)</f>
        <v/>
      </c>
    </row>
    <row r="886">
      <c r="C886" s="539" t="n">
        <v>40732</v>
      </c>
      <c r="D886" t="n">
        <v>150.25</v>
      </c>
      <c r="E886" t="n">
        <v>302.3999938964844</v>
      </c>
      <c r="F886" t="n">
        <v>28.05712127685547</v>
      </c>
      <c r="G886" t="n">
        <v>73.22470092773438</v>
      </c>
      <c r="H886">
        <f>AVERAGE(D687:D886)</f>
        <v/>
      </c>
      <c r="I886">
        <f>AVERAGE(E687:E886)</f>
        <v/>
      </c>
      <c r="J886">
        <f>AVERAGE(F687:F886)</f>
        <v/>
      </c>
    </row>
    <row r="887">
      <c r="C887" s="539" t="n">
        <v>40735</v>
      </c>
      <c r="D887" t="n">
        <v>151.5899963378906</v>
      </c>
      <c r="E887" t="n">
        <v>298.3200073242188</v>
      </c>
      <c r="F887" t="n">
        <v>27.94537353515625</v>
      </c>
      <c r="G887" t="n">
        <v>73.20878601074219</v>
      </c>
      <c r="H887">
        <f>AVERAGE(D688:D887)</f>
        <v/>
      </c>
      <c r="I887">
        <f>AVERAGE(E688:E887)</f>
        <v/>
      </c>
      <c r="J887">
        <f>AVERAGE(F688:F887)</f>
        <v/>
      </c>
    </row>
    <row r="888">
      <c r="C888" s="539" t="n">
        <v>40736</v>
      </c>
      <c r="D888" t="n">
        <v>152.7700042724609</v>
      </c>
      <c r="E888" t="n">
        <v>303.4400024414062</v>
      </c>
      <c r="F888" t="n">
        <v>28.16027069091797</v>
      </c>
      <c r="G888" t="n">
        <v>73.22470092773438</v>
      </c>
      <c r="H888">
        <f>AVERAGE(D689:D888)</f>
        <v/>
      </c>
      <c r="I888">
        <f>AVERAGE(E689:E888)</f>
        <v/>
      </c>
      <c r="J888">
        <f>AVERAGE(F689:F888)</f>
        <v/>
      </c>
    </row>
    <row r="889">
      <c r="C889" s="539" t="n">
        <v>40737</v>
      </c>
      <c r="D889" t="n">
        <v>154.1399993896484</v>
      </c>
      <c r="E889" t="n">
        <v>306.7999877929688</v>
      </c>
      <c r="F889" t="n">
        <v>28.62445259094238</v>
      </c>
      <c r="G889" t="n">
        <v>73.24070739746094</v>
      </c>
      <c r="H889">
        <f>AVERAGE(D690:D889)</f>
        <v/>
      </c>
      <c r="I889">
        <f>AVERAGE(E690:E889)</f>
        <v/>
      </c>
      <c r="J889">
        <f>AVERAGE(F690:F889)</f>
        <v/>
      </c>
    </row>
    <row r="890">
      <c r="C890" s="539" t="n">
        <v>40738</v>
      </c>
      <c r="D890" t="n">
        <v>154.5399932861328</v>
      </c>
      <c r="E890" t="n">
        <v>300.3999938964844</v>
      </c>
      <c r="F890" t="n">
        <v>28.30640602111816</v>
      </c>
      <c r="G890" t="n">
        <v>73.24070739746094</v>
      </c>
      <c r="H890">
        <f>AVERAGE(D691:D890)</f>
        <v/>
      </c>
      <c r="I890">
        <f>AVERAGE(E691:E890)</f>
        <v/>
      </c>
      <c r="J890">
        <f>AVERAGE(F691:F890)</f>
        <v/>
      </c>
    </row>
    <row r="891">
      <c r="C891" s="539" t="n">
        <v>40739</v>
      </c>
      <c r="D891" t="n">
        <v>155.1999969482422</v>
      </c>
      <c r="E891" t="n">
        <v>305.0400085449219</v>
      </c>
      <c r="F891" t="n">
        <v>28.21184921264648</v>
      </c>
      <c r="G891" t="n">
        <v>73.24070739746094</v>
      </c>
      <c r="H891">
        <f>AVERAGE(D692:D891)</f>
        <v/>
      </c>
      <c r="I891">
        <f>AVERAGE(E692:E891)</f>
        <v/>
      </c>
      <c r="J891">
        <f>AVERAGE(F692:F891)</f>
        <v/>
      </c>
    </row>
    <row r="892">
      <c r="C892" s="539" t="n">
        <v>40742</v>
      </c>
      <c r="D892" t="n">
        <v>156.5700073242188</v>
      </c>
      <c r="E892" t="n">
        <v>300.7200012207031</v>
      </c>
      <c r="F892" t="n">
        <v>28.03133583068848</v>
      </c>
      <c r="G892" t="n">
        <v>73.24070739746094</v>
      </c>
      <c r="H892">
        <f>AVERAGE(D693:D892)</f>
        <v/>
      </c>
      <c r="I892">
        <f>AVERAGE(E693:E892)</f>
        <v/>
      </c>
      <c r="J892">
        <f>AVERAGE(F693:F892)</f>
        <v/>
      </c>
    </row>
    <row r="893">
      <c r="C893" s="539" t="n">
        <v>40743</v>
      </c>
      <c r="D893" t="n">
        <v>154.6600036621094</v>
      </c>
      <c r="E893" t="n">
        <v>306</v>
      </c>
      <c r="F893" t="n">
        <v>28.2032527923584</v>
      </c>
      <c r="G893" t="n">
        <v>73.24070739746094</v>
      </c>
      <c r="H893">
        <f>AVERAGE(D694:D893)</f>
        <v/>
      </c>
      <c r="I893">
        <f>AVERAGE(E694:E893)</f>
        <v/>
      </c>
      <c r="J893">
        <f>AVERAGE(F694:F893)</f>
        <v/>
      </c>
    </row>
    <row r="894">
      <c r="C894" s="539" t="n">
        <v>40744</v>
      </c>
      <c r="D894" t="n">
        <v>156.0200042724609</v>
      </c>
      <c r="E894" t="n">
        <v>307.2000122070312</v>
      </c>
      <c r="F894" t="n">
        <v>28.11729431152344</v>
      </c>
      <c r="G894" t="n">
        <v>73.22470092773438</v>
      </c>
      <c r="H894">
        <f>AVERAGE(D695:D894)</f>
        <v/>
      </c>
      <c r="I894">
        <f>AVERAGE(E695:E894)</f>
        <v/>
      </c>
      <c r="J894">
        <f>AVERAGE(F695:F894)</f>
        <v/>
      </c>
    </row>
    <row r="895">
      <c r="C895" s="539" t="n">
        <v>40745</v>
      </c>
      <c r="D895" t="n">
        <v>154.8300018310547</v>
      </c>
      <c r="E895" t="n">
        <v>309.760009765625</v>
      </c>
      <c r="F895" t="n">
        <v>28.01414108276367</v>
      </c>
      <c r="G895" t="n">
        <v>73.22470092773438</v>
      </c>
      <c r="H895">
        <f>AVERAGE(D696:D895)</f>
        <v/>
      </c>
      <c r="I895">
        <f>AVERAGE(E696:E895)</f>
        <v/>
      </c>
      <c r="J895">
        <f>AVERAGE(F696:F895)</f>
        <v/>
      </c>
    </row>
    <row r="896">
      <c r="C896" s="539" t="n">
        <v>40746</v>
      </c>
      <c r="D896" t="n">
        <v>156.1199951171875</v>
      </c>
      <c r="E896" t="n">
        <v>311.4400024414062</v>
      </c>
      <c r="F896" t="n">
        <v>28.2032527923584</v>
      </c>
      <c r="G896" t="n">
        <v>73.24070739746094</v>
      </c>
      <c r="H896">
        <f>AVERAGE(D697:D896)</f>
        <v/>
      </c>
      <c r="I896">
        <f>AVERAGE(E697:E896)</f>
        <v/>
      </c>
      <c r="J896">
        <f>AVERAGE(F697:F896)</f>
        <v/>
      </c>
    </row>
    <row r="897">
      <c r="C897" s="539" t="n">
        <v>40749</v>
      </c>
      <c r="D897" t="n">
        <v>157.3399963378906</v>
      </c>
      <c r="E897" t="n">
        <v>309.4400024414062</v>
      </c>
      <c r="F897" t="n">
        <v>27.94537353515625</v>
      </c>
      <c r="G897" t="n">
        <v>73.24070739746094</v>
      </c>
      <c r="H897">
        <f>AVERAGE(D698:D897)</f>
        <v/>
      </c>
      <c r="I897">
        <f>AVERAGE(E698:E897)</f>
        <v/>
      </c>
      <c r="J897">
        <f>AVERAGE(F698:F897)</f>
        <v/>
      </c>
    </row>
    <row r="898">
      <c r="C898" s="539" t="n">
        <v>40750</v>
      </c>
      <c r="D898" t="n">
        <v>157.7700042724609</v>
      </c>
      <c r="E898" t="n">
        <v>310.4800109863281</v>
      </c>
      <c r="F898" t="n">
        <v>28.17746734619141</v>
      </c>
      <c r="G898" t="n">
        <v>73.24070739746094</v>
      </c>
      <c r="H898">
        <f>AVERAGE(D699:D898)</f>
        <v/>
      </c>
      <c r="I898">
        <f>AVERAGE(E699:E898)</f>
        <v/>
      </c>
      <c r="J898">
        <f>AVERAGE(F699:F898)</f>
        <v/>
      </c>
    </row>
    <row r="899">
      <c r="C899" s="539" t="n">
        <v>40751</v>
      </c>
      <c r="D899" t="n">
        <v>157.1900024414062</v>
      </c>
      <c r="E899" t="n">
        <v>303.760009765625</v>
      </c>
      <c r="F899" t="n">
        <v>28.12589263916016</v>
      </c>
      <c r="G899" t="n">
        <v>73.24070739746094</v>
      </c>
      <c r="H899">
        <f>AVERAGE(D700:D899)</f>
        <v/>
      </c>
      <c r="I899">
        <f>AVERAGE(E700:E899)</f>
        <v/>
      </c>
      <c r="J899">
        <f>AVERAGE(F700:F899)</f>
        <v/>
      </c>
    </row>
    <row r="900">
      <c r="C900" s="539" t="n">
        <v>40752</v>
      </c>
      <c r="D900" t="n">
        <v>157.3200073242188</v>
      </c>
      <c r="E900" t="n">
        <v>303.2799987792969</v>
      </c>
      <c r="F900" t="n">
        <v>27.94537353515625</v>
      </c>
      <c r="G900" t="n">
        <v>73.24070739746094</v>
      </c>
      <c r="H900">
        <f>AVERAGE(D701:D900)</f>
        <v/>
      </c>
      <c r="I900">
        <f>AVERAGE(E701:E900)</f>
        <v/>
      </c>
      <c r="J900">
        <f>AVERAGE(F701:F900)</f>
        <v/>
      </c>
    </row>
    <row r="901">
      <c r="C901" s="539" t="n">
        <v>40753</v>
      </c>
      <c r="D901" t="n">
        <v>158.2899932861328</v>
      </c>
      <c r="E901" t="n">
        <v>299.3599853515625</v>
      </c>
      <c r="F901" t="n">
        <v>27.72187995910645</v>
      </c>
      <c r="G901" t="n">
        <v>73.24070739746094</v>
      </c>
      <c r="H901">
        <f>AVERAGE(D702:D901)</f>
        <v/>
      </c>
      <c r="I901">
        <f>AVERAGE(E702:E901)</f>
        <v/>
      </c>
      <c r="J901">
        <f>AVERAGE(F702:F901)</f>
        <v/>
      </c>
    </row>
    <row r="902">
      <c r="C902" s="539" t="n">
        <v>40756</v>
      </c>
      <c r="D902" t="n">
        <v>157.7200012207031</v>
      </c>
      <c r="E902" t="n">
        <v>297.6000061035156</v>
      </c>
      <c r="F902" t="n">
        <v>27.97116279602051</v>
      </c>
      <c r="G902" t="n">
        <v>73.24070739746094</v>
      </c>
      <c r="H902">
        <f>AVERAGE(D703:D902)</f>
        <v/>
      </c>
      <c r="I902">
        <f>AVERAGE(E703:E902)</f>
        <v/>
      </c>
      <c r="J902">
        <f>AVERAGE(F703:F902)</f>
        <v/>
      </c>
    </row>
    <row r="903">
      <c r="C903" s="539" t="n">
        <v>40757</v>
      </c>
      <c r="D903" t="n">
        <v>161.5200042724609</v>
      </c>
      <c r="E903" t="n">
        <v>291.2000122070312</v>
      </c>
      <c r="F903" t="n">
        <v>28.2032527923584</v>
      </c>
      <c r="G903" t="n">
        <v>73.24070739746094</v>
      </c>
      <c r="H903">
        <f>AVERAGE(D704:D903)</f>
        <v/>
      </c>
      <c r="I903">
        <f>AVERAGE(E704:E903)</f>
        <v/>
      </c>
      <c r="J903">
        <f>AVERAGE(F704:F903)</f>
        <v/>
      </c>
    </row>
    <row r="904">
      <c r="C904" s="539" t="n">
        <v>40758</v>
      </c>
      <c r="D904" t="n">
        <v>161.4900054931641</v>
      </c>
      <c r="E904" t="n">
        <v>286.8800048828125</v>
      </c>
      <c r="F904" t="n">
        <v>28.06571960449219</v>
      </c>
      <c r="G904" t="n">
        <v>73.24070739746094</v>
      </c>
      <c r="H904">
        <f>AVERAGE(D705:D904)</f>
        <v/>
      </c>
      <c r="I904">
        <f>AVERAGE(E705:E904)</f>
        <v/>
      </c>
      <c r="J904">
        <f>AVERAGE(F705:F904)</f>
        <v/>
      </c>
    </row>
    <row r="905">
      <c r="C905" s="539" t="n">
        <v>40759</v>
      </c>
      <c r="D905" t="n">
        <v>160.6399993896484</v>
      </c>
      <c r="E905" t="n">
        <v>269.8399963378906</v>
      </c>
      <c r="F905" t="n">
        <v>27.51557731628418</v>
      </c>
      <c r="G905" t="n">
        <v>73.24070739746094</v>
      </c>
      <c r="H905">
        <f>AVERAGE(D706:D905)</f>
        <v/>
      </c>
      <c r="I905">
        <f>AVERAGE(E706:E905)</f>
        <v/>
      </c>
      <c r="J905">
        <f>AVERAGE(F706:F905)</f>
        <v/>
      </c>
    </row>
    <row r="906">
      <c r="C906" s="539" t="n">
        <v>40760</v>
      </c>
      <c r="D906" t="n">
        <v>161.75</v>
      </c>
      <c r="E906" t="n">
        <v>271.6000061035156</v>
      </c>
      <c r="F906" t="n">
        <v>27.67890167236328</v>
      </c>
      <c r="G906" t="n">
        <v>73.24070739746094</v>
      </c>
      <c r="H906">
        <f>AVERAGE(D707:D906)</f>
        <v/>
      </c>
      <c r="I906">
        <f>AVERAGE(E707:E906)</f>
        <v/>
      </c>
      <c r="J906">
        <f>AVERAGE(F707:F906)</f>
        <v/>
      </c>
    </row>
    <row r="907">
      <c r="C907" s="539" t="n">
        <v>40763</v>
      </c>
      <c r="D907" t="n">
        <v>167.1199951171875</v>
      </c>
      <c r="E907" t="n">
        <v>252.0800018310547</v>
      </c>
      <c r="F907" t="n">
        <v>26.9482479095459</v>
      </c>
      <c r="G907" t="n">
        <v>73.24070739746094</v>
      </c>
      <c r="H907">
        <f>AVERAGE(D708:D907)</f>
        <v/>
      </c>
      <c r="I907">
        <f>AVERAGE(E708:E907)</f>
        <v/>
      </c>
      <c r="J907">
        <f>AVERAGE(F708:F907)</f>
        <v/>
      </c>
    </row>
    <row r="908">
      <c r="C908" s="539" t="n">
        <v>40764</v>
      </c>
      <c r="D908" t="n">
        <v>168.6100006103516</v>
      </c>
      <c r="E908" t="n">
        <v>252.9600067138672</v>
      </c>
      <c r="F908" t="n">
        <v>27.22331619262695</v>
      </c>
      <c r="G908" t="n">
        <v>73.24070739746094</v>
      </c>
      <c r="H908">
        <f>AVERAGE(D709:D908)</f>
        <v/>
      </c>
      <c r="I908">
        <f>AVERAGE(E709:E908)</f>
        <v/>
      </c>
      <c r="J908">
        <f>AVERAGE(F709:F908)</f>
        <v/>
      </c>
    </row>
    <row r="909">
      <c r="C909" s="539" t="n">
        <v>40765</v>
      </c>
      <c r="D909" t="n">
        <v>174.5800018310547</v>
      </c>
      <c r="E909" t="n">
        <v>254.2400054931641</v>
      </c>
      <c r="F909" t="n">
        <v>26.95684432983398</v>
      </c>
      <c r="G909" t="n">
        <v>73.24070739746094</v>
      </c>
      <c r="H909">
        <f>AVERAGE(D710:D909)</f>
        <v/>
      </c>
      <c r="I909">
        <f>AVERAGE(E710:E909)</f>
        <v/>
      </c>
      <c r="J909">
        <f>AVERAGE(F710:F909)</f>
        <v/>
      </c>
    </row>
    <row r="910">
      <c r="C910" s="539" t="n">
        <v>40766</v>
      </c>
      <c r="D910" t="n">
        <v>170.75</v>
      </c>
      <c r="E910" t="n">
        <v>266.3999938964844</v>
      </c>
      <c r="F910" t="n">
        <v>27.68749809265137</v>
      </c>
      <c r="G910" t="n">
        <v>73.24070739746094</v>
      </c>
      <c r="H910">
        <f>AVERAGE(D711:D910)</f>
        <v/>
      </c>
      <c r="I910">
        <f>AVERAGE(E711:E910)</f>
        <v/>
      </c>
      <c r="J910">
        <f>AVERAGE(F711:F910)</f>
        <v/>
      </c>
    </row>
    <row r="911">
      <c r="C911" s="539" t="n">
        <v>40767</v>
      </c>
      <c r="D911" t="n">
        <v>169.9700012207031</v>
      </c>
      <c r="E911" t="n">
        <v>265.8399963378906</v>
      </c>
      <c r="F911" t="n">
        <v>27.77345848083496</v>
      </c>
      <c r="G911" t="n">
        <v>73.24070739746094</v>
      </c>
      <c r="H911">
        <f>AVERAGE(D712:D911)</f>
        <v/>
      </c>
      <c r="I911">
        <f>AVERAGE(E712:E911)</f>
        <v/>
      </c>
      <c r="J911">
        <f>AVERAGE(F712:F911)</f>
        <v/>
      </c>
    </row>
    <row r="912">
      <c r="C912" s="539" t="n">
        <v>40770</v>
      </c>
      <c r="D912" t="n">
        <v>171.8000030517578</v>
      </c>
      <c r="E912" t="n">
        <v>273.760009765625</v>
      </c>
      <c r="F912" t="n">
        <v>28.03133583068848</v>
      </c>
      <c r="G912" t="n">
        <v>73.24070739746094</v>
      </c>
      <c r="H912">
        <f>AVERAGE(D713:D912)</f>
        <v/>
      </c>
      <c r="I912">
        <f>AVERAGE(E713:E912)</f>
        <v/>
      </c>
      <c r="J912">
        <f>AVERAGE(F713:F912)</f>
        <v/>
      </c>
    </row>
    <row r="913">
      <c r="C913" s="539" t="n">
        <v>40771</v>
      </c>
      <c r="D913" t="n">
        <v>173.9199981689453</v>
      </c>
      <c r="E913" t="n">
        <v>270.6400146484375</v>
      </c>
      <c r="F913" t="n">
        <v>28.24623489379883</v>
      </c>
      <c r="G913" t="n">
        <v>73.24070739746094</v>
      </c>
      <c r="H913">
        <f>AVERAGE(D714:D913)</f>
        <v/>
      </c>
      <c r="I913">
        <f>AVERAGE(E714:E913)</f>
        <v/>
      </c>
      <c r="J913">
        <f>AVERAGE(F714:F913)</f>
        <v/>
      </c>
    </row>
    <row r="914">
      <c r="C914" s="539" t="n">
        <v>40772</v>
      </c>
      <c r="D914" t="n">
        <v>174.4199981689453</v>
      </c>
      <c r="E914" t="n">
        <v>272.0799865722656</v>
      </c>
      <c r="F914" t="n">
        <v>28.51270484924316</v>
      </c>
      <c r="G914" t="n">
        <v>73.24070739746094</v>
      </c>
      <c r="H914">
        <f>AVERAGE(D715:D914)</f>
        <v/>
      </c>
      <c r="I914">
        <f>AVERAGE(E715:E914)</f>
        <v/>
      </c>
      <c r="J914">
        <f>AVERAGE(F715:F914)</f>
        <v/>
      </c>
    </row>
    <row r="915">
      <c r="C915" s="539" t="n">
        <v>40773</v>
      </c>
      <c r="D915" t="n">
        <v>177.7200012207031</v>
      </c>
      <c r="E915" t="n">
        <v>253.7599945068359</v>
      </c>
      <c r="F915" t="n">
        <v>28.12589263916016</v>
      </c>
      <c r="G915" t="n">
        <v>73.20878601074219</v>
      </c>
      <c r="H915">
        <f>AVERAGE(D716:D915)</f>
        <v/>
      </c>
      <c r="I915">
        <f>AVERAGE(E716:E915)</f>
        <v/>
      </c>
      <c r="J915">
        <f>AVERAGE(F716:F915)</f>
        <v/>
      </c>
    </row>
    <row r="916">
      <c r="C916" s="539" t="n">
        <v>40774</v>
      </c>
      <c r="D916" t="n">
        <v>179.9499969482422</v>
      </c>
      <c r="E916" t="n">
        <v>256.9599914550781</v>
      </c>
      <c r="F916" t="n">
        <v>28.44394111633301</v>
      </c>
      <c r="G916" t="n">
        <v>73.24070739746094</v>
      </c>
      <c r="H916">
        <f>AVERAGE(D717:D916)</f>
        <v/>
      </c>
      <c r="I916">
        <f>AVERAGE(E717:E916)</f>
        <v/>
      </c>
      <c r="J916">
        <f>AVERAGE(F717:F916)</f>
        <v/>
      </c>
    </row>
    <row r="917">
      <c r="C917" s="539" t="n">
        <v>40777</v>
      </c>
      <c r="D917" t="n">
        <v>184.5899963378906</v>
      </c>
      <c r="E917" t="n">
        <v>261.760009765625</v>
      </c>
      <c r="F917" t="n">
        <v>28.62445259094238</v>
      </c>
      <c r="G917" t="n">
        <v>73.20878601074219</v>
      </c>
      <c r="H917">
        <f>AVERAGE(D718:D917)</f>
        <v/>
      </c>
      <c r="I917">
        <f>AVERAGE(E718:E917)</f>
        <v/>
      </c>
      <c r="J917">
        <f>AVERAGE(F718:F917)</f>
        <v/>
      </c>
    </row>
    <row r="918">
      <c r="C918" s="539" t="n">
        <v>40778</v>
      </c>
      <c r="D918" t="n">
        <v>177.6699981689453</v>
      </c>
      <c r="E918" t="n">
        <v>267.3599853515625</v>
      </c>
      <c r="F918" t="n">
        <v>29.06285095214844</v>
      </c>
      <c r="G918" t="n">
        <v>73.24070739746094</v>
      </c>
      <c r="H918">
        <f>AVERAGE(D719:D918)</f>
        <v/>
      </c>
      <c r="I918">
        <f>AVERAGE(E719:E918)</f>
        <v/>
      </c>
      <c r="J918">
        <f>AVERAGE(F719:F918)</f>
        <v/>
      </c>
    </row>
    <row r="919">
      <c r="C919" s="539" t="n">
        <v>40779</v>
      </c>
      <c r="D919" t="n">
        <v>171.6499938964844</v>
      </c>
      <c r="E919" t="n">
        <v>264.6400146484375</v>
      </c>
      <c r="F919" t="n">
        <v>28.66743278503418</v>
      </c>
      <c r="G919" t="n">
        <v>73.24070739746094</v>
      </c>
      <c r="H919">
        <f>AVERAGE(D720:D919)</f>
        <v/>
      </c>
      <c r="I919">
        <f>AVERAGE(E720:E919)</f>
        <v/>
      </c>
      <c r="J919">
        <f>AVERAGE(F720:F919)</f>
        <v/>
      </c>
    </row>
    <row r="920">
      <c r="C920" s="539" t="n">
        <v>40780</v>
      </c>
      <c r="D920" t="n">
        <v>172.3600006103516</v>
      </c>
      <c r="E920" t="n">
        <v>263.760009765625</v>
      </c>
      <c r="F920" t="n">
        <v>28.71041488647461</v>
      </c>
      <c r="G920" t="n">
        <v>73.20878601074219</v>
      </c>
      <c r="H920">
        <f>AVERAGE(D721:D920)</f>
        <v/>
      </c>
      <c r="I920">
        <f>AVERAGE(E721:E920)</f>
        <v/>
      </c>
      <c r="J920">
        <f>AVERAGE(F721:F920)</f>
        <v/>
      </c>
    </row>
    <row r="921">
      <c r="C921" s="539" t="n">
        <v>40781</v>
      </c>
      <c r="D921" t="n">
        <v>177.4700012207031</v>
      </c>
      <c r="E921" t="n">
        <v>265.2000122070312</v>
      </c>
      <c r="F921" t="n">
        <v>29.19178581237793</v>
      </c>
      <c r="G921" t="n">
        <v>73.24070739746094</v>
      </c>
      <c r="H921">
        <f>AVERAGE(D722:D921)</f>
        <v/>
      </c>
      <c r="I921">
        <f>AVERAGE(E722:E921)</f>
        <v/>
      </c>
      <c r="J921">
        <f>AVERAGE(F722:F921)</f>
        <v/>
      </c>
    </row>
    <row r="922">
      <c r="C922" s="539" t="n">
        <v>40784</v>
      </c>
      <c r="D922" t="n">
        <v>173.8899993896484</v>
      </c>
      <c r="E922" t="n">
        <v>271.6799926757812</v>
      </c>
      <c r="F922" t="n">
        <v>29.38949394226074</v>
      </c>
      <c r="G922" t="n">
        <v>73.24070739746094</v>
      </c>
      <c r="H922">
        <f>AVERAGE(D723:D922)</f>
        <v/>
      </c>
      <c r="I922">
        <f>AVERAGE(E723:E922)</f>
        <v/>
      </c>
      <c r="J922">
        <f>AVERAGE(F723:F922)</f>
        <v/>
      </c>
    </row>
    <row r="923">
      <c r="C923" s="539" t="n">
        <v>40785</v>
      </c>
      <c r="D923" t="n">
        <v>179.1000061035156</v>
      </c>
      <c r="E923" t="n">
        <v>275.5199890136719</v>
      </c>
      <c r="F923" t="n">
        <v>29.32072639465332</v>
      </c>
      <c r="G923" t="n">
        <v>73.24070739746094</v>
      </c>
      <c r="H923">
        <f>AVERAGE(D724:D923)</f>
        <v/>
      </c>
      <c r="I923">
        <f>AVERAGE(E724:E923)</f>
        <v/>
      </c>
      <c r="J923">
        <f>AVERAGE(F724:F923)</f>
        <v/>
      </c>
    </row>
    <row r="924">
      <c r="C924" s="539" t="n">
        <v>40786</v>
      </c>
      <c r="D924" t="n">
        <v>177.7200012207031</v>
      </c>
      <c r="E924" t="n">
        <v>276.0799865722656</v>
      </c>
      <c r="F924" t="n">
        <v>29.32072639465332</v>
      </c>
      <c r="G924" t="n">
        <v>73.24070739746094</v>
      </c>
      <c r="H924">
        <f>AVERAGE(D725:D924)</f>
        <v/>
      </c>
      <c r="I924">
        <f>AVERAGE(E725:E924)</f>
        <v/>
      </c>
      <c r="J924">
        <f>AVERAGE(F725:F924)</f>
        <v/>
      </c>
    </row>
    <row r="925">
      <c r="C925" s="539" t="n">
        <v>40787</v>
      </c>
      <c r="D925" t="n">
        <v>177.8699951171875</v>
      </c>
      <c r="E925" t="n">
        <v>275.760009765625</v>
      </c>
      <c r="F925" t="n">
        <v>28.9854850769043</v>
      </c>
      <c r="G925" t="n">
        <v>73.24070739746094</v>
      </c>
      <c r="H925">
        <f>AVERAGE(D726:D925)</f>
        <v/>
      </c>
      <c r="I925">
        <f>AVERAGE(E726:E925)</f>
        <v/>
      </c>
      <c r="J925">
        <f>AVERAGE(F726:F925)</f>
        <v/>
      </c>
    </row>
    <row r="926">
      <c r="C926" s="539" t="n">
        <v>40788</v>
      </c>
      <c r="D926" t="n">
        <v>183.2400054931641</v>
      </c>
      <c r="E926" t="n">
        <v>269.1199951171875</v>
      </c>
      <c r="F926" t="n">
        <v>29.15740203857422</v>
      </c>
      <c r="G926" t="n">
        <v>73.24070739746094</v>
      </c>
      <c r="H926">
        <f>AVERAGE(D727:D926)</f>
        <v/>
      </c>
      <c r="I926">
        <f>AVERAGE(E727:E926)</f>
        <v/>
      </c>
      <c r="J926">
        <f>AVERAGE(F727:F926)</f>
        <v/>
      </c>
    </row>
    <row r="927">
      <c r="C927" s="539" t="n">
        <v>40792</v>
      </c>
      <c r="D927" t="n">
        <v>182.8999938964844</v>
      </c>
      <c r="E927" t="n">
        <v>268.7200012207031</v>
      </c>
      <c r="F927" t="n">
        <v>28.70181655883789</v>
      </c>
      <c r="G927" t="n">
        <v>73.22470092773438</v>
      </c>
      <c r="H927">
        <f>AVERAGE(D728:D927)</f>
        <v/>
      </c>
      <c r="I927">
        <f>AVERAGE(E728:E927)</f>
        <v/>
      </c>
      <c r="J927">
        <f>AVERAGE(F728:F927)</f>
        <v/>
      </c>
    </row>
    <row r="928">
      <c r="C928" s="539" t="n">
        <v>40793</v>
      </c>
      <c r="D928" t="n">
        <v>177.0800018310547</v>
      </c>
      <c r="E928" t="n">
        <v>277.5199890136719</v>
      </c>
      <c r="F928" t="n">
        <v>28.80496978759766</v>
      </c>
      <c r="G928" t="n">
        <v>73.20878601074219</v>
      </c>
      <c r="H928">
        <f>AVERAGE(D729:D928)</f>
        <v/>
      </c>
      <c r="I928">
        <f>AVERAGE(E729:E928)</f>
        <v/>
      </c>
      <c r="J928">
        <f>AVERAGE(F729:F928)</f>
        <v/>
      </c>
    </row>
    <row r="929">
      <c r="C929" s="539" t="n">
        <v>40794</v>
      </c>
      <c r="D929" t="n">
        <v>181.8099975585938</v>
      </c>
      <c r="E929" t="n">
        <v>275.6799926757812</v>
      </c>
      <c r="F929" t="n">
        <v>28.69322204589844</v>
      </c>
      <c r="G929" t="n">
        <v>73.20878601074219</v>
      </c>
      <c r="H929">
        <f>AVERAGE(D730:D929)</f>
        <v/>
      </c>
      <c r="I929">
        <f>AVERAGE(E730:E929)</f>
        <v/>
      </c>
      <c r="J929">
        <f>AVERAGE(F730:F929)</f>
        <v/>
      </c>
    </row>
    <row r="930">
      <c r="C930" s="539" t="n">
        <v>40795</v>
      </c>
      <c r="D930" t="n">
        <v>180.6999969482422</v>
      </c>
      <c r="E930" t="n">
        <v>270.7999877929688</v>
      </c>
      <c r="F930" t="n">
        <v>28.4525318145752</v>
      </c>
      <c r="G930" t="n">
        <v>73.22470092773438</v>
      </c>
      <c r="H930">
        <f>AVERAGE(D731:D930)</f>
        <v/>
      </c>
      <c r="I930">
        <f>AVERAGE(E731:E930)</f>
        <v/>
      </c>
      <c r="J930">
        <f>AVERAGE(F731:F930)</f>
        <v/>
      </c>
    </row>
    <row r="931">
      <c r="C931" s="539" t="n">
        <v>40798</v>
      </c>
      <c r="D931" t="n">
        <v>176.6699981689453</v>
      </c>
      <c r="E931" t="n">
        <v>275.3599853515625</v>
      </c>
      <c r="F931" t="n">
        <v>28.4525318145752</v>
      </c>
      <c r="G931" t="n">
        <v>73.22470092773438</v>
      </c>
      <c r="H931">
        <f>AVERAGE(D732:D931)</f>
        <v/>
      </c>
      <c r="I931">
        <f>AVERAGE(E732:E931)</f>
        <v/>
      </c>
      <c r="J931">
        <f>AVERAGE(F732:F931)</f>
        <v/>
      </c>
    </row>
    <row r="932">
      <c r="C932" s="539" t="n">
        <v>40799</v>
      </c>
      <c r="D932" t="n">
        <v>178.5399932861328</v>
      </c>
      <c r="E932" t="n">
        <v>278.7999877929688</v>
      </c>
      <c r="F932" t="n">
        <v>28.21184921264648</v>
      </c>
      <c r="G932" t="n">
        <v>73.20878601074219</v>
      </c>
      <c r="H932">
        <f>AVERAGE(D733:D932)</f>
        <v/>
      </c>
      <c r="I932">
        <f>AVERAGE(E733:E932)</f>
        <v/>
      </c>
      <c r="J932">
        <f>AVERAGE(F733:F932)</f>
        <v/>
      </c>
    </row>
    <row r="933">
      <c r="C933" s="539" t="n">
        <v>40800</v>
      </c>
      <c r="D933" t="n">
        <v>177.2100067138672</v>
      </c>
      <c r="E933" t="n">
        <v>274.7200012207031</v>
      </c>
      <c r="F933" t="n">
        <v>28.18606376647949</v>
      </c>
      <c r="G933" t="n">
        <v>73.20878601074219</v>
      </c>
      <c r="H933">
        <f>AVERAGE(D734:D933)</f>
        <v/>
      </c>
      <c r="I933">
        <f>AVERAGE(E734:E933)</f>
        <v/>
      </c>
      <c r="J933">
        <f>AVERAGE(F734:F933)</f>
        <v/>
      </c>
    </row>
    <row r="934">
      <c r="C934" s="539" t="n">
        <v>40801</v>
      </c>
      <c r="D934" t="n">
        <v>174.3999938964844</v>
      </c>
      <c r="E934" t="n">
        <v>276.7999877929688</v>
      </c>
      <c r="F934" t="n">
        <v>27.83362770080566</v>
      </c>
      <c r="G934" t="n">
        <v>73.20878601074219</v>
      </c>
      <c r="H934">
        <f>AVERAGE(D735:D934)</f>
        <v/>
      </c>
      <c r="I934">
        <f>AVERAGE(E735:E934)</f>
        <v/>
      </c>
      <c r="J934">
        <f>AVERAGE(F735:F934)</f>
        <v/>
      </c>
    </row>
    <row r="935">
      <c r="C935" s="539" t="n">
        <v>40802</v>
      </c>
      <c r="D935" t="n">
        <v>176.0299987792969</v>
      </c>
      <c r="E935" t="n">
        <v>273.1199951171875</v>
      </c>
      <c r="F935" t="n">
        <v>27.52417373657227</v>
      </c>
      <c r="G935" t="n">
        <v>73.20878601074219</v>
      </c>
      <c r="H935">
        <f>AVERAGE(D736:D935)</f>
        <v/>
      </c>
      <c r="I935">
        <f>AVERAGE(E736:E935)</f>
        <v/>
      </c>
      <c r="J935">
        <f>AVERAGE(F736:F935)</f>
        <v/>
      </c>
    </row>
    <row r="936">
      <c r="C936" s="539" t="n">
        <v>40805</v>
      </c>
      <c r="D936" t="n">
        <v>173.3099975585938</v>
      </c>
      <c r="E936" t="n">
        <v>266.3200073242188</v>
      </c>
      <c r="F936" t="n">
        <v>27.30927848815918</v>
      </c>
      <c r="G936" t="n">
        <v>73.22470092773438</v>
      </c>
      <c r="H936">
        <f>AVERAGE(D737:D936)</f>
        <v/>
      </c>
      <c r="I936">
        <f>AVERAGE(E737:E936)</f>
        <v/>
      </c>
      <c r="J936">
        <f>AVERAGE(F737:F936)</f>
        <v/>
      </c>
    </row>
    <row r="937">
      <c r="C937" s="539" t="n">
        <v>40806</v>
      </c>
      <c r="D937" t="n">
        <v>175.7799987792969</v>
      </c>
      <c r="E937" t="n">
        <v>267.4400024414062</v>
      </c>
      <c r="F937" t="n">
        <v>27.28348731994629</v>
      </c>
      <c r="G937" t="n">
        <v>73.22470092773438</v>
      </c>
      <c r="H937">
        <f>AVERAGE(D738:D937)</f>
        <v/>
      </c>
      <c r="I937">
        <f>AVERAGE(E738:E937)</f>
        <v/>
      </c>
      <c r="J937">
        <f>AVERAGE(F738:F937)</f>
        <v/>
      </c>
    </row>
    <row r="938">
      <c r="C938" s="539" t="n">
        <v>40807</v>
      </c>
      <c r="D938" t="n">
        <v>173.5899963378906</v>
      </c>
      <c r="E938" t="n">
        <v>263.3599853515625</v>
      </c>
      <c r="F938" t="n">
        <v>26.74194717407227</v>
      </c>
      <c r="G938" t="n">
        <v>73.22470092773438</v>
      </c>
      <c r="H938">
        <f>AVERAGE(D739:D938)</f>
        <v/>
      </c>
      <c r="I938">
        <f>AVERAGE(E739:E938)</f>
        <v/>
      </c>
      <c r="J938">
        <f>AVERAGE(F739:F938)</f>
        <v/>
      </c>
    </row>
    <row r="939">
      <c r="C939" s="539" t="n">
        <v>40808</v>
      </c>
      <c r="D939" t="n">
        <v>169.0500030517578</v>
      </c>
      <c r="E939" t="n">
        <v>249.0399932861328</v>
      </c>
      <c r="F939" t="n">
        <v>26.12303733825684</v>
      </c>
      <c r="G939" t="n">
        <v>73.20878601074219</v>
      </c>
      <c r="H939">
        <f>AVERAGE(D740:D939)</f>
        <v/>
      </c>
      <c r="I939">
        <f>AVERAGE(E740:E939)</f>
        <v/>
      </c>
      <c r="J939">
        <f>AVERAGE(F740:F939)</f>
        <v/>
      </c>
    </row>
    <row r="940">
      <c r="C940" s="539" t="n">
        <v>40809</v>
      </c>
      <c r="D940" t="n">
        <v>159.8000030517578</v>
      </c>
      <c r="E940" t="n">
        <v>248.7200012207031</v>
      </c>
      <c r="F940" t="n">
        <v>25.89954566955566</v>
      </c>
      <c r="G940" t="n">
        <v>73.22470092773438</v>
      </c>
      <c r="H940">
        <f>AVERAGE(D741:D940)</f>
        <v/>
      </c>
      <c r="I940">
        <f>AVERAGE(E741:E940)</f>
        <v/>
      </c>
      <c r="J940">
        <f>AVERAGE(F741:F940)</f>
        <v/>
      </c>
    </row>
    <row r="941">
      <c r="C941" s="539" t="n">
        <v>40812</v>
      </c>
      <c r="D941" t="n">
        <v>157.5800018310547</v>
      </c>
      <c r="E941" t="n">
        <v>251.7599945068359</v>
      </c>
      <c r="F941" t="n">
        <v>26.25197792053223</v>
      </c>
      <c r="G941" t="n">
        <v>73.22470092773438</v>
      </c>
      <c r="H941">
        <f>AVERAGE(D742:D941)</f>
        <v/>
      </c>
      <c r="I941">
        <f>AVERAGE(E742:E941)</f>
        <v/>
      </c>
      <c r="J941">
        <f>AVERAGE(F742:F941)</f>
        <v/>
      </c>
    </row>
    <row r="942">
      <c r="C942" s="539" t="n">
        <v>40813</v>
      </c>
      <c r="D942" t="n">
        <v>160.6300048828125</v>
      </c>
      <c r="E942" t="n">
        <v>258.9599914550781</v>
      </c>
      <c r="F942" t="n">
        <v>26.40670204162598</v>
      </c>
      <c r="G942" t="n">
        <v>73.20878601074219</v>
      </c>
      <c r="H942">
        <f>AVERAGE(D743:D942)</f>
        <v/>
      </c>
      <c r="I942">
        <f>AVERAGE(E743:E942)</f>
        <v/>
      </c>
      <c r="J942">
        <f>AVERAGE(F743:F942)</f>
        <v/>
      </c>
    </row>
    <row r="943">
      <c r="C943" s="539" t="n">
        <v>40814</v>
      </c>
      <c r="D943" t="n">
        <v>156.2200012207031</v>
      </c>
      <c r="E943" t="n">
        <v>250</v>
      </c>
      <c r="F943" t="n">
        <v>25.82218360900879</v>
      </c>
      <c r="G943" t="n">
        <v>73.22470092773438</v>
      </c>
      <c r="H943">
        <f>AVERAGE(D744:D943)</f>
        <v/>
      </c>
      <c r="I943">
        <f>AVERAGE(E744:E943)</f>
        <v/>
      </c>
      <c r="J943">
        <f>AVERAGE(F744:F943)</f>
        <v/>
      </c>
    </row>
    <row r="944">
      <c r="C944" s="539" t="n">
        <v>40815</v>
      </c>
      <c r="D944" t="n">
        <v>157.6999969482422</v>
      </c>
      <c r="E944" t="n">
        <v>255.7599945068359</v>
      </c>
      <c r="F944" t="n">
        <v>26.40670204162598</v>
      </c>
      <c r="G944" t="n">
        <v>73.22470092773438</v>
      </c>
      <c r="H944">
        <f>AVERAGE(D745:D944)</f>
        <v/>
      </c>
      <c r="I944">
        <f>AVERAGE(E745:E944)</f>
        <v/>
      </c>
      <c r="J944">
        <f>AVERAGE(F745:F944)</f>
        <v/>
      </c>
    </row>
    <row r="945">
      <c r="C945" s="539" t="n">
        <v>40816</v>
      </c>
      <c r="D945" t="n">
        <v>158.0599975585938</v>
      </c>
      <c r="E945" t="n">
        <v>243.9199981689453</v>
      </c>
      <c r="F945" t="n">
        <v>25.50413131713867</v>
      </c>
      <c r="G945" t="n">
        <v>73.22470092773438</v>
      </c>
      <c r="H945">
        <f>AVERAGE(D746:D945)</f>
        <v/>
      </c>
      <c r="I945">
        <f>AVERAGE(E746:E945)</f>
        <v/>
      </c>
      <c r="J945">
        <f>AVERAGE(F746:F945)</f>
        <v/>
      </c>
    </row>
    <row r="946">
      <c r="C946" s="539" t="n">
        <v>40819</v>
      </c>
      <c r="D946" t="n">
        <v>160.9600067138672</v>
      </c>
      <c r="E946" t="n">
        <v>237.9199981689453</v>
      </c>
      <c r="F946" t="n">
        <v>25.41817283630371</v>
      </c>
      <c r="G946" t="n">
        <v>73.22470092773438</v>
      </c>
      <c r="H946">
        <f>AVERAGE(D747:D946)</f>
        <v/>
      </c>
      <c r="I946">
        <f>AVERAGE(E747:E946)</f>
        <v/>
      </c>
      <c r="J946">
        <f>AVERAGE(F747:F946)</f>
        <v/>
      </c>
    </row>
    <row r="947">
      <c r="C947" s="539" t="n">
        <v>40820</v>
      </c>
      <c r="D947" t="n">
        <v>157.6399993896484</v>
      </c>
      <c r="E947" t="n">
        <v>239.2799987792969</v>
      </c>
      <c r="F947" t="n">
        <v>25.54711151123047</v>
      </c>
      <c r="G947" t="n">
        <v>73.22470092773438</v>
      </c>
      <c r="H947">
        <f>AVERAGE(D748:D947)</f>
        <v/>
      </c>
      <c r="I947">
        <f>AVERAGE(E748:E947)</f>
        <v/>
      </c>
      <c r="J947">
        <f>AVERAGE(F748:F947)</f>
        <v/>
      </c>
    </row>
    <row r="948">
      <c r="C948" s="539" t="n">
        <v>40821</v>
      </c>
      <c r="D948" t="n">
        <v>159.4600067138672</v>
      </c>
      <c r="E948" t="n">
        <v>246.7200012207031</v>
      </c>
      <c r="F948" t="n">
        <v>25.78779792785645</v>
      </c>
      <c r="G948" t="n">
        <v>73.22470092773438</v>
      </c>
      <c r="H948">
        <f>AVERAGE(D749:D948)</f>
        <v/>
      </c>
      <c r="I948">
        <f>AVERAGE(E749:E948)</f>
        <v/>
      </c>
      <c r="J948">
        <f>AVERAGE(F749:F948)</f>
        <v/>
      </c>
    </row>
    <row r="949">
      <c r="C949" s="539" t="n">
        <v>40822</v>
      </c>
      <c r="D949" t="n">
        <v>160.4900054931641</v>
      </c>
      <c r="E949" t="n">
        <v>255.8399963378906</v>
      </c>
      <c r="F949" t="n">
        <v>25.87375640869141</v>
      </c>
      <c r="G949" t="n">
        <v>73.20878601074219</v>
      </c>
      <c r="H949">
        <f>AVERAGE(D750:D949)</f>
        <v/>
      </c>
      <c r="I949">
        <f>AVERAGE(E750:E949)</f>
        <v/>
      </c>
      <c r="J949">
        <f>AVERAGE(F750:F949)</f>
        <v/>
      </c>
    </row>
    <row r="950">
      <c r="C950" s="539" t="n">
        <v>40823</v>
      </c>
      <c r="D950" t="n">
        <v>159.1799926757812</v>
      </c>
      <c r="E950" t="n">
        <v>256.3200073242188</v>
      </c>
      <c r="F950" t="n">
        <v>25.6932430267334</v>
      </c>
      <c r="G950" t="n">
        <v>73.22470092773438</v>
      </c>
      <c r="H950">
        <f>AVERAGE(D751:D950)</f>
        <v/>
      </c>
      <c r="I950">
        <f>AVERAGE(E751:E950)</f>
        <v/>
      </c>
      <c r="J950">
        <f>AVERAGE(F751:F950)</f>
        <v/>
      </c>
    </row>
    <row r="951">
      <c r="C951" s="539" t="n">
        <v>40826</v>
      </c>
      <c r="D951" t="n">
        <v>163.2700042724609</v>
      </c>
      <c r="E951" t="n">
        <v>265.9200134277344</v>
      </c>
      <c r="F951" t="n">
        <v>25.86515998840332</v>
      </c>
      <c r="G951" t="n">
        <v>73.20878601074219</v>
      </c>
      <c r="H951">
        <f>AVERAGE(D752:D951)</f>
        <v/>
      </c>
      <c r="I951">
        <f>AVERAGE(E752:E951)</f>
        <v/>
      </c>
      <c r="J951">
        <f>AVERAGE(F752:F951)</f>
        <v/>
      </c>
    </row>
    <row r="952">
      <c r="C952" s="539" t="n">
        <v>40827</v>
      </c>
      <c r="D952" t="n">
        <v>162.1000061035156</v>
      </c>
      <c r="E952" t="n">
        <v>264.0799865722656</v>
      </c>
      <c r="F952" t="n">
        <v>26.21759414672852</v>
      </c>
      <c r="G952" t="n">
        <v>73.22470092773438</v>
      </c>
      <c r="H952">
        <f>AVERAGE(D753:D952)</f>
        <v/>
      </c>
      <c r="I952">
        <f>AVERAGE(E753:E952)</f>
        <v/>
      </c>
      <c r="J952">
        <f>AVERAGE(F753:F952)</f>
        <v/>
      </c>
    </row>
    <row r="953">
      <c r="C953" s="539" t="n">
        <v>40828</v>
      </c>
      <c r="D953" t="n">
        <v>163.2599945068359</v>
      </c>
      <c r="E953" t="n">
        <v>263.3599853515625</v>
      </c>
      <c r="F953" t="n">
        <v>26.17461395263672</v>
      </c>
      <c r="G953" t="n">
        <v>73.20878601074219</v>
      </c>
      <c r="H953">
        <f>AVERAGE(D754:D953)</f>
        <v/>
      </c>
      <c r="I953">
        <f>AVERAGE(E754:E953)</f>
        <v/>
      </c>
      <c r="J953">
        <f>AVERAGE(F754:F953)</f>
        <v/>
      </c>
    </row>
    <row r="954">
      <c r="C954" s="539" t="n">
        <v>40829</v>
      </c>
      <c r="D954" t="n">
        <v>162.3000030517578</v>
      </c>
      <c r="E954" t="n">
        <v>261.2000122070312</v>
      </c>
      <c r="F954" t="n">
        <v>26.48406600952148</v>
      </c>
      <c r="G954" t="n">
        <v>73.22470092773438</v>
      </c>
      <c r="H954">
        <f>AVERAGE(D755:D954)</f>
        <v/>
      </c>
      <c r="I954">
        <f>AVERAGE(E755:E954)</f>
        <v/>
      </c>
      <c r="J954">
        <f>AVERAGE(F755:F954)</f>
        <v/>
      </c>
    </row>
    <row r="955">
      <c r="C955" s="539" t="n">
        <v>40830</v>
      </c>
      <c r="D955" t="n">
        <v>163.3999938964844</v>
      </c>
      <c r="E955" t="n">
        <v>270.9599914550781</v>
      </c>
      <c r="F955" t="n">
        <v>26.8021183013916</v>
      </c>
      <c r="G955" t="n">
        <v>73.20878601074219</v>
      </c>
      <c r="H955">
        <f>AVERAGE(D756:D955)</f>
        <v/>
      </c>
      <c r="I955">
        <f>AVERAGE(E756:E955)</f>
        <v/>
      </c>
      <c r="J955">
        <f>AVERAGE(F756:F955)</f>
        <v/>
      </c>
    </row>
    <row r="956">
      <c r="C956" s="539" t="n">
        <v>40833</v>
      </c>
      <c r="D956" t="n">
        <v>162.6199951171875</v>
      </c>
      <c r="E956" t="n">
        <v>267.4400024414062</v>
      </c>
      <c r="F956" t="n">
        <v>26.58721923828125</v>
      </c>
      <c r="G956" t="n">
        <v>73.20878601074219</v>
      </c>
      <c r="H956">
        <f>AVERAGE(D757:D956)</f>
        <v/>
      </c>
      <c r="I956">
        <f>AVERAGE(E757:E956)</f>
        <v/>
      </c>
      <c r="J956">
        <f>AVERAGE(F757:F956)</f>
        <v/>
      </c>
    </row>
    <row r="957">
      <c r="C957" s="539" t="n">
        <v>40834</v>
      </c>
      <c r="D957" t="n">
        <v>161.8399963378906</v>
      </c>
      <c r="E957" t="n">
        <v>273.2000122070312</v>
      </c>
      <c r="F957" t="n">
        <v>26.55283546447754</v>
      </c>
      <c r="G957" t="n">
        <v>73.22470092773438</v>
      </c>
      <c r="H957">
        <f>AVERAGE(D758:D957)</f>
        <v/>
      </c>
      <c r="I957">
        <f>AVERAGE(E758:E957)</f>
        <v/>
      </c>
      <c r="J957">
        <f>AVERAGE(F758:F957)</f>
        <v/>
      </c>
    </row>
    <row r="958">
      <c r="C958" s="539" t="n">
        <v>40835</v>
      </c>
      <c r="D958" t="n">
        <v>159.8699951171875</v>
      </c>
      <c r="E958" t="n">
        <v>266.4800109863281</v>
      </c>
      <c r="F958" t="n">
        <v>26.32074737548828</v>
      </c>
      <c r="G958" t="n">
        <v>73.22470092773438</v>
      </c>
      <c r="H958">
        <f>AVERAGE(D759:D958)</f>
        <v/>
      </c>
      <c r="I958">
        <f>AVERAGE(E759:E958)</f>
        <v/>
      </c>
      <c r="J958">
        <f>AVERAGE(F759:F958)</f>
        <v/>
      </c>
    </row>
    <row r="959">
      <c r="C959" s="539" t="n">
        <v>40836</v>
      </c>
      <c r="D959" t="n">
        <v>157.7700042724609</v>
      </c>
      <c r="E959" t="n">
        <v>266.6400146484375</v>
      </c>
      <c r="F959" t="n">
        <v>26.45828247070312</v>
      </c>
      <c r="G959" t="n">
        <v>73.22470092773438</v>
      </c>
      <c r="H959">
        <f>AVERAGE(D760:D959)</f>
        <v/>
      </c>
      <c r="I959">
        <f>AVERAGE(E760:E959)</f>
        <v/>
      </c>
      <c r="J959">
        <f>AVERAGE(F760:F959)</f>
        <v/>
      </c>
    </row>
    <row r="960">
      <c r="C960" s="539" t="n">
        <v>40837</v>
      </c>
      <c r="D960" t="n">
        <v>159.5200042724609</v>
      </c>
      <c r="E960" t="n">
        <v>270.7999877929688</v>
      </c>
      <c r="F960" t="n">
        <v>26.44108963012695</v>
      </c>
      <c r="G960" t="n">
        <v>73.20878601074219</v>
      </c>
      <c r="H960">
        <f>AVERAGE(D761:D960)</f>
        <v/>
      </c>
      <c r="I960">
        <f>AVERAGE(E761:E960)</f>
        <v/>
      </c>
      <c r="J960">
        <f>AVERAGE(F761:F960)</f>
        <v/>
      </c>
    </row>
    <row r="961">
      <c r="C961" s="539" t="n">
        <v>40840</v>
      </c>
      <c r="D961" t="n">
        <v>161.0200042724609</v>
      </c>
      <c r="E961" t="n">
        <v>283.0400085449219</v>
      </c>
      <c r="F961" t="n">
        <v>26.74194717407227</v>
      </c>
      <c r="G961" t="n">
        <v>73.20878601074219</v>
      </c>
      <c r="H961">
        <f>AVERAGE(D762:D961)</f>
        <v/>
      </c>
      <c r="I961">
        <f>AVERAGE(E762:E961)</f>
        <v/>
      </c>
      <c r="J961">
        <f>AVERAGE(F762:F961)</f>
        <v/>
      </c>
    </row>
    <row r="962">
      <c r="C962" s="539" t="n">
        <v>40841</v>
      </c>
      <c r="D962" t="n">
        <v>165.5899963378906</v>
      </c>
      <c r="E962" t="n">
        <v>286.3999938964844</v>
      </c>
      <c r="F962" t="n">
        <v>26.48406600952148</v>
      </c>
      <c r="G962" t="n">
        <v>73.22470092773438</v>
      </c>
      <c r="H962">
        <f>AVERAGE(D763:D962)</f>
        <v/>
      </c>
      <c r="I962">
        <f>AVERAGE(E763:E962)</f>
        <v/>
      </c>
      <c r="J962">
        <f>AVERAGE(F763:F962)</f>
        <v/>
      </c>
    </row>
    <row r="963">
      <c r="C963" s="539" t="n">
        <v>40842</v>
      </c>
      <c r="D963" t="n">
        <v>167.3999938964844</v>
      </c>
      <c r="E963" t="n">
        <v>280.4800109863281</v>
      </c>
      <c r="F963" t="n">
        <v>26.28636169433594</v>
      </c>
      <c r="G963" t="n">
        <v>73.22470092773438</v>
      </c>
      <c r="H963">
        <f>AVERAGE(D764:D963)</f>
        <v/>
      </c>
      <c r="I963">
        <f>AVERAGE(E764:E963)</f>
        <v/>
      </c>
      <c r="J963">
        <f>AVERAGE(F764:F963)</f>
        <v/>
      </c>
    </row>
    <row r="964">
      <c r="C964" s="539" t="n">
        <v>40843</v>
      </c>
      <c r="D964" t="n">
        <v>169.5500030517578</v>
      </c>
      <c r="E964" t="n">
        <v>289.6799926757812</v>
      </c>
      <c r="F964" t="n">
        <v>26.74194717407227</v>
      </c>
      <c r="G964" t="n">
        <v>73.20878601074219</v>
      </c>
      <c r="H964">
        <f>AVERAGE(D765:D964)</f>
        <v/>
      </c>
      <c r="I964">
        <f>AVERAGE(E765:E964)</f>
        <v/>
      </c>
      <c r="J964">
        <f>AVERAGE(F765:F964)</f>
        <v/>
      </c>
    </row>
    <row r="965">
      <c r="C965" s="539" t="n">
        <v>40844</v>
      </c>
      <c r="D965" t="n">
        <v>169.6199951171875</v>
      </c>
      <c r="E965" t="n">
        <v>288.239990234375</v>
      </c>
      <c r="F965" t="n">
        <v>26.67317962646484</v>
      </c>
      <c r="G965" t="n">
        <v>73.20878601074219</v>
      </c>
      <c r="H965">
        <f>AVERAGE(D766:D965)</f>
        <v/>
      </c>
      <c r="I965">
        <f>AVERAGE(E766:E965)</f>
        <v/>
      </c>
      <c r="J965">
        <f>AVERAGE(F766:F965)</f>
        <v/>
      </c>
    </row>
    <row r="966">
      <c r="C966" s="539" t="n">
        <v>40847</v>
      </c>
      <c r="D966" t="n">
        <v>167.3399963378906</v>
      </c>
      <c r="E966" t="n">
        <v>285.9200134277344</v>
      </c>
      <c r="F966" t="n">
        <v>26.14023017883301</v>
      </c>
      <c r="G966" t="n">
        <v>73.19279479980469</v>
      </c>
      <c r="H966">
        <f>AVERAGE(D767:D966)</f>
        <v/>
      </c>
      <c r="I966">
        <f>AVERAGE(E767:E966)</f>
        <v/>
      </c>
      <c r="J966">
        <f>AVERAGE(F767:F966)</f>
        <v/>
      </c>
    </row>
    <row r="967">
      <c r="C967" s="539" t="n">
        <v>40848</v>
      </c>
      <c r="D967" t="n">
        <v>167.3800048828125</v>
      </c>
      <c r="E967" t="n">
        <v>281.6000061035156</v>
      </c>
      <c r="F967" t="n">
        <v>26.14882850646973</v>
      </c>
      <c r="G967" t="n">
        <v>73.22470092773438</v>
      </c>
      <c r="H967">
        <f>AVERAGE(D768:D967)</f>
        <v/>
      </c>
      <c r="I967">
        <f>AVERAGE(E768:E967)</f>
        <v/>
      </c>
      <c r="J967">
        <f>AVERAGE(F768:F967)</f>
        <v/>
      </c>
    </row>
    <row r="968">
      <c r="C968" s="539" t="n">
        <v>40849</v>
      </c>
      <c r="D968" t="n">
        <v>169.0599975585938</v>
      </c>
      <c r="E968" t="n">
        <v>285.3599853515625</v>
      </c>
      <c r="F968" t="n">
        <v>26.0800609588623</v>
      </c>
      <c r="G968" t="n">
        <v>73.20878601074219</v>
      </c>
      <c r="H968">
        <f>AVERAGE(D769:D968)</f>
        <v/>
      </c>
      <c r="I968">
        <f>AVERAGE(E769:E968)</f>
        <v/>
      </c>
      <c r="J968">
        <f>AVERAGE(F769:F968)</f>
        <v/>
      </c>
    </row>
    <row r="969">
      <c r="C969" s="539" t="n">
        <v>40850</v>
      </c>
      <c r="D969" t="n">
        <v>171.7200012207031</v>
      </c>
      <c r="E969" t="n">
        <v>290.5599975585938</v>
      </c>
      <c r="F969" t="n">
        <v>26.42389869689941</v>
      </c>
      <c r="G969" t="n">
        <v>73.19279479980469</v>
      </c>
      <c r="H969">
        <f>AVERAGE(D770:D969)</f>
        <v/>
      </c>
      <c r="I969">
        <f>AVERAGE(E770:E969)</f>
        <v/>
      </c>
      <c r="J969">
        <f>AVERAGE(F770:F969)</f>
        <v/>
      </c>
    </row>
    <row r="970">
      <c r="C970" s="539" t="n">
        <v>40851</v>
      </c>
      <c r="D970" t="n">
        <v>170.8500061035156</v>
      </c>
      <c r="E970" t="n">
        <v>291.6799926757812</v>
      </c>
      <c r="F970" t="n">
        <v>26.32074737548828</v>
      </c>
      <c r="G970" t="n">
        <v>73.20878601074219</v>
      </c>
      <c r="H970">
        <f>AVERAGE(D771:D970)</f>
        <v/>
      </c>
      <c r="I970">
        <f>AVERAGE(E771:E970)</f>
        <v/>
      </c>
      <c r="J970">
        <f>AVERAGE(F771:F970)</f>
        <v/>
      </c>
    </row>
    <row r="971">
      <c r="C971" s="539" t="n">
        <v>40854</v>
      </c>
      <c r="D971" t="n">
        <v>174.9799957275391</v>
      </c>
      <c r="E971" t="n">
        <v>296.7200012207031</v>
      </c>
      <c r="F971" t="n">
        <v>26.40670204162598</v>
      </c>
      <c r="G971" t="n">
        <v>73.22470092773438</v>
      </c>
      <c r="H971">
        <f>AVERAGE(D772:D971)</f>
        <v/>
      </c>
      <c r="I971">
        <f>AVERAGE(E772:E971)</f>
        <v/>
      </c>
      <c r="J971">
        <f>AVERAGE(F772:F971)</f>
        <v/>
      </c>
    </row>
    <row r="972">
      <c r="C972" s="539" t="n">
        <v>40855</v>
      </c>
      <c r="D972" t="n">
        <v>173.5299987792969</v>
      </c>
      <c r="E972" t="n">
        <v>299.4400024414062</v>
      </c>
      <c r="F972" t="n">
        <v>26.46687698364258</v>
      </c>
      <c r="G972" t="n">
        <v>73.22470092773438</v>
      </c>
      <c r="H972">
        <f>AVERAGE(D773:D972)</f>
        <v/>
      </c>
      <c r="I972">
        <f>AVERAGE(E773:E972)</f>
        <v/>
      </c>
      <c r="J972">
        <f>AVERAGE(F773:F972)</f>
        <v/>
      </c>
    </row>
    <row r="973">
      <c r="C973" s="539" t="n">
        <v>40856</v>
      </c>
      <c r="D973" t="n">
        <v>172.0700073242188</v>
      </c>
      <c r="E973" t="n">
        <v>296</v>
      </c>
      <c r="F973" t="n">
        <v>25.89095115661621</v>
      </c>
      <c r="G973" t="n">
        <v>73.20878601074219</v>
      </c>
      <c r="H973">
        <f>AVERAGE(D774:D973)</f>
        <v/>
      </c>
      <c r="I973">
        <f>AVERAGE(E774:E973)</f>
        <v/>
      </c>
      <c r="J973">
        <f>AVERAGE(F774:F973)</f>
        <v/>
      </c>
    </row>
    <row r="974">
      <c r="C974" s="539" t="n">
        <v>40857</v>
      </c>
      <c r="D974" t="n">
        <v>171.1399993896484</v>
      </c>
      <c r="E974" t="n">
        <v>301.760009765625</v>
      </c>
      <c r="F974" t="n">
        <v>25.71043586730957</v>
      </c>
      <c r="G974" t="n">
        <v>73.22470092773438</v>
      </c>
      <c r="H974">
        <f>AVERAGE(D775:D974)</f>
        <v/>
      </c>
      <c r="I974">
        <f>AVERAGE(E775:E974)</f>
        <v/>
      </c>
      <c r="J974">
        <f>AVERAGE(F775:F974)</f>
        <v/>
      </c>
    </row>
    <row r="975">
      <c r="C975" s="539" t="n">
        <v>40858</v>
      </c>
      <c r="D975" t="n">
        <v>173.9600067138672</v>
      </c>
      <c r="E975" t="n">
        <v>305.6799926757812</v>
      </c>
      <c r="F975" t="n">
        <v>25.82218360900879</v>
      </c>
      <c r="G975" t="n">
        <v>73.20878601074219</v>
      </c>
      <c r="H975">
        <f>AVERAGE(D776:D975)</f>
        <v/>
      </c>
      <c r="I975">
        <f>AVERAGE(E776:E975)</f>
        <v/>
      </c>
      <c r="J975">
        <f>AVERAGE(F776:F975)</f>
        <v/>
      </c>
    </row>
    <row r="976">
      <c r="C976" s="539" t="n">
        <v>40861</v>
      </c>
      <c r="D976" t="n">
        <v>173.1999969482422</v>
      </c>
      <c r="E976" t="n">
        <v>302.8800048828125</v>
      </c>
      <c r="F976" t="n">
        <v>25.65885925292969</v>
      </c>
      <c r="G976" t="n">
        <v>73.22470092773438</v>
      </c>
      <c r="H976">
        <f>AVERAGE(D777:D976)</f>
        <v/>
      </c>
      <c r="I976">
        <f>AVERAGE(E777:E976)</f>
        <v/>
      </c>
      <c r="J976">
        <f>AVERAGE(F777:F976)</f>
        <v/>
      </c>
    </row>
    <row r="977">
      <c r="C977" s="539" t="n">
        <v>40862</v>
      </c>
      <c r="D977" t="n">
        <v>173.3600006103516</v>
      </c>
      <c r="E977" t="n">
        <v>307.4400024414062</v>
      </c>
      <c r="F977" t="n">
        <v>25.89095115661621</v>
      </c>
      <c r="G977" t="n">
        <v>73.20878601074219</v>
      </c>
      <c r="H977">
        <f>AVERAGE(D778:D977)</f>
        <v/>
      </c>
      <c r="I977">
        <f>AVERAGE(E778:E977)</f>
        <v/>
      </c>
      <c r="J977">
        <f>AVERAGE(F778:F977)</f>
        <v/>
      </c>
    </row>
    <row r="978">
      <c r="C978" s="539" t="n">
        <v>40863</v>
      </c>
      <c r="D978" t="n">
        <v>171.5099945068359</v>
      </c>
      <c r="E978" t="n">
        <v>314.7200012207031</v>
      </c>
      <c r="F978" t="n">
        <v>25.68464469909668</v>
      </c>
      <c r="G978" t="n">
        <v>73.22470092773438</v>
      </c>
      <c r="H978">
        <f>AVERAGE(D779:D978)</f>
        <v/>
      </c>
      <c r="I978">
        <f>AVERAGE(E779:E978)</f>
        <v/>
      </c>
      <c r="J978">
        <f>AVERAGE(F779:F978)</f>
        <v/>
      </c>
    </row>
    <row r="979">
      <c r="C979" s="539" t="n">
        <v>40864</v>
      </c>
      <c r="D979" t="n">
        <v>167.1000061035156</v>
      </c>
      <c r="E979" t="n">
        <v>305.8399963378906</v>
      </c>
      <c r="F979" t="n">
        <v>25.3408088684082</v>
      </c>
      <c r="G979" t="n">
        <v>73.22470092773438</v>
      </c>
      <c r="H979">
        <f>AVERAGE(D780:D979)</f>
        <v/>
      </c>
      <c r="I979">
        <f>AVERAGE(E780:E979)</f>
        <v/>
      </c>
      <c r="J979">
        <f>AVERAGE(F780:F979)</f>
        <v/>
      </c>
    </row>
    <row r="980">
      <c r="C980" s="539" t="n">
        <v>40865</v>
      </c>
      <c r="D980" t="n">
        <v>167.6199951171875</v>
      </c>
      <c r="E980" t="n">
        <v>302.5599975585938</v>
      </c>
      <c r="F980" t="n">
        <v>25.18608093261719</v>
      </c>
      <c r="G980" t="n">
        <v>73.22470092773438</v>
      </c>
      <c r="H980">
        <f>AVERAGE(D781:D980)</f>
        <v/>
      </c>
      <c r="I980">
        <f>AVERAGE(E781:E980)</f>
        <v/>
      </c>
      <c r="J980">
        <f>AVERAGE(F781:F980)</f>
        <v/>
      </c>
    </row>
    <row r="981">
      <c r="C981" s="539" t="n">
        <v>40868</v>
      </c>
      <c r="D981" t="n">
        <v>163.5</v>
      </c>
      <c r="E981" t="n">
        <v>300.7200012207031</v>
      </c>
      <c r="F981" t="n">
        <v>25.10871887207031</v>
      </c>
      <c r="G981" t="n">
        <v>73.22470092773438</v>
      </c>
      <c r="H981">
        <f>AVERAGE(D782:D981)</f>
        <v/>
      </c>
      <c r="I981">
        <f>AVERAGE(E782:E981)</f>
        <v/>
      </c>
      <c r="J981">
        <f>AVERAGE(F782:F981)</f>
        <v/>
      </c>
    </row>
    <row r="982">
      <c r="C982" s="539" t="n">
        <v>40869</v>
      </c>
      <c r="D982" t="n">
        <v>165.3099975585938</v>
      </c>
      <c r="E982" t="n">
        <v>302.5599975585938</v>
      </c>
      <c r="F982" t="n">
        <v>24.98837471008301</v>
      </c>
      <c r="G982" t="n">
        <v>73.20878601074219</v>
      </c>
      <c r="H982">
        <f>AVERAGE(D783:D982)</f>
        <v/>
      </c>
      <c r="I982">
        <f>AVERAGE(E783:E982)</f>
        <v/>
      </c>
      <c r="J982">
        <f>AVERAGE(F783:F982)</f>
        <v/>
      </c>
    </row>
    <row r="983">
      <c r="C983" s="539" t="n">
        <v>40870</v>
      </c>
      <c r="D983" t="n">
        <v>164.8300018310547</v>
      </c>
      <c r="E983" t="n">
        <v>297.2799987792969</v>
      </c>
      <c r="F983" t="n">
        <v>24.76488304138184</v>
      </c>
      <c r="G983" t="n">
        <v>73.22470092773438</v>
      </c>
      <c r="H983">
        <f>AVERAGE(D784:D983)</f>
        <v/>
      </c>
      <c r="I983">
        <f>AVERAGE(E784:E983)</f>
        <v/>
      </c>
      <c r="J983">
        <f>AVERAGE(F784:F983)</f>
        <v/>
      </c>
    </row>
    <row r="984">
      <c r="C984" s="539" t="n">
        <v>40872</v>
      </c>
      <c r="D984" t="n">
        <v>163.3999938964844</v>
      </c>
      <c r="E984" t="n">
        <v>297.2799987792969</v>
      </c>
      <c r="F984" t="n">
        <v>24.54138565063477</v>
      </c>
      <c r="G984" t="n">
        <v>73.22470092773438</v>
      </c>
      <c r="H984">
        <f>AVERAGE(D785:D984)</f>
        <v/>
      </c>
      <c r="I984">
        <f>AVERAGE(E785:E984)</f>
        <v/>
      </c>
      <c r="J984">
        <f>AVERAGE(F785:F984)</f>
        <v/>
      </c>
    </row>
    <row r="985">
      <c r="C985" s="539" t="n">
        <v>40875</v>
      </c>
      <c r="D985" t="n">
        <v>166.6300048828125</v>
      </c>
      <c r="E985" t="n">
        <v>302.7999877929688</v>
      </c>
      <c r="F985" t="n">
        <v>24.61015319824219</v>
      </c>
      <c r="G985" t="n">
        <v>73.22470092773438</v>
      </c>
      <c r="H985">
        <f>AVERAGE(D786:D985)</f>
        <v/>
      </c>
      <c r="I985">
        <f>AVERAGE(E786:E985)</f>
        <v/>
      </c>
      <c r="J985">
        <f>AVERAGE(F786:F985)</f>
        <v/>
      </c>
    </row>
    <row r="986">
      <c r="C986" s="539" t="n">
        <v>40876</v>
      </c>
      <c r="D986" t="n">
        <v>166.8800048828125</v>
      </c>
      <c r="E986" t="n">
        <v>308.3999938964844</v>
      </c>
      <c r="F986" t="n">
        <v>24.73909378051758</v>
      </c>
      <c r="G986" t="n">
        <v>73.19279479980469</v>
      </c>
      <c r="H986">
        <f>AVERAGE(D787:D986)</f>
        <v/>
      </c>
      <c r="I986">
        <f>AVERAGE(E787:E986)</f>
        <v/>
      </c>
      <c r="J986">
        <f>AVERAGE(F787:F986)</f>
        <v/>
      </c>
    </row>
    <row r="987">
      <c r="C987" s="539" t="n">
        <v>40877</v>
      </c>
      <c r="D987" t="n">
        <v>170.1300048828125</v>
      </c>
      <c r="E987" t="n">
        <v>310.239990234375</v>
      </c>
      <c r="F987" t="n">
        <v>24.91960906982422</v>
      </c>
      <c r="G987" t="n">
        <v>73.20878601074219</v>
      </c>
      <c r="H987">
        <f>AVERAGE(D788:D987)</f>
        <v/>
      </c>
      <c r="I987">
        <f>AVERAGE(E788:E987)</f>
        <v/>
      </c>
      <c r="J987">
        <f>AVERAGE(F788:F987)</f>
        <v/>
      </c>
    </row>
    <row r="988">
      <c r="C988" s="539" t="n">
        <v>40878</v>
      </c>
      <c r="D988" t="n">
        <v>169.6300048828125</v>
      </c>
      <c r="E988" t="n">
        <v>308.8800048828125</v>
      </c>
      <c r="F988" t="n">
        <v>24.84224510192871</v>
      </c>
      <c r="G988" t="n">
        <v>73.19279479980469</v>
      </c>
      <c r="H988">
        <f>AVERAGE(D789:D988)</f>
        <v/>
      </c>
      <c r="I988">
        <f>AVERAGE(E789:E988)</f>
        <v/>
      </c>
      <c r="J988">
        <f>AVERAGE(F789:F988)</f>
        <v/>
      </c>
    </row>
    <row r="989">
      <c r="C989" s="539" t="n">
        <v>40879</v>
      </c>
      <c r="D989" t="n">
        <v>169.8200073242188</v>
      </c>
      <c r="E989" t="n">
        <v>312.239990234375</v>
      </c>
      <c r="F989" t="n">
        <v>24.72190284729004</v>
      </c>
      <c r="G989" t="n">
        <v>73.20878601074219</v>
      </c>
      <c r="H989">
        <f>AVERAGE(D790:D989)</f>
        <v/>
      </c>
      <c r="I989">
        <f>AVERAGE(E790:E989)</f>
        <v/>
      </c>
      <c r="J989">
        <f>AVERAGE(F790:F989)</f>
        <v/>
      </c>
    </row>
    <row r="990">
      <c r="C990" s="539" t="n">
        <v>40882</v>
      </c>
      <c r="D990" t="n">
        <v>167.3200073242188</v>
      </c>
      <c r="E990" t="n">
        <v>312.0799865722656</v>
      </c>
      <c r="F990" t="n">
        <v>24.61015319824219</v>
      </c>
      <c r="G990" t="n">
        <v>73.20878601074219</v>
      </c>
      <c r="H990">
        <f>AVERAGE(D791:D990)</f>
        <v/>
      </c>
      <c r="I990">
        <f>AVERAGE(E791:E990)</f>
        <v/>
      </c>
      <c r="J990">
        <f>AVERAGE(F791:F990)</f>
        <v/>
      </c>
    </row>
    <row r="991">
      <c r="C991" s="539" t="n">
        <v>40883</v>
      </c>
      <c r="D991" t="n">
        <v>168.1799926757812</v>
      </c>
      <c r="E991" t="n">
        <v>312</v>
      </c>
      <c r="F991" t="n">
        <v>24.67032623291016</v>
      </c>
      <c r="G991" t="n">
        <v>73.22470092773438</v>
      </c>
      <c r="H991">
        <f>AVERAGE(D792:D991)</f>
        <v/>
      </c>
      <c r="I991">
        <f>AVERAGE(E792:E991)</f>
        <v/>
      </c>
      <c r="J991">
        <f>AVERAGE(F792:F991)</f>
        <v/>
      </c>
    </row>
    <row r="992">
      <c r="C992" s="539" t="n">
        <v>40884</v>
      </c>
      <c r="D992" t="n">
        <v>169.3999938964844</v>
      </c>
      <c r="E992" t="n">
        <v>310.4800109863281</v>
      </c>
      <c r="F992" t="n">
        <v>24.35227584838867</v>
      </c>
      <c r="G992" t="n">
        <v>73.20878601074219</v>
      </c>
      <c r="H992">
        <f>AVERAGE(D793:D992)</f>
        <v/>
      </c>
      <c r="I992">
        <f>AVERAGE(E793:E992)</f>
        <v/>
      </c>
      <c r="J992">
        <f>AVERAGE(F793:F992)</f>
        <v/>
      </c>
    </row>
    <row r="993">
      <c r="C993" s="539" t="n">
        <v>40885</v>
      </c>
      <c r="D993" t="n">
        <v>165.9799957275391</v>
      </c>
      <c r="E993" t="n">
        <v>302.239990234375</v>
      </c>
      <c r="F993" t="n">
        <v>24.34367942810059</v>
      </c>
      <c r="G993" t="n">
        <v>73.20878601074219</v>
      </c>
      <c r="H993">
        <f>AVERAGE(D794:D993)</f>
        <v/>
      </c>
      <c r="I993">
        <f>AVERAGE(E794:E993)</f>
        <v/>
      </c>
      <c r="J993">
        <f>AVERAGE(F794:F993)</f>
        <v/>
      </c>
    </row>
    <row r="994">
      <c r="C994" s="539" t="n">
        <v>40886</v>
      </c>
      <c r="D994" t="n">
        <v>166.3999938964844</v>
      </c>
      <c r="E994" t="n">
        <v>308</v>
      </c>
      <c r="F994" t="n">
        <v>24.07720565795898</v>
      </c>
      <c r="G994" t="n">
        <v>73.19279479980469</v>
      </c>
      <c r="H994">
        <f>AVERAGE(D795:D994)</f>
        <v/>
      </c>
      <c r="I994">
        <f>AVERAGE(E795:E994)</f>
        <v/>
      </c>
      <c r="J994">
        <f>AVERAGE(F795:F994)</f>
        <v/>
      </c>
    </row>
    <row r="995">
      <c r="C995" s="539" t="n">
        <v>40889</v>
      </c>
      <c r="D995" t="n">
        <v>161.9900054931641</v>
      </c>
      <c r="E995" t="n">
        <v>303.0400085449219</v>
      </c>
      <c r="F995" t="n">
        <v>24.04282188415527</v>
      </c>
      <c r="G995" t="n">
        <v>73.19279479980469</v>
      </c>
      <c r="H995">
        <f>AVERAGE(D796:D995)</f>
        <v/>
      </c>
      <c r="I995">
        <f>AVERAGE(E796:E995)</f>
        <v/>
      </c>
      <c r="J995">
        <f>AVERAGE(F796:F995)</f>
        <v/>
      </c>
    </row>
    <row r="996">
      <c r="C996" s="539" t="n">
        <v>40890</v>
      </c>
      <c r="D996" t="n">
        <v>158.4499969482422</v>
      </c>
      <c r="E996" t="n">
        <v>308.8800048828125</v>
      </c>
      <c r="F996" t="n">
        <v>24.18895149230957</v>
      </c>
      <c r="G996" t="n">
        <v>73.19279479980469</v>
      </c>
      <c r="H996">
        <f>AVERAGE(D797:D996)</f>
        <v/>
      </c>
      <c r="I996">
        <f>AVERAGE(E797:E996)</f>
        <v/>
      </c>
      <c r="J996">
        <f>AVERAGE(F797:F996)</f>
        <v/>
      </c>
    </row>
    <row r="997">
      <c r="C997" s="539" t="n">
        <v>40891</v>
      </c>
      <c r="D997" t="n">
        <v>152.8899993896484</v>
      </c>
      <c r="E997" t="n">
        <v>293.2799987792969</v>
      </c>
      <c r="F997" t="n">
        <v>23.80213737487793</v>
      </c>
      <c r="G997" t="n">
        <v>73.20878601074219</v>
      </c>
      <c r="H997">
        <f>AVERAGE(D798:D997)</f>
        <v/>
      </c>
      <c r="I997">
        <f>AVERAGE(E798:E997)</f>
        <v/>
      </c>
      <c r="J997">
        <f>AVERAGE(F798:F997)</f>
        <v/>
      </c>
    </row>
    <row r="998">
      <c r="C998" s="539" t="n">
        <v>40892</v>
      </c>
      <c r="D998" t="n">
        <v>152.3300018310547</v>
      </c>
      <c r="E998" t="n">
        <v>289.0400085449219</v>
      </c>
      <c r="F998" t="n">
        <v>23.73336791992188</v>
      </c>
      <c r="G998" t="n">
        <v>73.19279479980469</v>
      </c>
      <c r="H998">
        <f>AVERAGE(D799:D998)</f>
        <v/>
      </c>
      <c r="I998">
        <f>AVERAGE(E799:E998)</f>
        <v/>
      </c>
      <c r="J998">
        <f>AVERAGE(F799:F998)</f>
        <v/>
      </c>
    </row>
    <row r="999">
      <c r="C999" s="539" t="n">
        <v>40893</v>
      </c>
      <c r="D999" t="n">
        <v>155.2299957275391</v>
      </c>
      <c r="E999" t="n">
        <v>290.1600036621094</v>
      </c>
      <c r="F999" t="n">
        <v>23.73336791992188</v>
      </c>
      <c r="G999" t="n">
        <v>73.20878601074219</v>
      </c>
      <c r="H999">
        <f>AVERAGE(D800:D999)</f>
        <v/>
      </c>
      <c r="I999">
        <f>AVERAGE(E800:E999)</f>
        <v/>
      </c>
      <c r="J999">
        <f>AVERAGE(F800:F999)</f>
        <v/>
      </c>
    </row>
    <row r="1000">
      <c r="C1000" s="539" t="n">
        <v>40896</v>
      </c>
      <c r="D1000" t="n">
        <v>154.8699951171875</v>
      </c>
      <c r="E1000" t="n">
        <v>289.6000061035156</v>
      </c>
      <c r="F1000" t="n">
        <v>24.06001472473145</v>
      </c>
      <c r="G1000" t="n">
        <v>73.20878601074219</v>
      </c>
      <c r="H1000">
        <f>AVERAGE(D801:D1000)</f>
        <v/>
      </c>
      <c r="I1000">
        <f>AVERAGE(E801:E1000)</f>
        <v/>
      </c>
      <c r="J1000">
        <f>AVERAGE(F801:F1000)</f>
        <v/>
      </c>
    </row>
    <row r="1001">
      <c r="C1001" s="539" t="n">
        <v>40897</v>
      </c>
      <c r="D1001" t="n">
        <v>156.9799957275391</v>
      </c>
      <c r="E1001" t="n">
        <v>300.4800109863281</v>
      </c>
      <c r="F1001" t="n">
        <v>24.30929565429688</v>
      </c>
      <c r="G1001" t="n">
        <v>73.20878601074219</v>
      </c>
      <c r="H1001">
        <f>AVERAGE(D802:D1001)</f>
        <v/>
      </c>
      <c r="I1001">
        <f>AVERAGE(E802:E1001)</f>
        <v/>
      </c>
      <c r="J1001">
        <f>AVERAGE(F802:F1001)</f>
        <v/>
      </c>
    </row>
    <row r="1002">
      <c r="C1002" s="539" t="n">
        <v>40898</v>
      </c>
      <c r="D1002" t="n">
        <v>157.1600036621094</v>
      </c>
      <c r="E1002" t="n">
        <v>304.8800048828125</v>
      </c>
      <c r="F1002" t="n">
        <v>24.39525413513184</v>
      </c>
      <c r="G1002" t="n">
        <v>73.20878601074219</v>
      </c>
      <c r="H1002">
        <f>AVERAGE(D803:D1002)</f>
        <v/>
      </c>
      <c r="I1002">
        <f>AVERAGE(E803:E1002)</f>
        <v/>
      </c>
      <c r="J1002">
        <f>AVERAGE(F803:F1002)</f>
        <v/>
      </c>
    </row>
    <row r="1003">
      <c r="C1003" s="539" t="n">
        <v>40899</v>
      </c>
      <c r="D1003" t="n">
        <v>156.0399932861328</v>
      </c>
      <c r="E1003" t="n">
        <v>306.239990234375</v>
      </c>
      <c r="F1003" t="n">
        <v>24.53279304504395</v>
      </c>
      <c r="G1003" t="n">
        <v>73.20878601074219</v>
      </c>
      <c r="H1003">
        <f>AVERAGE(D804:D1003)</f>
        <v/>
      </c>
      <c r="I1003">
        <f>AVERAGE(E804:E1003)</f>
        <v/>
      </c>
      <c r="J1003">
        <f>AVERAGE(F804:F1003)</f>
        <v/>
      </c>
    </row>
    <row r="1004">
      <c r="C1004" s="539" t="n">
        <v>40900</v>
      </c>
      <c r="D1004" t="n">
        <v>156.3099975585938</v>
      </c>
      <c r="E1004" t="n">
        <v>307.9200134277344</v>
      </c>
      <c r="F1004" t="n">
        <v>24.5843677520752</v>
      </c>
      <c r="G1004" t="n">
        <v>73.20878601074219</v>
      </c>
      <c r="H1004">
        <f>AVERAGE(D805:D1004)</f>
        <v/>
      </c>
      <c r="I1004">
        <f>AVERAGE(E805:E1004)</f>
        <v/>
      </c>
      <c r="J1004">
        <f>AVERAGE(F805:F1004)</f>
        <v/>
      </c>
    </row>
    <row r="1005">
      <c r="C1005" s="539" t="n">
        <v>40904</v>
      </c>
      <c r="D1005" t="n">
        <v>154.9100036621094</v>
      </c>
      <c r="E1005" t="n">
        <v>312.4800109863281</v>
      </c>
      <c r="F1005" t="n">
        <v>24.84224510192871</v>
      </c>
      <c r="G1005" t="n">
        <v>73.19279479980469</v>
      </c>
      <c r="H1005">
        <f>AVERAGE(D806:D1005)</f>
        <v/>
      </c>
      <c r="I1005">
        <f>AVERAGE(E806:E1005)</f>
        <v/>
      </c>
      <c r="J1005">
        <f>AVERAGE(F806:F1005)</f>
        <v/>
      </c>
    </row>
    <row r="1006">
      <c r="C1006" s="539" t="n">
        <v>40905</v>
      </c>
      <c r="D1006" t="n">
        <v>151.0299987792969</v>
      </c>
      <c r="E1006" t="n">
        <v>306.7200012207031</v>
      </c>
      <c r="F1006" t="n">
        <v>24.79926681518555</v>
      </c>
      <c r="G1006" t="n">
        <v>73.19601440429688</v>
      </c>
      <c r="H1006">
        <f>AVERAGE(D807:D1006)</f>
        <v/>
      </c>
      <c r="I1006">
        <f>AVERAGE(E807:E1006)</f>
        <v/>
      </c>
      <c r="J1006">
        <f>AVERAGE(F807:F1006)</f>
        <v/>
      </c>
    </row>
    <row r="1007">
      <c r="C1007" s="539" t="n">
        <v>40906</v>
      </c>
      <c r="D1007" t="n">
        <v>150.3399963378906</v>
      </c>
      <c r="E1007" t="n">
        <v>307.2799987792969</v>
      </c>
      <c r="F1007" t="n">
        <v>24.73049926757812</v>
      </c>
      <c r="G1007" t="n">
        <v>73.19601440429688</v>
      </c>
      <c r="H1007">
        <f>AVERAGE(D808:D1007)</f>
        <v/>
      </c>
      <c r="I1007">
        <f>AVERAGE(E808:E1007)</f>
        <v/>
      </c>
      <c r="J1007">
        <f>AVERAGE(F808:F1007)</f>
        <v/>
      </c>
    </row>
    <row r="1008">
      <c r="C1008" s="539" t="n">
        <v>40907</v>
      </c>
      <c r="D1008" t="n">
        <v>151.9900054931641</v>
      </c>
      <c r="E1008" t="n">
        <v>304.8800048828125</v>
      </c>
      <c r="F1008" t="n">
        <v>24.82505035400391</v>
      </c>
      <c r="G1008" t="n">
        <v>73.19601440429688</v>
      </c>
      <c r="H1008">
        <f>AVERAGE(D809:D1008)</f>
        <v/>
      </c>
      <c r="I1008">
        <f>AVERAGE(E809:E1008)</f>
        <v/>
      </c>
      <c r="J1008">
        <f>AVERAGE(F809:F1008)</f>
        <v/>
      </c>
    </row>
    <row r="1009">
      <c r="C1009" s="539" t="n">
        <v>40911</v>
      </c>
      <c r="D1009" t="n">
        <v>155.9199981689453</v>
      </c>
      <c r="E1009" t="n">
        <v>317.5199890136719</v>
      </c>
      <c r="F1009" t="n">
        <v>25.03135681152344</v>
      </c>
      <c r="G1009" t="n">
        <v>73.17998504638672</v>
      </c>
      <c r="H1009">
        <f>AVERAGE(D810:D1009)</f>
        <v/>
      </c>
      <c r="I1009">
        <f>AVERAGE(E810:E1009)</f>
        <v/>
      </c>
      <c r="J1009">
        <f>AVERAGE(F810:F1009)</f>
        <v/>
      </c>
    </row>
    <row r="1010">
      <c r="C1010" s="539" t="n">
        <v>40912</v>
      </c>
      <c r="D1010" t="n">
        <v>156.7100067138672</v>
      </c>
      <c r="E1010" t="n">
        <v>318.1600036621094</v>
      </c>
      <c r="F1010" t="n">
        <v>24.94539642333984</v>
      </c>
      <c r="G1010" t="n">
        <v>73.17998504638672</v>
      </c>
      <c r="H1010">
        <f>AVERAGE(D811:D1010)</f>
        <v/>
      </c>
      <c r="I1010">
        <f>AVERAGE(E811:E1010)</f>
        <v/>
      </c>
      <c r="J1010">
        <f>AVERAGE(F811:F1010)</f>
        <v/>
      </c>
    </row>
    <row r="1011">
      <c r="C1011" s="539" t="n">
        <v>40913</v>
      </c>
      <c r="D1011" t="n">
        <v>157.7799987792969</v>
      </c>
      <c r="E1011" t="n">
        <v>313.3599853515625</v>
      </c>
      <c r="F1011" t="n">
        <v>24.41244697570801</v>
      </c>
      <c r="G1011" t="n">
        <v>73.17998504638672</v>
      </c>
      <c r="H1011">
        <f>AVERAGE(D812:D1011)</f>
        <v/>
      </c>
      <c r="I1011">
        <f>AVERAGE(E812:E1011)</f>
        <v/>
      </c>
      <c r="J1011">
        <f>AVERAGE(F812:F1011)</f>
        <v/>
      </c>
    </row>
    <row r="1012">
      <c r="C1012" s="539" t="n">
        <v>40914</v>
      </c>
      <c r="D1012" t="n">
        <v>157.1999969482422</v>
      </c>
      <c r="E1012" t="n">
        <v>313.760009765625</v>
      </c>
      <c r="F1012" t="n">
        <v>24.36946868896484</v>
      </c>
      <c r="G1012" t="n">
        <v>73.17998504638672</v>
      </c>
      <c r="H1012">
        <f>AVERAGE(D813:D1012)</f>
        <v/>
      </c>
      <c r="I1012">
        <f>AVERAGE(E813:E1012)</f>
        <v/>
      </c>
      <c r="J1012">
        <f>AVERAGE(F813:F1012)</f>
        <v/>
      </c>
    </row>
    <row r="1013">
      <c r="C1013" s="539" t="n">
        <v>40917</v>
      </c>
      <c r="D1013" t="n">
        <v>156.5</v>
      </c>
      <c r="E1013" t="n">
        <v>312.6400146484375</v>
      </c>
      <c r="F1013" t="n">
        <v>24.75628280639648</v>
      </c>
      <c r="G1013" t="n">
        <v>73.19601440429688</v>
      </c>
      <c r="H1013">
        <f>AVERAGE(D814:D1013)</f>
        <v/>
      </c>
      <c r="I1013">
        <f>AVERAGE(E814:E1013)</f>
        <v/>
      </c>
      <c r="J1013">
        <f>AVERAGE(F814:F1013)</f>
        <v/>
      </c>
    </row>
    <row r="1014">
      <c r="C1014" s="539" t="n">
        <v>40918</v>
      </c>
      <c r="D1014" t="n">
        <v>158.6399993896484</v>
      </c>
      <c r="E1014" t="n">
        <v>314.7200012207031</v>
      </c>
      <c r="F1014" t="n">
        <v>25.12591171264648</v>
      </c>
      <c r="G1014" t="n">
        <v>73.19601440429688</v>
      </c>
      <c r="H1014">
        <f>AVERAGE(D815:D1014)</f>
        <v/>
      </c>
      <c r="I1014">
        <f>AVERAGE(E815:E1014)</f>
        <v/>
      </c>
      <c r="J1014">
        <f>AVERAGE(F815:F1014)</f>
        <v/>
      </c>
    </row>
    <row r="1015">
      <c r="C1015" s="539" t="n">
        <v>40919</v>
      </c>
      <c r="D1015" t="n">
        <v>159.6699981689453</v>
      </c>
      <c r="E1015" t="n">
        <v>311.3599853515625</v>
      </c>
      <c r="F1015" t="n">
        <v>25.14310073852539</v>
      </c>
      <c r="G1015" t="n">
        <v>73.17998504638672</v>
      </c>
      <c r="H1015">
        <f>AVERAGE(D816:D1015)</f>
        <v/>
      </c>
      <c r="I1015">
        <f>AVERAGE(E816:E1015)</f>
        <v/>
      </c>
      <c r="J1015">
        <f>AVERAGE(F816:F1015)</f>
        <v/>
      </c>
    </row>
    <row r="1016">
      <c r="C1016" s="539" t="n">
        <v>40920</v>
      </c>
      <c r="D1016" t="n">
        <v>160.3800048828125</v>
      </c>
      <c r="E1016" t="n">
        <v>304.4800109863281</v>
      </c>
      <c r="F1016" t="n">
        <v>24.76488304138184</v>
      </c>
      <c r="G1016" t="n">
        <v>73.17998504638672</v>
      </c>
      <c r="H1016">
        <f>AVERAGE(D817:D1016)</f>
        <v/>
      </c>
      <c r="I1016">
        <f>AVERAGE(E817:E1016)</f>
        <v/>
      </c>
      <c r="J1016">
        <f>AVERAGE(F817:F1016)</f>
        <v/>
      </c>
    </row>
    <row r="1017">
      <c r="C1017" s="539" t="n">
        <v>40921</v>
      </c>
      <c r="D1017" t="n">
        <v>159.2599945068359</v>
      </c>
      <c r="E1017" t="n">
        <v>305.2799987792969</v>
      </c>
      <c r="F1017" t="n">
        <v>24.60156059265137</v>
      </c>
      <c r="G1017" t="n">
        <v>73.17998504638672</v>
      </c>
      <c r="H1017">
        <f>AVERAGE(D818:D1017)</f>
        <v/>
      </c>
      <c r="I1017">
        <f>AVERAGE(E818:E1017)</f>
        <v/>
      </c>
      <c r="J1017">
        <f>AVERAGE(F818:F1017)</f>
        <v/>
      </c>
    </row>
    <row r="1018">
      <c r="C1018" s="539" t="n">
        <v>40925</v>
      </c>
      <c r="D1018" t="n">
        <v>160.5</v>
      </c>
      <c r="E1018" t="n">
        <v>310.3200073242188</v>
      </c>
      <c r="F1018" t="n">
        <v>24.65313339233398</v>
      </c>
      <c r="G1018" t="n">
        <v>73.17998504638672</v>
      </c>
      <c r="H1018">
        <f>AVERAGE(D819:D1018)</f>
        <v/>
      </c>
      <c r="I1018">
        <f>AVERAGE(E819:E1018)</f>
        <v/>
      </c>
      <c r="J1018">
        <f>AVERAGE(F819:F1018)</f>
        <v/>
      </c>
    </row>
    <row r="1019">
      <c r="C1019" s="539" t="n">
        <v>40926</v>
      </c>
      <c r="D1019" t="n">
        <v>161.6000061035156</v>
      </c>
      <c r="E1019" t="n">
        <v>310.6400146484375</v>
      </c>
      <c r="F1019" t="n">
        <v>24.61015319824219</v>
      </c>
      <c r="G1019" t="n">
        <v>73.17998504638672</v>
      </c>
      <c r="H1019">
        <f>AVERAGE(D820:D1019)</f>
        <v/>
      </c>
      <c r="I1019">
        <f>AVERAGE(E820:E1019)</f>
        <v/>
      </c>
      <c r="J1019">
        <f>AVERAGE(F820:F1019)</f>
        <v/>
      </c>
    </row>
    <row r="1020">
      <c r="C1020" s="539" t="n">
        <v>40927</v>
      </c>
      <c r="D1020" t="n">
        <v>161.2200012207031</v>
      </c>
      <c r="E1020" t="n">
        <v>309.5199890136719</v>
      </c>
      <c r="F1020" t="n">
        <v>24.79926681518555</v>
      </c>
      <c r="G1020" t="n">
        <v>73.17998504638672</v>
      </c>
      <c r="H1020">
        <f>AVERAGE(D821:D1020)</f>
        <v/>
      </c>
      <c r="I1020">
        <f>AVERAGE(E821:E1020)</f>
        <v/>
      </c>
      <c r="J1020">
        <f>AVERAGE(F821:F1020)</f>
        <v/>
      </c>
    </row>
    <row r="1021">
      <c r="C1021" s="539" t="n">
        <v>40928</v>
      </c>
      <c r="D1021" t="n">
        <v>162.0700073242188</v>
      </c>
      <c r="E1021" t="n">
        <v>302.239990234375</v>
      </c>
      <c r="F1021" t="n">
        <v>24.73909378051758</v>
      </c>
      <c r="G1021" t="n">
        <v>73.17998504638672</v>
      </c>
      <c r="H1021">
        <f>AVERAGE(D822:D1021)</f>
        <v/>
      </c>
      <c r="I1021">
        <f>AVERAGE(E822:E1021)</f>
        <v/>
      </c>
      <c r="J1021">
        <f>AVERAGE(F822:F1021)</f>
        <v/>
      </c>
    </row>
    <row r="1022">
      <c r="C1022" s="539" t="n">
        <v>40931</v>
      </c>
      <c r="D1022" t="n">
        <v>163.1600036621094</v>
      </c>
      <c r="E1022" t="n">
        <v>307.1199951171875</v>
      </c>
      <c r="F1022" t="n">
        <v>24.8680305480957</v>
      </c>
      <c r="G1022" t="n">
        <v>73.17998504638672</v>
      </c>
      <c r="H1022">
        <f>AVERAGE(D823:D1022)</f>
        <v/>
      </c>
      <c r="I1022">
        <f>AVERAGE(E823:E1022)</f>
        <v/>
      </c>
      <c r="J1022">
        <f>AVERAGE(F823:F1022)</f>
        <v/>
      </c>
    </row>
    <row r="1023">
      <c r="C1023" s="539" t="n">
        <v>40932</v>
      </c>
      <c r="D1023" t="n">
        <v>162.0099945068359</v>
      </c>
      <c r="E1023" t="n">
        <v>304.7999877929688</v>
      </c>
      <c r="F1023" t="n">
        <v>25.1345043182373</v>
      </c>
      <c r="G1023" t="n">
        <v>73.17998504638672</v>
      </c>
      <c r="H1023">
        <f>AVERAGE(D824:D1023)</f>
        <v/>
      </c>
      <c r="I1023">
        <f>AVERAGE(E824:E1023)</f>
        <v/>
      </c>
      <c r="J1023">
        <f>AVERAGE(F824:F1023)</f>
        <v/>
      </c>
    </row>
    <row r="1024">
      <c r="C1024" s="539" t="n">
        <v>40933</v>
      </c>
      <c r="D1024" t="n">
        <v>166.4199981689453</v>
      </c>
      <c r="E1024" t="n">
        <v>306.7999877929688</v>
      </c>
      <c r="F1024" t="n">
        <v>25.22046661376953</v>
      </c>
      <c r="G1024" t="n">
        <v>73.17998504638672</v>
      </c>
      <c r="H1024">
        <f>AVERAGE(D825:D1024)</f>
        <v/>
      </c>
      <c r="I1024">
        <f>AVERAGE(E825:E1024)</f>
        <v/>
      </c>
      <c r="J1024">
        <f>AVERAGE(F825:F1024)</f>
        <v/>
      </c>
    </row>
    <row r="1025">
      <c r="C1025" s="539" t="n">
        <v>40934</v>
      </c>
      <c r="D1025" t="n">
        <v>167.2700042724609</v>
      </c>
      <c r="E1025" t="n">
        <v>306.9599914550781</v>
      </c>
      <c r="F1025" t="n">
        <v>25.18608093261719</v>
      </c>
      <c r="G1025" t="n">
        <v>73.17998504638672</v>
      </c>
      <c r="H1025">
        <f>AVERAGE(D826:D1025)</f>
        <v/>
      </c>
      <c r="I1025">
        <f>AVERAGE(E826:E1025)</f>
        <v/>
      </c>
      <c r="J1025">
        <f>AVERAGE(F826:F1025)</f>
        <v/>
      </c>
    </row>
    <row r="1026">
      <c r="C1026" s="539" t="n">
        <v>40935</v>
      </c>
      <c r="D1026" t="n">
        <v>168.9700012207031</v>
      </c>
      <c r="E1026" t="n">
        <v>306.3999938964844</v>
      </c>
      <c r="F1026" t="n">
        <v>25.10012245178223</v>
      </c>
      <c r="G1026" t="n">
        <v>73.17998504638672</v>
      </c>
      <c r="H1026">
        <f>AVERAGE(D827:D1026)</f>
        <v/>
      </c>
      <c r="I1026">
        <f>AVERAGE(E827:E1026)</f>
        <v/>
      </c>
      <c r="J1026">
        <f>AVERAGE(F827:F1026)</f>
        <v/>
      </c>
    </row>
    <row r="1027">
      <c r="C1027" s="539" t="n">
        <v>40938</v>
      </c>
      <c r="D1027" t="n">
        <v>168.0299987792969</v>
      </c>
      <c r="E1027" t="n">
        <v>304.0799865722656</v>
      </c>
      <c r="F1027" t="n">
        <v>24.77347755432129</v>
      </c>
      <c r="G1027" t="n">
        <v>73.19601440429688</v>
      </c>
      <c r="H1027">
        <f>AVERAGE(D828:D1027)</f>
        <v/>
      </c>
      <c r="I1027">
        <f>AVERAGE(E828:E1027)</f>
        <v/>
      </c>
      <c r="J1027">
        <f>AVERAGE(F828:F1027)</f>
        <v/>
      </c>
    </row>
    <row r="1028">
      <c r="C1028" s="539" t="n">
        <v>40939</v>
      </c>
      <c r="D1028" t="n">
        <v>169.3099975585938</v>
      </c>
      <c r="E1028" t="n">
        <v>302.5599975585938</v>
      </c>
      <c r="F1028" t="n">
        <v>24.92820358276367</v>
      </c>
      <c r="G1028" t="n">
        <v>73.17998504638672</v>
      </c>
      <c r="H1028">
        <f>AVERAGE(D829:D1028)</f>
        <v/>
      </c>
      <c r="I1028">
        <f>AVERAGE(E829:E1028)</f>
        <v/>
      </c>
      <c r="J1028">
        <f>AVERAGE(F829:F1028)</f>
        <v/>
      </c>
    </row>
    <row r="1029">
      <c r="C1029" s="539" t="n">
        <v>40940</v>
      </c>
      <c r="D1029" t="n">
        <v>169.5599975585938</v>
      </c>
      <c r="E1029" t="n">
        <v>299.0400085449219</v>
      </c>
      <c r="F1029" t="n">
        <v>24.99696922302246</v>
      </c>
      <c r="G1029" t="n">
        <v>73.17998504638672</v>
      </c>
      <c r="H1029">
        <f>AVERAGE(D830:D1029)</f>
        <v/>
      </c>
      <c r="I1029">
        <f>AVERAGE(E830:E1029)</f>
        <v/>
      </c>
      <c r="J1029">
        <f>AVERAGE(F830:F1029)</f>
        <v/>
      </c>
    </row>
    <row r="1030">
      <c r="C1030" s="539" t="n">
        <v>40941</v>
      </c>
      <c r="D1030" t="n">
        <v>171.0500030517578</v>
      </c>
      <c r="E1030" t="n">
        <v>297.0400085449219</v>
      </c>
      <c r="F1030" t="n">
        <v>24.97118377685547</v>
      </c>
      <c r="G1030" t="n">
        <v>73.17998504638672</v>
      </c>
      <c r="H1030">
        <f>AVERAGE(D831:D1030)</f>
        <v/>
      </c>
      <c r="I1030">
        <f>AVERAGE(E831:E1030)</f>
        <v/>
      </c>
      <c r="J1030">
        <f>AVERAGE(F831:F1030)</f>
        <v/>
      </c>
    </row>
    <row r="1031">
      <c r="C1031" s="539" t="n">
        <v>40942</v>
      </c>
      <c r="D1031" t="n">
        <v>167.6399993896484</v>
      </c>
      <c r="E1031" t="n">
        <v>300.7200012207031</v>
      </c>
      <c r="F1031" t="n">
        <v>25.09152793884277</v>
      </c>
      <c r="G1031" t="n">
        <v>73.17998504638672</v>
      </c>
      <c r="H1031">
        <f>AVERAGE(D832:D1031)</f>
        <v/>
      </c>
      <c r="I1031">
        <f>AVERAGE(E832:E1031)</f>
        <v/>
      </c>
      <c r="J1031">
        <f>AVERAGE(F832:F1031)</f>
        <v/>
      </c>
    </row>
    <row r="1032">
      <c r="C1032" s="539" t="n">
        <v>40945</v>
      </c>
      <c r="D1032" t="n">
        <v>167.1799926757812</v>
      </c>
      <c r="E1032" t="n">
        <v>298.6400146484375</v>
      </c>
      <c r="F1032" t="n">
        <v>25.14310073852539</v>
      </c>
      <c r="G1032" t="n">
        <v>73.19601440429688</v>
      </c>
      <c r="H1032">
        <f>AVERAGE(D833:D1032)</f>
        <v/>
      </c>
      <c r="I1032">
        <f>AVERAGE(E833:E1032)</f>
        <v/>
      </c>
      <c r="J1032">
        <f>AVERAGE(F833:F1032)</f>
        <v/>
      </c>
    </row>
    <row r="1033">
      <c r="C1033" s="539" t="n">
        <v>40946</v>
      </c>
      <c r="D1033" t="n">
        <v>169.6999969482422</v>
      </c>
      <c r="E1033" t="n">
        <v>303.6000061035156</v>
      </c>
      <c r="F1033" t="n">
        <v>25.06573867797852</v>
      </c>
      <c r="G1033" t="n">
        <v>73.17998504638672</v>
      </c>
      <c r="H1033">
        <f>AVERAGE(D834:D1033)</f>
        <v/>
      </c>
      <c r="I1033">
        <f>AVERAGE(E834:E1033)</f>
        <v/>
      </c>
      <c r="J1033">
        <f>AVERAGE(F834:F1033)</f>
        <v/>
      </c>
    </row>
    <row r="1034">
      <c r="C1034" s="539" t="n">
        <v>40947</v>
      </c>
      <c r="D1034" t="n">
        <v>168.5</v>
      </c>
      <c r="E1034" t="n">
        <v>304.3200073242188</v>
      </c>
      <c r="F1034" t="n">
        <v>25.04854583740234</v>
      </c>
      <c r="G1034" t="n">
        <v>73.19601440429688</v>
      </c>
      <c r="H1034">
        <f>AVERAGE(D835:D1034)</f>
        <v/>
      </c>
      <c r="I1034">
        <f>AVERAGE(E835:E1034)</f>
        <v/>
      </c>
      <c r="J1034">
        <f>AVERAGE(F835:F1034)</f>
        <v/>
      </c>
    </row>
    <row r="1035">
      <c r="C1035" s="539" t="n">
        <v>40948</v>
      </c>
      <c r="D1035" t="n">
        <v>168.0200042724609</v>
      </c>
      <c r="E1035" t="n">
        <v>306.6400146484375</v>
      </c>
      <c r="F1035" t="n">
        <v>24.85083961486816</v>
      </c>
      <c r="G1035" t="n">
        <v>73.17998504638672</v>
      </c>
      <c r="H1035">
        <f>AVERAGE(D836:D1035)</f>
        <v/>
      </c>
      <c r="I1035">
        <f>AVERAGE(E836:E1035)</f>
        <v/>
      </c>
      <c r="J1035">
        <f>AVERAGE(F836:F1035)</f>
        <v/>
      </c>
    </row>
    <row r="1036">
      <c r="C1036" s="539" t="n">
        <v>40949</v>
      </c>
      <c r="D1036" t="n">
        <v>167.1399993896484</v>
      </c>
      <c r="E1036" t="n">
        <v>304.1600036621094</v>
      </c>
      <c r="F1036" t="n">
        <v>24.59296226501465</v>
      </c>
      <c r="G1036" t="n">
        <v>73.19601440429688</v>
      </c>
      <c r="H1036">
        <f>AVERAGE(D837:D1036)</f>
        <v/>
      </c>
      <c r="I1036">
        <f>AVERAGE(E837:E1036)</f>
        <v/>
      </c>
      <c r="J1036">
        <f>AVERAGE(F837:F1036)</f>
        <v/>
      </c>
    </row>
    <row r="1037">
      <c r="C1037" s="539" t="n">
        <v>40952</v>
      </c>
      <c r="D1037" t="n">
        <v>167.5099945068359</v>
      </c>
      <c r="E1037" t="n">
        <v>309.5199890136719</v>
      </c>
      <c r="F1037" t="n">
        <v>24.75628280639648</v>
      </c>
      <c r="G1037" t="n">
        <v>73.17998504638672</v>
      </c>
      <c r="H1037">
        <f>AVERAGE(D838:D1037)</f>
        <v/>
      </c>
      <c r="I1037">
        <f>AVERAGE(E838:E1037)</f>
        <v/>
      </c>
      <c r="J1037">
        <f>AVERAGE(F838:F1037)</f>
        <v/>
      </c>
    </row>
    <row r="1038">
      <c r="C1038" s="539" t="n">
        <v>40953</v>
      </c>
      <c r="D1038" t="n">
        <v>167.1199951171875</v>
      </c>
      <c r="E1038" t="n">
        <v>310.7200012207031</v>
      </c>
      <c r="F1038" t="n">
        <v>24.70470809936523</v>
      </c>
      <c r="G1038" t="n">
        <v>73.19601440429688</v>
      </c>
      <c r="H1038">
        <f>AVERAGE(D839:D1038)</f>
        <v/>
      </c>
      <c r="I1038">
        <f>AVERAGE(E839:E1038)</f>
        <v/>
      </c>
      <c r="J1038">
        <f>AVERAGE(F839:F1038)</f>
        <v/>
      </c>
    </row>
    <row r="1039">
      <c r="C1039" s="539" t="n">
        <v>40954</v>
      </c>
      <c r="D1039" t="n">
        <v>168.1100006103516</v>
      </c>
      <c r="E1039" t="n">
        <v>313.4400024414062</v>
      </c>
      <c r="F1039" t="n">
        <v>24.73049926757812</v>
      </c>
      <c r="G1039" t="n">
        <v>73.17998504638672</v>
      </c>
      <c r="H1039">
        <f>AVERAGE(D840:D1039)</f>
        <v/>
      </c>
      <c r="I1039">
        <f>AVERAGE(E840:E1039)</f>
        <v/>
      </c>
      <c r="J1039">
        <f>AVERAGE(F840:F1039)</f>
        <v/>
      </c>
    </row>
    <row r="1040">
      <c r="C1040" s="539" t="n">
        <v>40955</v>
      </c>
      <c r="D1040" t="n">
        <v>168</v>
      </c>
      <c r="E1040" t="n">
        <v>314.239990234375</v>
      </c>
      <c r="F1040" t="n">
        <v>24.8680305480957</v>
      </c>
      <c r="G1040" t="n">
        <v>73.19601440429688</v>
      </c>
      <c r="H1040">
        <f>AVERAGE(D841:D1040)</f>
        <v/>
      </c>
      <c r="I1040">
        <f>AVERAGE(E841:E1040)</f>
        <v/>
      </c>
      <c r="J1040">
        <f>AVERAGE(F841:F1040)</f>
        <v/>
      </c>
    </row>
    <row r="1041">
      <c r="C1041" s="539" t="n">
        <v>40956</v>
      </c>
      <c r="D1041" t="n">
        <v>167.3500061035156</v>
      </c>
      <c r="E1041" t="n">
        <v>318</v>
      </c>
      <c r="F1041" t="n">
        <v>24.91960906982422</v>
      </c>
      <c r="G1041" t="n">
        <v>73.17998504638672</v>
      </c>
      <c r="H1041">
        <f>AVERAGE(D842:D1041)</f>
        <v/>
      </c>
      <c r="I1041">
        <f>AVERAGE(E842:E1041)</f>
        <v/>
      </c>
      <c r="J1041">
        <f>AVERAGE(F842:F1041)</f>
        <v/>
      </c>
    </row>
    <row r="1042">
      <c r="C1042" s="539" t="n">
        <v>40960</v>
      </c>
      <c r="D1042" t="n">
        <v>171.0200042724609</v>
      </c>
      <c r="E1042" t="n">
        <v>324.6400146484375</v>
      </c>
      <c r="F1042" t="n">
        <v>25.08293151855469</v>
      </c>
      <c r="G1042" t="n">
        <v>73.17998504638672</v>
      </c>
      <c r="H1042">
        <f>AVERAGE(D843:D1042)</f>
        <v/>
      </c>
      <c r="I1042">
        <f>AVERAGE(E843:E1042)</f>
        <v/>
      </c>
      <c r="J1042">
        <f>AVERAGE(F843:F1042)</f>
        <v/>
      </c>
    </row>
    <row r="1043">
      <c r="C1043" s="539" t="n">
        <v>40961</v>
      </c>
      <c r="D1043" t="n">
        <v>172.9400024414062</v>
      </c>
      <c r="E1043" t="n">
        <v>324.7200012207031</v>
      </c>
      <c r="F1043" t="n">
        <v>25.1602954864502</v>
      </c>
      <c r="G1043" t="n">
        <v>73.17998504638672</v>
      </c>
      <c r="H1043">
        <f>AVERAGE(D844:D1043)</f>
        <v/>
      </c>
      <c r="I1043">
        <f>AVERAGE(E844:E1043)</f>
        <v/>
      </c>
      <c r="J1043">
        <f>AVERAGE(F844:F1043)</f>
        <v/>
      </c>
    </row>
    <row r="1044">
      <c r="C1044" s="539" t="n">
        <v>40962</v>
      </c>
      <c r="D1044" t="n">
        <v>173.0200042724609</v>
      </c>
      <c r="E1044" t="n">
        <v>330.9599914550781</v>
      </c>
      <c r="F1044" t="n">
        <v>24.91960906982422</v>
      </c>
      <c r="G1044" t="n">
        <v>73.17998504638672</v>
      </c>
      <c r="H1044">
        <f>AVERAGE(D845:D1044)</f>
        <v/>
      </c>
      <c r="I1044">
        <f>AVERAGE(E845:E1044)</f>
        <v/>
      </c>
      <c r="J1044">
        <f>AVERAGE(F845:F1044)</f>
        <v/>
      </c>
    </row>
    <row r="1045">
      <c r="C1045" s="539" t="n">
        <v>40963</v>
      </c>
      <c r="D1045" t="n">
        <v>172.2299957275391</v>
      </c>
      <c r="E1045" t="n">
        <v>336.0799865722656</v>
      </c>
      <c r="F1045" t="n">
        <v>24.97118377685547</v>
      </c>
      <c r="G1045" t="n">
        <v>73.19601440429688</v>
      </c>
      <c r="H1045">
        <f>AVERAGE(D846:D1045)</f>
        <v/>
      </c>
      <c r="I1045">
        <f>AVERAGE(E846:E1045)</f>
        <v/>
      </c>
      <c r="J1045">
        <f>AVERAGE(F846:F1045)</f>
        <v/>
      </c>
    </row>
    <row r="1046">
      <c r="C1046" s="539" t="n">
        <v>40966</v>
      </c>
      <c r="D1046" t="n">
        <v>171.6999969482422</v>
      </c>
      <c r="E1046" t="n">
        <v>329.4400024414062</v>
      </c>
      <c r="F1046" t="n">
        <v>25.05714225769043</v>
      </c>
      <c r="G1046" t="n">
        <v>73.17998504638672</v>
      </c>
      <c r="H1046">
        <f>AVERAGE(D847:D1046)</f>
        <v/>
      </c>
      <c r="I1046">
        <f>AVERAGE(E847:E1046)</f>
        <v/>
      </c>
      <c r="J1046">
        <f>AVERAGE(F847:F1046)</f>
        <v/>
      </c>
    </row>
    <row r="1047">
      <c r="C1047" s="539" t="n">
        <v>40967</v>
      </c>
      <c r="D1047" t="n">
        <v>173.4900054931641</v>
      </c>
      <c r="E1047" t="n">
        <v>326.3200073242188</v>
      </c>
      <c r="F1047" t="n">
        <v>25.21187019348145</v>
      </c>
      <c r="G1047" t="n">
        <v>73.17998504638672</v>
      </c>
      <c r="H1047">
        <f>AVERAGE(D848:D1047)</f>
        <v/>
      </c>
      <c r="I1047">
        <f>AVERAGE(E848:E1047)</f>
        <v/>
      </c>
      <c r="J1047">
        <f>AVERAGE(F848:F1047)</f>
        <v/>
      </c>
    </row>
    <row r="1048">
      <c r="C1048" s="539" t="n">
        <v>40968</v>
      </c>
      <c r="D1048" t="n">
        <v>164.2899932861328</v>
      </c>
      <c r="E1048" t="n">
        <v>327.3599853515625</v>
      </c>
      <c r="F1048" t="n">
        <v>25.14310073852539</v>
      </c>
      <c r="G1048" t="n">
        <v>73.19601440429688</v>
      </c>
      <c r="H1048">
        <f>AVERAGE(D849:D1048)</f>
        <v/>
      </c>
      <c r="I1048">
        <f>AVERAGE(E849:E1048)</f>
        <v/>
      </c>
      <c r="J1048">
        <f>AVERAGE(F849:F1048)</f>
        <v/>
      </c>
    </row>
    <row r="1049">
      <c r="C1049" s="539" t="n">
        <v>40969</v>
      </c>
      <c r="D1049" t="n">
        <v>166.6100006103516</v>
      </c>
      <c r="E1049" t="n">
        <v>334</v>
      </c>
      <c r="F1049" t="n">
        <v>25.34940528869629</v>
      </c>
      <c r="G1049" t="n">
        <v>73.17998504638672</v>
      </c>
      <c r="H1049">
        <f>AVERAGE(D850:D1049)</f>
        <v/>
      </c>
      <c r="I1049">
        <f>AVERAGE(E850:E1049)</f>
        <v/>
      </c>
      <c r="J1049">
        <f>AVERAGE(F850:F1049)</f>
        <v/>
      </c>
    </row>
    <row r="1050">
      <c r="C1050" s="539" t="n">
        <v>40970</v>
      </c>
      <c r="D1050" t="n">
        <v>166.3399963378906</v>
      </c>
      <c r="E1050" t="n">
        <v>326.1600036621094</v>
      </c>
      <c r="F1050" t="n">
        <v>25.22906112670898</v>
      </c>
      <c r="G1050" t="n">
        <v>73.17998504638672</v>
      </c>
      <c r="H1050">
        <f>AVERAGE(D851:D1050)</f>
        <v/>
      </c>
      <c r="I1050">
        <f>AVERAGE(E851:E1050)</f>
        <v/>
      </c>
      <c r="J1050">
        <f>AVERAGE(F851:F1050)</f>
        <v/>
      </c>
    </row>
    <row r="1051">
      <c r="C1051" s="539" t="n">
        <v>40973</v>
      </c>
      <c r="D1051" t="n">
        <v>165.6499938964844</v>
      </c>
      <c r="E1051" t="n">
        <v>327.760009765625</v>
      </c>
      <c r="F1051" t="n">
        <v>25.05714225769043</v>
      </c>
      <c r="G1051" t="n">
        <v>73.17998504638672</v>
      </c>
      <c r="H1051">
        <f>AVERAGE(D852:D1051)</f>
        <v/>
      </c>
      <c r="I1051">
        <f>AVERAGE(E852:E1051)</f>
        <v/>
      </c>
      <c r="J1051">
        <f>AVERAGE(F852:F1051)</f>
        <v/>
      </c>
    </row>
    <row r="1052">
      <c r="C1052" s="539" t="n">
        <v>40974</v>
      </c>
      <c r="D1052" t="n">
        <v>162.6999969482422</v>
      </c>
      <c r="E1052" t="n">
        <v>321.0400085449219</v>
      </c>
      <c r="F1052" t="n">
        <v>24.61874961853027</v>
      </c>
      <c r="G1052" t="n">
        <v>73.17998504638672</v>
      </c>
      <c r="H1052">
        <f>AVERAGE(D853:D1052)</f>
        <v/>
      </c>
      <c r="I1052">
        <f>AVERAGE(E853:E1052)</f>
        <v/>
      </c>
      <c r="J1052">
        <f>AVERAGE(F853:F1052)</f>
        <v/>
      </c>
    </row>
    <row r="1053">
      <c r="C1053" s="539" t="n">
        <v>40975</v>
      </c>
      <c r="D1053" t="n">
        <v>163.6300048828125</v>
      </c>
      <c r="E1053" t="n">
        <v>324.8800048828125</v>
      </c>
      <c r="F1053" t="n">
        <v>24.40385055541992</v>
      </c>
      <c r="G1053" t="n">
        <v>73.17998504638672</v>
      </c>
      <c r="H1053">
        <f>AVERAGE(D854:D1053)</f>
        <v/>
      </c>
      <c r="I1053">
        <f>AVERAGE(E854:E1053)</f>
        <v/>
      </c>
      <c r="J1053">
        <f>AVERAGE(F854:F1053)</f>
        <v/>
      </c>
    </row>
    <row r="1054">
      <c r="C1054" s="539" t="n">
        <v>40976</v>
      </c>
      <c r="D1054" t="n">
        <v>165.2799987792969</v>
      </c>
      <c r="E1054" t="n">
        <v>326.5599975585938</v>
      </c>
      <c r="F1054" t="n">
        <v>24.48121452331543</v>
      </c>
      <c r="G1054" t="n">
        <v>73.19601440429688</v>
      </c>
      <c r="H1054">
        <f>AVERAGE(D855:D1054)</f>
        <v/>
      </c>
      <c r="I1054">
        <f>AVERAGE(E855:E1054)</f>
        <v/>
      </c>
      <c r="J1054">
        <f>AVERAGE(F855:F1054)</f>
        <v/>
      </c>
    </row>
    <row r="1055">
      <c r="C1055" s="539" t="n">
        <v>40977</v>
      </c>
      <c r="D1055" t="n">
        <v>166.3800048828125</v>
      </c>
      <c r="E1055" t="n">
        <v>328.7200012207031</v>
      </c>
      <c r="F1055" t="n">
        <v>24.42104530334473</v>
      </c>
      <c r="G1055" t="n">
        <v>73.19601440429688</v>
      </c>
      <c r="H1055">
        <f>AVERAGE(D856:D1055)</f>
        <v/>
      </c>
      <c r="I1055">
        <f>AVERAGE(E856:E1055)</f>
        <v/>
      </c>
      <c r="J1055">
        <f>AVERAGE(F856:F1055)</f>
        <v/>
      </c>
    </row>
    <row r="1056">
      <c r="C1056" s="539" t="n">
        <v>40980</v>
      </c>
      <c r="D1056" t="n">
        <v>165.0700073242188</v>
      </c>
      <c r="E1056" t="n">
        <v>325.6000061035156</v>
      </c>
      <c r="F1056" t="n">
        <v>24.51559829711914</v>
      </c>
      <c r="G1056" t="n">
        <v>73.19601440429688</v>
      </c>
      <c r="H1056">
        <f>AVERAGE(D857:D1056)</f>
        <v/>
      </c>
      <c r="I1056">
        <f>AVERAGE(E857:E1056)</f>
        <v/>
      </c>
      <c r="J1056">
        <f>AVERAGE(F857:F1056)</f>
        <v/>
      </c>
    </row>
    <row r="1057">
      <c r="C1057" s="539" t="n">
        <v>40981</v>
      </c>
      <c r="D1057" t="n">
        <v>162.3000030517578</v>
      </c>
      <c r="E1057" t="n">
        <v>326.6400146484375</v>
      </c>
      <c r="F1057" t="n">
        <v>24.59296226501465</v>
      </c>
      <c r="G1057" t="n">
        <v>73.19601440429688</v>
      </c>
      <c r="H1057">
        <f>AVERAGE(D858:D1057)</f>
        <v/>
      </c>
      <c r="I1057">
        <f>AVERAGE(E858:E1057)</f>
        <v/>
      </c>
      <c r="J1057">
        <f>AVERAGE(F858:F1057)</f>
        <v/>
      </c>
    </row>
    <row r="1058">
      <c r="C1058" s="539" t="n">
        <v>40982</v>
      </c>
      <c r="D1058" t="n">
        <v>159.5700073242188</v>
      </c>
      <c r="E1058" t="n">
        <v>323.2799987792969</v>
      </c>
      <c r="F1058" t="n">
        <v>24.46402168273926</v>
      </c>
      <c r="G1058" t="n">
        <v>73.17998504638672</v>
      </c>
      <c r="H1058">
        <f>AVERAGE(D859:D1058)</f>
        <v/>
      </c>
      <c r="I1058">
        <f>AVERAGE(E859:E1058)</f>
        <v/>
      </c>
      <c r="J1058">
        <f>AVERAGE(F859:F1058)</f>
        <v/>
      </c>
    </row>
    <row r="1059">
      <c r="C1059" s="539" t="n">
        <v>40983</v>
      </c>
      <c r="D1059" t="n">
        <v>161.0800018310547</v>
      </c>
      <c r="E1059" t="n">
        <v>322.239990234375</v>
      </c>
      <c r="F1059" t="n">
        <v>24.66172981262207</v>
      </c>
      <c r="G1059" t="n">
        <v>73.17998504638672</v>
      </c>
      <c r="H1059">
        <f>AVERAGE(D860:D1059)</f>
        <v/>
      </c>
      <c r="I1059">
        <f>AVERAGE(E860:E1059)</f>
        <v/>
      </c>
      <c r="J1059">
        <f>AVERAGE(F860:F1059)</f>
        <v/>
      </c>
    </row>
    <row r="1060">
      <c r="C1060" s="539" t="n">
        <v>40984</v>
      </c>
      <c r="D1060" t="n">
        <v>161.3000030517578</v>
      </c>
      <c r="E1060" t="n">
        <v>328.239990234375</v>
      </c>
      <c r="F1060" t="n">
        <v>24.61015319824219</v>
      </c>
      <c r="G1060" t="n">
        <v>73.17998504638672</v>
      </c>
      <c r="H1060">
        <f>AVERAGE(D861:D1060)</f>
        <v/>
      </c>
      <c r="I1060">
        <f>AVERAGE(E861:E1060)</f>
        <v/>
      </c>
      <c r="J1060">
        <f>AVERAGE(F861:F1060)</f>
        <v/>
      </c>
    </row>
    <row r="1061">
      <c r="C1061" s="539" t="n">
        <v>40987</v>
      </c>
      <c r="D1061" t="n">
        <v>161.5899963378906</v>
      </c>
      <c r="E1061" t="n">
        <v>330.3200073242188</v>
      </c>
      <c r="F1061" t="n">
        <v>24.57576942443848</v>
      </c>
      <c r="G1061" t="n">
        <v>73.19601440429688</v>
      </c>
      <c r="H1061">
        <f>AVERAGE(D862:D1061)</f>
        <v/>
      </c>
      <c r="I1061">
        <f>AVERAGE(E862:E1061)</f>
        <v/>
      </c>
      <c r="J1061">
        <f>AVERAGE(F862:F1061)</f>
        <v/>
      </c>
    </row>
    <row r="1062">
      <c r="C1062" s="539" t="n">
        <v>40988</v>
      </c>
      <c r="D1062" t="n">
        <v>160.1300048828125</v>
      </c>
      <c r="E1062" t="n">
        <v>323.4400024414062</v>
      </c>
      <c r="F1062" t="n">
        <v>24.46402168273926</v>
      </c>
      <c r="G1062" t="n">
        <v>73.19601440429688</v>
      </c>
      <c r="H1062">
        <f>AVERAGE(D863:D1062)</f>
        <v/>
      </c>
      <c r="I1062">
        <f>AVERAGE(E863:E1062)</f>
        <v/>
      </c>
      <c r="J1062">
        <f>AVERAGE(F863:F1062)</f>
        <v/>
      </c>
    </row>
    <row r="1063">
      <c r="C1063" s="539" t="n">
        <v>40989</v>
      </c>
      <c r="D1063" t="n">
        <v>160.2100067138672</v>
      </c>
      <c r="E1063" t="n">
        <v>325.2799987792969</v>
      </c>
      <c r="F1063" t="n">
        <v>24.42104530334473</v>
      </c>
      <c r="G1063" t="n">
        <v>73.19601440429688</v>
      </c>
      <c r="H1063">
        <f>AVERAGE(D864:D1063)</f>
        <v/>
      </c>
      <c r="I1063">
        <f>AVERAGE(E864:E1063)</f>
        <v/>
      </c>
      <c r="J1063">
        <f>AVERAGE(F864:F1063)</f>
        <v/>
      </c>
    </row>
    <row r="1064">
      <c r="C1064" s="539" t="n">
        <v>40990</v>
      </c>
      <c r="D1064" t="n">
        <v>159.5700073242188</v>
      </c>
      <c r="E1064" t="n">
        <v>321.1199951171875</v>
      </c>
      <c r="F1064" t="n">
        <v>24.36087417602539</v>
      </c>
      <c r="G1064" t="n">
        <v>73.19601440429688</v>
      </c>
      <c r="H1064">
        <f>AVERAGE(D865:D1064)</f>
        <v/>
      </c>
      <c r="I1064">
        <f>AVERAGE(E865:E1064)</f>
        <v/>
      </c>
      <c r="J1064">
        <f>AVERAGE(F865:F1064)</f>
        <v/>
      </c>
    </row>
    <row r="1065">
      <c r="C1065" s="539" t="n">
        <v>40991</v>
      </c>
      <c r="D1065" t="n">
        <v>161.5299987792969</v>
      </c>
      <c r="E1065" t="n">
        <v>325.5199890136719</v>
      </c>
      <c r="F1065" t="n">
        <v>24.37806510925293</v>
      </c>
      <c r="G1065" t="n">
        <v>73.19601440429688</v>
      </c>
      <c r="H1065">
        <f>AVERAGE(D866:D1065)</f>
        <v/>
      </c>
      <c r="I1065">
        <f>AVERAGE(E866:E1065)</f>
        <v/>
      </c>
      <c r="J1065">
        <f>AVERAGE(F866:F1065)</f>
        <v/>
      </c>
    </row>
    <row r="1066">
      <c r="C1066" s="539" t="n">
        <v>40994</v>
      </c>
      <c r="D1066" t="n">
        <v>164.3999938964844</v>
      </c>
      <c r="E1066" t="n">
        <v>326.1600036621094</v>
      </c>
      <c r="F1066" t="n">
        <v>24.43823432922363</v>
      </c>
      <c r="G1066" t="n">
        <v>73.19601440429688</v>
      </c>
      <c r="H1066">
        <f>AVERAGE(D867:D1066)</f>
        <v/>
      </c>
      <c r="I1066">
        <f>AVERAGE(E867:E1066)</f>
        <v/>
      </c>
      <c r="J1066">
        <f>AVERAGE(F867:F1066)</f>
        <v/>
      </c>
    </row>
    <row r="1067">
      <c r="C1067" s="539" t="n">
        <v>40995</v>
      </c>
      <c r="D1067" t="n">
        <v>163.2400054931641</v>
      </c>
      <c r="E1067" t="n">
        <v>325.6799926757812</v>
      </c>
      <c r="F1067" t="n">
        <v>24.43823432922363</v>
      </c>
      <c r="G1067" t="n">
        <v>73.17998504638672</v>
      </c>
      <c r="H1067">
        <f>AVERAGE(D868:D1067)</f>
        <v/>
      </c>
      <c r="I1067">
        <f>AVERAGE(E868:E1067)</f>
        <v/>
      </c>
      <c r="J1067">
        <f>AVERAGE(F868:F1067)</f>
        <v/>
      </c>
    </row>
    <row r="1068">
      <c r="C1068" s="539" t="n">
        <v>40996</v>
      </c>
      <c r="D1068" t="n">
        <v>161.5099945068359</v>
      </c>
      <c r="E1068" t="n">
        <v>321.5199890136719</v>
      </c>
      <c r="F1068" t="n">
        <v>24.10299491882324</v>
      </c>
      <c r="G1068" t="n">
        <v>73.19601440429688</v>
      </c>
      <c r="H1068">
        <f>AVERAGE(D869:D1068)</f>
        <v/>
      </c>
      <c r="I1068">
        <f>AVERAGE(E869:E1068)</f>
        <v/>
      </c>
      <c r="J1068">
        <f>AVERAGE(F869:F1068)</f>
        <v/>
      </c>
    </row>
    <row r="1069">
      <c r="C1069" s="539" t="n">
        <v>40997</v>
      </c>
      <c r="D1069" t="n">
        <v>161.2799987792969</v>
      </c>
      <c r="E1069" t="n">
        <v>314.3200073242188</v>
      </c>
      <c r="F1069" t="n">
        <v>23.71617698669434</v>
      </c>
      <c r="G1069" t="n">
        <v>73.17998504638672</v>
      </c>
      <c r="H1069">
        <f>AVERAGE(D870:D1069)</f>
        <v/>
      </c>
      <c r="I1069">
        <f>AVERAGE(E870:E1069)</f>
        <v/>
      </c>
      <c r="J1069">
        <f>AVERAGE(F870:F1069)</f>
        <v/>
      </c>
    </row>
    <row r="1070">
      <c r="C1070" s="539" t="n">
        <v>40998</v>
      </c>
      <c r="D1070" t="n">
        <v>162.1199951171875</v>
      </c>
      <c r="E1070" t="n">
        <v>313.8399963378906</v>
      </c>
      <c r="F1070" t="n">
        <v>24.15456962585449</v>
      </c>
      <c r="G1070" t="n">
        <v>73.17998504638672</v>
      </c>
      <c r="H1070">
        <f>AVERAGE(D871:D1070)</f>
        <v/>
      </c>
      <c r="I1070">
        <f>AVERAGE(E871:E1070)</f>
        <v/>
      </c>
      <c r="J1070">
        <f>AVERAGE(F871:F1070)</f>
        <v/>
      </c>
    </row>
    <row r="1071">
      <c r="C1071" s="539" t="n">
        <v>41001</v>
      </c>
      <c r="D1071" t="n">
        <v>162.9400024414062</v>
      </c>
      <c r="E1071" t="n">
        <v>320.239990234375</v>
      </c>
      <c r="F1071" t="n">
        <v>24.30070114135742</v>
      </c>
      <c r="G1071" t="n">
        <v>73.16401672363281</v>
      </c>
      <c r="H1071">
        <f>AVERAGE(D872:D1071)</f>
        <v/>
      </c>
      <c r="I1071">
        <f>AVERAGE(E872:E1071)</f>
        <v/>
      </c>
      <c r="J1071">
        <f>AVERAGE(F872:F1071)</f>
        <v/>
      </c>
    </row>
    <row r="1072">
      <c r="C1072" s="539" t="n">
        <v>41002</v>
      </c>
      <c r="D1072" t="n">
        <v>159.8899993896484</v>
      </c>
      <c r="E1072" t="n">
        <v>317.2799987792969</v>
      </c>
      <c r="F1072" t="n">
        <v>24.14597511291504</v>
      </c>
      <c r="G1072" t="n">
        <v>73.17998504638672</v>
      </c>
      <c r="H1072">
        <f>AVERAGE(D873:D1072)</f>
        <v/>
      </c>
      <c r="I1072">
        <f>AVERAGE(E873:E1072)</f>
        <v/>
      </c>
      <c r="J1072">
        <f>AVERAGE(F873:F1072)</f>
        <v/>
      </c>
    </row>
    <row r="1073">
      <c r="C1073" s="539" t="n">
        <v>41003</v>
      </c>
      <c r="D1073" t="n">
        <v>157.2100067138672</v>
      </c>
      <c r="E1073" t="n">
        <v>310.7200012207031</v>
      </c>
      <c r="F1073" t="n">
        <v>23.93967056274414</v>
      </c>
      <c r="G1073" t="n">
        <v>73.16401672363281</v>
      </c>
      <c r="H1073">
        <f>AVERAGE(D874:D1073)</f>
        <v/>
      </c>
      <c r="I1073">
        <f>AVERAGE(E874:E1073)</f>
        <v/>
      </c>
      <c r="J1073">
        <f>AVERAGE(F874:F1073)</f>
        <v/>
      </c>
    </row>
    <row r="1074">
      <c r="C1074" s="539" t="n">
        <v>41004</v>
      </c>
      <c r="D1074" t="n">
        <v>158.3099975585938</v>
      </c>
      <c r="E1074" t="n">
        <v>314.0799865722656</v>
      </c>
      <c r="F1074" t="n">
        <v>24.02563095092773</v>
      </c>
      <c r="G1074" t="n">
        <v>73.17998504638672</v>
      </c>
      <c r="H1074">
        <f>AVERAGE(D875:D1074)</f>
        <v/>
      </c>
      <c r="I1074">
        <f>AVERAGE(E875:E1074)</f>
        <v/>
      </c>
      <c r="J1074">
        <f>AVERAGE(F875:F1074)</f>
        <v/>
      </c>
    </row>
    <row r="1075">
      <c r="C1075" s="539" t="n">
        <v>41008</v>
      </c>
      <c r="D1075" t="n">
        <v>159.3699951171875</v>
      </c>
      <c r="E1075" t="n">
        <v>311.760009765625</v>
      </c>
      <c r="F1075" t="n">
        <v>23.96545791625977</v>
      </c>
      <c r="G1075" t="n">
        <v>73.19601440429688</v>
      </c>
      <c r="H1075">
        <f>AVERAGE(D876:D1075)</f>
        <v/>
      </c>
      <c r="I1075">
        <f>AVERAGE(E876:E1075)</f>
        <v/>
      </c>
      <c r="J1075">
        <f>AVERAGE(F876:F1075)</f>
        <v/>
      </c>
    </row>
    <row r="1076">
      <c r="C1076" s="539" t="n">
        <v>41009</v>
      </c>
      <c r="D1076" t="n">
        <v>161.1000061035156</v>
      </c>
      <c r="E1076" t="n">
        <v>308.0799865722656</v>
      </c>
      <c r="F1076" t="n">
        <v>23.64740943908691</v>
      </c>
      <c r="G1076" t="n">
        <v>73.19601440429688</v>
      </c>
      <c r="H1076">
        <f>AVERAGE(D877:D1076)</f>
        <v/>
      </c>
      <c r="I1076">
        <f>AVERAGE(E877:E1076)</f>
        <v/>
      </c>
      <c r="J1076">
        <f>AVERAGE(F877:F1076)</f>
        <v/>
      </c>
    </row>
    <row r="1077">
      <c r="C1077" s="539" t="n">
        <v>41010</v>
      </c>
      <c r="D1077" t="n">
        <v>161.0700073242188</v>
      </c>
      <c r="E1077" t="n">
        <v>312.0799865722656</v>
      </c>
      <c r="F1077" t="n">
        <v>23.81073379516602</v>
      </c>
      <c r="G1077" t="n">
        <v>73.19601440429688</v>
      </c>
      <c r="H1077">
        <f>AVERAGE(D878:D1077)</f>
        <v/>
      </c>
      <c r="I1077">
        <f>AVERAGE(E878:E1077)</f>
        <v/>
      </c>
      <c r="J1077">
        <f>AVERAGE(F878:F1077)</f>
        <v/>
      </c>
    </row>
    <row r="1078">
      <c r="C1078" s="539" t="n">
        <v>41011</v>
      </c>
      <c r="D1078" t="n">
        <v>162.6999969482422</v>
      </c>
      <c r="E1078" t="n">
        <v>315.5199890136719</v>
      </c>
      <c r="F1078" t="n">
        <v>24.05142021179199</v>
      </c>
      <c r="G1078" t="n">
        <v>73.17998504638672</v>
      </c>
      <c r="H1078">
        <f>AVERAGE(D879:D1078)</f>
        <v/>
      </c>
      <c r="I1078">
        <f>AVERAGE(E879:E1078)</f>
        <v/>
      </c>
      <c r="J1078">
        <f>AVERAGE(F879:F1078)</f>
        <v/>
      </c>
    </row>
    <row r="1079">
      <c r="C1079" s="539" t="n">
        <v>41012</v>
      </c>
      <c r="D1079" t="n">
        <v>160.8500061035156</v>
      </c>
      <c r="E1079" t="n">
        <v>313.2000122070312</v>
      </c>
      <c r="F1079" t="n">
        <v>23.656005859375</v>
      </c>
      <c r="G1079" t="n">
        <v>73.16401672363281</v>
      </c>
      <c r="H1079">
        <f>AVERAGE(D880:D1079)</f>
        <v/>
      </c>
      <c r="I1079">
        <f>AVERAGE(E880:E1079)</f>
        <v/>
      </c>
      <c r="J1079">
        <f>AVERAGE(F880:F1079)</f>
        <v/>
      </c>
    </row>
    <row r="1080">
      <c r="C1080" s="539" t="n">
        <v>41015</v>
      </c>
      <c r="D1080" t="n">
        <v>160.4600067138672</v>
      </c>
      <c r="E1080" t="n">
        <v>313.4400024414062</v>
      </c>
      <c r="F1080" t="n">
        <v>23.44110679626465</v>
      </c>
      <c r="G1080" t="n">
        <v>73.17998504638672</v>
      </c>
      <c r="H1080">
        <f>AVERAGE(D881:D1080)</f>
        <v/>
      </c>
      <c r="I1080">
        <f>AVERAGE(E881:E1080)</f>
        <v/>
      </c>
      <c r="J1080">
        <f>AVERAGE(F881:F1080)</f>
        <v/>
      </c>
    </row>
    <row r="1081">
      <c r="C1081" s="539" t="n">
        <v>41016</v>
      </c>
      <c r="D1081" t="n">
        <v>160.25</v>
      </c>
      <c r="E1081" t="n">
        <v>317.1199951171875</v>
      </c>
      <c r="F1081" t="n">
        <v>23.57864189147949</v>
      </c>
      <c r="G1081" t="n">
        <v>73.17998504638672</v>
      </c>
      <c r="H1081">
        <f>AVERAGE(D882:D1081)</f>
        <v/>
      </c>
      <c r="I1081">
        <f>AVERAGE(E882:E1081)</f>
        <v/>
      </c>
      <c r="J1081">
        <f>AVERAGE(F882:F1081)</f>
        <v/>
      </c>
    </row>
    <row r="1082">
      <c r="C1082" s="539" t="n">
        <v>41017</v>
      </c>
      <c r="D1082" t="n">
        <v>159.3099975585938</v>
      </c>
      <c r="E1082" t="n">
        <v>312.3999938964844</v>
      </c>
      <c r="F1082" t="n">
        <v>23.32076263427734</v>
      </c>
      <c r="G1082" t="n">
        <v>73.17998504638672</v>
      </c>
      <c r="H1082">
        <f>AVERAGE(D883:D1082)</f>
        <v/>
      </c>
      <c r="I1082">
        <f>AVERAGE(E883:E1082)</f>
        <v/>
      </c>
      <c r="J1082">
        <f>AVERAGE(F883:F1082)</f>
        <v/>
      </c>
    </row>
    <row r="1083">
      <c r="C1083" s="539" t="n">
        <v>41018</v>
      </c>
      <c r="D1083" t="n">
        <v>159.4299926757812</v>
      </c>
      <c r="E1083" t="n">
        <v>311.6799926757812</v>
      </c>
      <c r="F1083" t="n">
        <v>23.4325122833252</v>
      </c>
      <c r="G1083" t="n">
        <v>73.19601440429688</v>
      </c>
      <c r="H1083">
        <f>AVERAGE(D884:D1083)</f>
        <v/>
      </c>
      <c r="I1083">
        <f>AVERAGE(E884:E1083)</f>
        <v/>
      </c>
      <c r="J1083">
        <f>AVERAGE(F884:F1083)</f>
        <v/>
      </c>
    </row>
    <row r="1084">
      <c r="C1084" s="539" t="n">
        <v>41019</v>
      </c>
      <c r="D1084" t="n">
        <v>159.5399932861328</v>
      </c>
      <c r="E1084" t="n">
        <v>315.1199951171875</v>
      </c>
      <c r="F1084" t="n">
        <v>23.4325122833252</v>
      </c>
      <c r="G1084" t="n">
        <v>73.17998504638672</v>
      </c>
      <c r="H1084">
        <f>AVERAGE(D885:D1084)</f>
        <v/>
      </c>
      <c r="I1084">
        <f>AVERAGE(E885:E1084)</f>
        <v/>
      </c>
      <c r="J1084">
        <f>AVERAGE(F885:F1084)</f>
        <v/>
      </c>
    </row>
    <row r="1085">
      <c r="C1085" s="539" t="n">
        <v>41022</v>
      </c>
      <c r="D1085" t="n">
        <v>159.0700073242188</v>
      </c>
      <c r="E1085" t="n">
        <v>312.239990234375</v>
      </c>
      <c r="F1085" t="n">
        <v>23.38952827453613</v>
      </c>
      <c r="G1085" t="n">
        <v>73.19601440429688</v>
      </c>
      <c r="H1085">
        <f>AVERAGE(D886:D1085)</f>
        <v/>
      </c>
      <c r="I1085">
        <f>AVERAGE(E886:E1085)</f>
        <v/>
      </c>
      <c r="J1085">
        <f>AVERAGE(F886:F1085)</f>
        <v/>
      </c>
    </row>
    <row r="1086">
      <c r="C1086" s="539" t="n">
        <v>41023</v>
      </c>
      <c r="D1086" t="n">
        <v>159.3000030517578</v>
      </c>
      <c r="E1086" t="n">
        <v>313.3599853515625</v>
      </c>
      <c r="F1086" t="n">
        <v>23.44970321655273</v>
      </c>
      <c r="G1086" t="n">
        <v>73.19601440429688</v>
      </c>
      <c r="H1086">
        <f>AVERAGE(D887:D1086)</f>
        <v/>
      </c>
      <c r="I1086">
        <f>AVERAGE(E887:E1086)</f>
        <v/>
      </c>
      <c r="J1086">
        <f>AVERAGE(F887:F1086)</f>
        <v/>
      </c>
    </row>
    <row r="1087">
      <c r="C1087" s="539" t="n">
        <v>41024</v>
      </c>
      <c r="D1087" t="n">
        <v>159.6199951171875</v>
      </c>
      <c r="E1087" t="n">
        <v>315.2799987792969</v>
      </c>
      <c r="F1087" t="n">
        <v>23.37234115600586</v>
      </c>
      <c r="G1087" t="n">
        <v>73.17998504638672</v>
      </c>
      <c r="H1087">
        <f>AVERAGE(D888:D1087)</f>
        <v/>
      </c>
      <c r="I1087">
        <f>AVERAGE(E888:E1087)</f>
        <v/>
      </c>
      <c r="J1087">
        <f>AVERAGE(F888:F1087)</f>
        <v/>
      </c>
    </row>
    <row r="1088">
      <c r="C1088" s="539" t="n">
        <v>41025</v>
      </c>
      <c r="D1088" t="n">
        <v>161.0299987792969</v>
      </c>
      <c r="E1088" t="n">
        <v>316.239990234375</v>
      </c>
      <c r="F1088" t="n">
        <v>23.27778434753418</v>
      </c>
      <c r="G1088" t="n">
        <v>73.19601440429688</v>
      </c>
      <c r="H1088">
        <f>AVERAGE(D889:D1088)</f>
        <v/>
      </c>
      <c r="I1088">
        <f>AVERAGE(E889:E1088)</f>
        <v/>
      </c>
      <c r="J1088">
        <f>AVERAGE(F889:F1088)</f>
        <v/>
      </c>
    </row>
    <row r="1089">
      <c r="C1089" s="539" t="n">
        <v>41026</v>
      </c>
      <c r="D1089" t="n">
        <v>161.3800048828125</v>
      </c>
      <c r="E1089" t="n">
        <v>316.9599914550781</v>
      </c>
      <c r="F1089" t="n">
        <v>23.38952827453613</v>
      </c>
      <c r="G1089" t="n">
        <v>73.17998504638672</v>
      </c>
      <c r="H1089">
        <f>AVERAGE(D890:D1089)</f>
        <v/>
      </c>
      <c r="I1089">
        <f>AVERAGE(E890:E1089)</f>
        <v/>
      </c>
      <c r="J1089">
        <f>AVERAGE(F890:F1089)</f>
        <v/>
      </c>
    </row>
    <row r="1090">
      <c r="C1090" s="539" t="n">
        <v>41029</v>
      </c>
      <c r="D1090" t="n">
        <v>161.8800048828125</v>
      </c>
      <c r="E1090" t="n">
        <v>317.4400024414062</v>
      </c>
      <c r="F1090" t="n">
        <v>23.45829963684082</v>
      </c>
      <c r="G1090" t="n">
        <v>73.19601440429688</v>
      </c>
      <c r="H1090">
        <f>AVERAGE(D891:D1090)</f>
        <v/>
      </c>
      <c r="I1090">
        <f>AVERAGE(E891:E1090)</f>
        <v/>
      </c>
      <c r="J1090">
        <f>AVERAGE(F891:F1090)</f>
        <v/>
      </c>
    </row>
    <row r="1091">
      <c r="C1091" s="539" t="n">
        <v>41030</v>
      </c>
      <c r="D1091" t="n">
        <v>161.3200073242188</v>
      </c>
      <c r="E1091" t="n">
        <v>321.2000122070312</v>
      </c>
      <c r="F1091" t="n">
        <v>23.55285453796387</v>
      </c>
      <c r="G1091" t="n">
        <v>73.19601440429688</v>
      </c>
      <c r="H1091">
        <f>AVERAGE(D892:D1091)</f>
        <v/>
      </c>
      <c r="I1091">
        <f>AVERAGE(E892:E1091)</f>
        <v/>
      </c>
      <c r="J1091">
        <f>AVERAGE(F892:F1091)</f>
        <v/>
      </c>
    </row>
    <row r="1092">
      <c r="C1092" s="539" t="n">
        <v>41031</v>
      </c>
      <c r="D1092" t="n">
        <v>160.5899963378906</v>
      </c>
      <c r="E1092" t="n">
        <v>319.1199951171875</v>
      </c>
      <c r="F1092" t="n">
        <v>23.1402473449707</v>
      </c>
      <c r="G1092" t="n">
        <v>73.19601440429688</v>
      </c>
      <c r="H1092">
        <f>AVERAGE(D893:D1092)</f>
        <v/>
      </c>
      <c r="I1092">
        <f>AVERAGE(E893:E1092)</f>
        <v/>
      </c>
      <c r="J1092">
        <f>AVERAGE(F893:F1092)</f>
        <v/>
      </c>
    </row>
    <row r="1093">
      <c r="C1093" s="539" t="n">
        <v>41032</v>
      </c>
      <c r="D1093" t="n">
        <v>158.9700012207031</v>
      </c>
      <c r="E1093" t="n">
        <v>310.6400146484375</v>
      </c>
      <c r="F1093" t="n">
        <v>23.23480606079102</v>
      </c>
      <c r="G1093" t="n">
        <v>73.17998504638672</v>
      </c>
      <c r="H1093">
        <f>AVERAGE(D894:D1093)</f>
        <v/>
      </c>
      <c r="I1093">
        <f>AVERAGE(E894:E1093)</f>
        <v/>
      </c>
      <c r="J1093">
        <f>AVERAGE(F894:F1093)</f>
        <v/>
      </c>
    </row>
    <row r="1094">
      <c r="C1094" s="539" t="n">
        <v>41033</v>
      </c>
      <c r="D1094" t="n">
        <v>159.4700012207031</v>
      </c>
      <c r="E1094" t="n">
        <v>298.3200073242188</v>
      </c>
      <c r="F1094" t="n">
        <v>23.11446189880371</v>
      </c>
      <c r="G1094" t="n">
        <v>73.17998504638672</v>
      </c>
      <c r="H1094">
        <f>AVERAGE(D895:D1094)</f>
        <v/>
      </c>
      <c r="I1094">
        <f>AVERAGE(E895:E1094)</f>
        <v/>
      </c>
      <c r="J1094">
        <f>AVERAGE(F895:F1094)</f>
        <v/>
      </c>
    </row>
    <row r="1095">
      <c r="C1095" s="539" t="n">
        <v>41036</v>
      </c>
      <c r="D1095" t="n">
        <v>159.0800018310547</v>
      </c>
      <c r="E1095" t="n">
        <v>296.3999938964844</v>
      </c>
      <c r="F1095" t="n">
        <v>23.18322944641113</v>
      </c>
      <c r="G1095" t="n">
        <v>73.19601440429688</v>
      </c>
      <c r="H1095">
        <f>AVERAGE(D896:D1095)</f>
        <v/>
      </c>
      <c r="I1095">
        <f>AVERAGE(E896:E1095)</f>
        <v/>
      </c>
      <c r="J1095">
        <f>AVERAGE(F896:F1095)</f>
        <v/>
      </c>
    </row>
    <row r="1096">
      <c r="C1096" s="539" t="n">
        <v>41037</v>
      </c>
      <c r="D1096" t="n">
        <v>156</v>
      </c>
      <c r="E1096" t="n">
        <v>294.9599914550781</v>
      </c>
      <c r="F1096" t="n">
        <v>23.05428886413574</v>
      </c>
      <c r="G1096" t="n">
        <v>73.19601440429688</v>
      </c>
      <c r="H1096">
        <f>AVERAGE(D897:D1096)</f>
        <v/>
      </c>
      <c r="I1096">
        <f>AVERAGE(E897:E1096)</f>
        <v/>
      </c>
      <c r="J1096">
        <f>AVERAGE(F897:F1096)</f>
        <v/>
      </c>
    </row>
    <row r="1097">
      <c r="C1097" s="539" t="n">
        <v>41038</v>
      </c>
      <c r="D1097" t="n">
        <v>154.4700012207031</v>
      </c>
      <c r="E1097" t="n">
        <v>292.1600036621094</v>
      </c>
      <c r="F1097" t="n">
        <v>22.9339485168457</v>
      </c>
      <c r="G1097" t="n">
        <v>73.19601440429688</v>
      </c>
      <c r="H1097">
        <f>AVERAGE(D898:D1097)</f>
        <v/>
      </c>
      <c r="I1097">
        <f>AVERAGE(E898:E1097)</f>
        <v/>
      </c>
      <c r="J1097">
        <f>AVERAGE(F898:F1097)</f>
        <v/>
      </c>
    </row>
    <row r="1098">
      <c r="C1098" s="539" t="n">
        <v>41039</v>
      </c>
      <c r="D1098" t="n">
        <v>154.7700042724609</v>
      </c>
      <c r="E1098" t="n">
        <v>292.8800048828125</v>
      </c>
      <c r="F1098" t="n">
        <v>22.9339485168457</v>
      </c>
      <c r="G1098" t="n">
        <v>73.19601440429688</v>
      </c>
      <c r="H1098">
        <f>AVERAGE(D899:D1098)</f>
        <v/>
      </c>
      <c r="I1098">
        <f>AVERAGE(E899:E1098)</f>
        <v/>
      </c>
      <c r="J1098">
        <f>AVERAGE(F899:F1098)</f>
        <v/>
      </c>
    </row>
    <row r="1099">
      <c r="C1099" s="539" t="n">
        <v>41040</v>
      </c>
      <c r="D1099" t="n">
        <v>153.5599975585938</v>
      </c>
      <c r="E1099" t="n">
        <v>290.0799865722656</v>
      </c>
      <c r="F1099" t="n">
        <v>22.67607116699219</v>
      </c>
      <c r="G1099" t="n">
        <v>73.19601440429688</v>
      </c>
      <c r="H1099">
        <f>AVERAGE(D900:D1099)</f>
        <v/>
      </c>
      <c r="I1099">
        <f>AVERAGE(E900:E1099)</f>
        <v/>
      </c>
      <c r="J1099">
        <f>AVERAGE(F900:F1099)</f>
        <v/>
      </c>
    </row>
    <row r="1100">
      <c r="C1100" s="539" t="n">
        <v>41043</v>
      </c>
      <c r="D1100" t="n">
        <v>151.3300018310547</v>
      </c>
      <c r="E1100" t="n">
        <v>284.8800048828125</v>
      </c>
      <c r="F1100" t="n">
        <v>22.59011077880859</v>
      </c>
      <c r="G1100" t="n">
        <v>73.19601440429688</v>
      </c>
      <c r="H1100">
        <f>AVERAGE(D901:D1100)</f>
        <v/>
      </c>
      <c r="I1100">
        <f>AVERAGE(E901:E1100)</f>
        <v/>
      </c>
      <c r="J1100">
        <f>AVERAGE(F901:F1100)</f>
        <v/>
      </c>
    </row>
    <row r="1101">
      <c r="C1101" s="539" t="n">
        <v>41044</v>
      </c>
      <c r="D1101" t="n">
        <v>149.7400054931641</v>
      </c>
      <c r="E1101" t="n">
        <v>282.239990234375</v>
      </c>
      <c r="F1101" t="n">
        <v>22.84798622131348</v>
      </c>
      <c r="G1101" t="n">
        <v>73.19601440429688</v>
      </c>
      <c r="H1101">
        <f>AVERAGE(D902:D1101)</f>
        <v/>
      </c>
      <c r="I1101">
        <f>AVERAGE(E902:E1101)</f>
        <v/>
      </c>
      <c r="J1101">
        <f>AVERAGE(F902:F1101)</f>
        <v/>
      </c>
    </row>
    <row r="1102">
      <c r="C1102" s="539" t="n">
        <v>41045</v>
      </c>
      <c r="D1102" t="n">
        <v>149.4600067138672</v>
      </c>
      <c r="E1102" t="n">
        <v>280.3999938964844</v>
      </c>
      <c r="F1102" t="n">
        <v>23.09726905822754</v>
      </c>
      <c r="G1102" t="n">
        <v>73.19601440429688</v>
      </c>
      <c r="H1102">
        <f>AVERAGE(D903:D1102)</f>
        <v/>
      </c>
      <c r="I1102">
        <f>AVERAGE(E903:E1102)</f>
        <v/>
      </c>
      <c r="J1102">
        <f>AVERAGE(F903:F1102)</f>
        <v/>
      </c>
    </row>
    <row r="1103">
      <c r="C1103" s="539" t="n">
        <v>41046</v>
      </c>
      <c r="D1103" t="n">
        <v>152.8000030517578</v>
      </c>
      <c r="E1103" t="n">
        <v>280.3200073242188</v>
      </c>
      <c r="F1103" t="n">
        <v>23.19182395935059</v>
      </c>
      <c r="G1103" t="n">
        <v>73.19601440429688</v>
      </c>
      <c r="H1103">
        <f>AVERAGE(D904:D1103)</f>
        <v/>
      </c>
      <c r="I1103">
        <f>AVERAGE(E904:E1103)</f>
        <v/>
      </c>
      <c r="J1103">
        <f>AVERAGE(F904:F1103)</f>
        <v/>
      </c>
    </row>
    <row r="1104">
      <c r="C1104" s="539" t="n">
        <v>41047</v>
      </c>
      <c r="D1104" t="n">
        <v>154.5500030517578</v>
      </c>
      <c r="E1104" t="n">
        <v>275.4400024414062</v>
      </c>
      <c r="F1104" t="n">
        <v>23.33795356750488</v>
      </c>
      <c r="G1104" t="n">
        <v>73.19601440429688</v>
      </c>
      <c r="H1104">
        <f>AVERAGE(D905:D1104)</f>
        <v/>
      </c>
      <c r="I1104">
        <f>AVERAGE(E905:E1104)</f>
        <v/>
      </c>
      <c r="J1104">
        <f>AVERAGE(F905:F1104)</f>
        <v/>
      </c>
    </row>
    <row r="1105">
      <c r="C1105" s="539" t="n">
        <v>41050</v>
      </c>
      <c r="D1105" t="n">
        <v>154.6499938964844</v>
      </c>
      <c r="E1105" t="n">
        <v>281.2000122070312</v>
      </c>
      <c r="F1105" t="n">
        <v>23.28638076782227</v>
      </c>
      <c r="G1105" t="n">
        <v>73.19601440429688</v>
      </c>
      <c r="H1105">
        <f>AVERAGE(D906:D1105)</f>
        <v/>
      </c>
      <c r="I1105">
        <f>AVERAGE(E906:E1105)</f>
        <v/>
      </c>
      <c r="J1105">
        <f>AVERAGE(F906:F1105)</f>
        <v/>
      </c>
    </row>
    <row r="1106">
      <c r="C1106" s="539" t="n">
        <v>41051</v>
      </c>
      <c r="D1106" t="n">
        <v>152.0800018310547</v>
      </c>
      <c r="E1106" t="n">
        <v>275.8399963378906</v>
      </c>
      <c r="F1106" t="n">
        <v>22.89096641540527</v>
      </c>
      <c r="G1106" t="n">
        <v>73.16401672363281</v>
      </c>
      <c r="H1106">
        <f>AVERAGE(D907:D1106)</f>
        <v/>
      </c>
      <c r="I1106">
        <f>AVERAGE(E907:E1106)</f>
        <v/>
      </c>
      <c r="J1106">
        <f>AVERAGE(F907:F1106)</f>
        <v/>
      </c>
    </row>
    <row r="1107">
      <c r="C1107" s="539" t="n">
        <v>41052</v>
      </c>
      <c r="D1107" t="n">
        <v>151.6199951171875</v>
      </c>
      <c r="E1107" t="n">
        <v>272.7200012207031</v>
      </c>
      <c r="F1107" t="n">
        <v>22.54713249206543</v>
      </c>
      <c r="G1107" t="n">
        <v>73.16401672363281</v>
      </c>
      <c r="H1107">
        <f>AVERAGE(D908:D1107)</f>
        <v/>
      </c>
      <c r="I1107">
        <f>AVERAGE(E908:E1107)</f>
        <v/>
      </c>
      <c r="J1107">
        <f>AVERAGE(F908:F1107)</f>
        <v/>
      </c>
    </row>
    <row r="1108">
      <c r="C1108" s="539" t="n">
        <v>41053</v>
      </c>
      <c r="D1108" t="n">
        <v>151.4100036621094</v>
      </c>
      <c r="E1108" t="n">
        <v>274.0799865722656</v>
      </c>
      <c r="F1108" t="n">
        <v>22.56432342529297</v>
      </c>
      <c r="G1108" t="n">
        <v>73.19601440429688</v>
      </c>
      <c r="H1108">
        <f>AVERAGE(D909:D1108)</f>
        <v/>
      </c>
      <c r="I1108">
        <f>AVERAGE(E909:E1108)</f>
        <v/>
      </c>
      <c r="J1108">
        <f>AVERAGE(F909:F1108)</f>
        <v/>
      </c>
    </row>
    <row r="1109">
      <c r="C1109" s="539" t="n">
        <v>41054</v>
      </c>
      <c r="D1109" t="n">
        <v>152.6799926757812</v>
      </c>
      <c r="E1109" t="n">
        <v>273.760009765625</v>
      </c>
      <c r="F1109" t="n">
        <v>22.65887832641602</v>
      </c>
      <c r="G1109" t="n">
        <v>73.19601440429688</v>
      </c>
      <c r="H1109">
        <f>AVERAGE(D910:D1109)</f>
        <v/>
      </c>
      <c r="I1109">
        <f>AVERAGE(E910:E1109)</f>
        <v/>
      </c>
      <c r="J1109">
        <f>AVERAGE(F910:F1109)</f>
        <v/>
      </c>
    </row>
    <row r="1110">
      <c r="C1110" s="539" t="n">
        <v>41058</v>
      </c>
      <c r="D1110" t="n">
        <v>151.0200042724609</v>
      </c>
      <c r="E1110" t="n">
        <v>273.8399963378906</v>
      </c>
      <c r="F1110" t="n">
        <v>22.58151626586914</v>
      </c>
      <c r="G1110" t="n">
        <v>73.19601440429688</v>
      </c>
      <c r="H1110">
        <f>AVERAGE(D911:D1110)</f>
        <v/>
      </c>
      <c r="I1110">
        <f>AVERAGE(E911:E1110)</f>
        <v/>
      </c>
      <c r="J1110">
        <f>AVERAGE(F911:F1110)</f>
        <v/>
      </c>
    </row>
    <row r="1111">
      <c r="C1111" s="539" t="n">
        <v>41059</v>
      </c>
      <c r="D1111" t="n">
        <v>151.9100036621094</v>
      </c>
      <c r="E1111" t="n">
        <v>264.1600036621094</v>
      </c>
      <c r="F1111" t="n">
        <v>22.4439811706543</v>
      </c>
      <c r="G1111" t="n">
        <v>73.19601440429688</v>
      </c>
      <c r="H1111">
        <f>AVERAGE(D912:D1111)</f>
        <v/>
      </c>
      <c r="I1111">
        <f>AVERAGE(E912:E1111)</f>
        <v/>
      </c>
      <c r="J1111">
        <f>AVERAGE(F912:F1111)</f>
        <v/>
      </c>
    </row>
    <row r="1112">
      <c r="C1112" s="539" t="n">
        <v>41060</v>
      </c>
      <c r="D1112" t="n">
        <v>151.6199951171875</v>
      </c>
      <c r="E1112" t="n">
        <v>260.8800048828125</v>
      </c>
      <c r="F1112" t="n">
        <v>22.41819190979004</v>
      </c>
      <c r="G1112" t="n">
        <v>73.19601440429688</v>
      </c>
      <c r="H1112">
        <f>AVERAGE(D913:D1112)</f>
        <v/>
      </c>
      <c r="I1112">
        <f>AVERAGE(E913:E1112)</f>
        <v/>
      </c>
      <c r="J1112">
        <f>AVERAGE(F913:F1112)</f>
        <v/>
      </c>
    </row>
    <row r="1113">
      <c r="C1113" s="539" t="n">
        <v>41061</v>
      </c>
      <c r="D1113" t="n">
        <v>157.5</v>
      </c>
      <c r="E1113" t="n">
        <v>251.4400024414062</v>
      </c>
      <c r="F1113" t="n">
        <v>22.17750549316406</v>
      </c>
      <c r="G1113" t="n">
        <v>73.19601440429688</v>
      </c>
      <c r="H1113">
        <f>AVERAGE(D914:D1113)</f>
        <v/>
      </c>
      <c r="I1113">
        <f>AVERAGE(E914:E1113)</f>
        <v/>
      </c>
      <c r="J1113">
        <f>AVERAGE(F914:F1113)</f>
        <v/>
      </c>
    </row>
    <row r="1114">
      <c r="C1114" s="539" t="n">
        <v>41064</v>
      </c>
      <c r="D1114" t="n">
        <v>157.3200073242188</v>
      </c>
      <c r="E1114" t="n">
        <v>254.0800018310547</v>
      </c>
      <c r="F1114" t="n">
        <v>22.28925323486328</v>
      </c>
      <c r="G1114" t="n">
        <v>73.19601440429688</v>
      </c>
      <c r="H1114">
        <f>AVERAGE(D915:D1114)</f>
        <v/>
      </c>
      <c r="I1114">
        <f>AVERAGE(E915:E1114)</f>
        <v/>
      </c>
      <c r="J1114">
        <f>AVERAGE(F915:F1114)</f>
        <v/>
      </c>
    </row>
    <row r="1115">
      <c r="C1115" s="539" t="n">
        <v>41065</v>
      </c>
      <c r="D1115" t="n">
        <v>157.1399993896484</v>
      </c>
      <c r="E1115" t="n">
        <v>254.0800018310547</v>
      </c>
      <c r="F1115" t="n">
        <v>22.21189117431641</v>
      </c>
      <c r="G1115" t="n">
        <v>73.19601440429688</v>
      </c>
      <c r="H1115">
        <f>AVERAGE(D916:D1115)</f>
        <v/>
      </c>
      <c r="I1115">
        <f>AVERAGE(E916:E1115)</f>
        <v/>
      </c>
      <c r="J1115">
        <f>AVERAGE(F916:F1115)</f>
        <v/>
      </c>
    </row>
    <row r="1116">
      <c r="C1116" s="539" t="n">
        <v>41066</v>
      </c>
      <c r="D1116" t="n">
        <v>157.2100067138672</v>
      </c>
      <c r="E1116" t="n">
        <v>257.2000122070312</v>
      </c>
      <c r="F1116" t="n">
        <v>22.54713249206543</v>
      </c>
      <c r="G1116" t="n">
        <v>73.17998504638672</v>
      </c>
      <c r="H1116">
        <f>AVERAGE(D917:D1116)</f>
        <v/>
      </c>
      <c r="I1116">
        <f>AVERAGE(E917:E1116)</f>
        <v/>
      </c>
      <c r="J1116">
        <f>AVERAGE(F917:F1116)</f>
        <v/>
      </c>
    </row>
    <row r="1117">
      <c r="C1117" s="539" t="n">
        <v>41067</v>
      </c>
      <c r="D1117" t="n">
        <v>154.5</v>
      </c>
      <c r="E1117" t="n">
        <v>253.7599945068359</v>
      </c>
      <c r="F1117" t="n">
        <v>22.84798622131348</v>
      </c>
      <c r="G1117" t="n">
        <v>73.17998504638672</v>
      </c>
      <c r="H1117">
        <f>AVERAGE(D918:D1117)</f>
        <v/>
      </c>
      <c r="I1117">
        <f>AVERAGE(E918:E1117)</f>
        <v/>
      </c>
      <c r="J1117">
        <f>AVERAGE(F918:F1117)</f>
        <v/>
      </c>
    </row>
    <row r="1118">
      <c r="C1118" s="539" t="n">
        <v>41068</v>
      </c>
      <c r="D1118" t="n">
        <v>154.7299957275391</v>
      </c>
      <c r="E1118" t="n">
        <v>254.3999938964844</v>
      </c>
      <c r="F1118" t="n">
        <v>22.83938980102539</v>
      </c>
      <c r="G1118" t="n">
        <v>73.17998504638672</v>
      </c>
      <c r="H1118">
        <f>AVERAGE(D919:D1118)</f>
        <v/>
      </c>
      <c r="I1118">
        <f>AVERAGE(E919:E1118)</f>
        <v/>
      </c>
      <c r="J1118">
        <f>AVERAGE(F919:F1118)</f>
        <v/>
      </c>
    </row>
    <row r="1119">
      <c r="C1119" s="539" t="n">
        <v>41071</v>
      </c>
      <c r="D1119" t="n">
        <v>155.3600006103516</v>
      </c>
      <c r="E1119" t="n">
        <v>245.6000061035156</v>
      </c>
      <c r="F1119" t="n">
        <v>22.65028190612793</v>
      </c>
      <c r="G1119" t="n">
        <v>73.17998504638672</v>
      </c>
      <c r="H1119">
        <f>AVERAGE(D920:D1119)</f>
        <v/>
      </c>
      <c r="I1119">
        <f>AVERAGE(E920:E1119)</f>
        <v/>
      </c>
      <c r="J1119">
        <f>AVERAGE(F920:F1119)</f>
        <v/>
      </c>
    </row>
    <row r="1120">
      <c r="C1120" s="539" t="n">
        <v>41072</v>
      </c>
      <c r="D1120" t="n">
        <v>156.4600067138672</v>
      </c>
      <c r="E1120" t="n">
        <v>251.3600006103516</v>
      </c>
      <c r="F1120" t="n">
        <v>22.65028190612793</v>
      </c>
      <c r="G1120" t="n">
        <v>73.19601440429688</v>
      </c>
      <c r="H1120">
        <f>AVERAGE(D921:D1120)</f>
        <v/>
      </c>
      <c r="I1120">
        <f>AVERAGE(E921:E1120)</f>
        <v/>
      </c>
      <c r="J1120">
        <f>AVERAGE(F921:F1120)</f>
        <v/>
      </c>
    </row>
    <row r="1121">
      <c r="C1121" s="539" t="n">
        <v>41073</v>
      </c>
      <c r="D1121" t="n">
        <v>157.1199951171875</v>
      </c>
      <c r="E1121" t="n">
        <v>248.8000030517578</v>
      </c>
      <c r="F1121" t="n">
        <v>22.48696136474609</v>
      </c>
      <c r="G1121" t="n">
        <v>73.19601440429688</v>
      </c>
      <c r="H1121">
        <f>AVERAGE(D922:D1121)</f>
        <v/>
      </c>
      <c r="I1121">
        <f>AVERAGE(E922:E1121)</f>
        <v/>
      </c>
      <c r="J1121">
        <f>AVERAGE(F922:F1121)</f>
        <v/>
      </c>
    </row>
    <row r="1122">
      <c r="C1122" s="539" t="n">
        <v>41074</v>
      </c>
      <c r="D1122" t="n">
        <v>157.75</v>
      </c>
      <c r="E1122" t="n">
        <v>253.8399963378906</v>
      </c>
      <c r="F1122" t="n">
        <v>22.4439811706543</v>
      </c>
      <c r="G1122" t="n">
        <v>73.19601440429688</v>
      </c>
      <c r="H1122">
        <f>AVERAGE(D923:D1122)</f>
        <v/>
      </c>
      <c r="I1122">
        <f>AVERAGE(E923:E1122)</f>
        <v/>
      </c>
      <c r="J1122">
        <f>AVERAGE(F923:F1122)</f>
        <v/>
      </c>
    </row>
    <row r="1123">
      <c r="C1123" s="539" t="n">
        <v>41075</v>
      </c>
      <c r="D1123" t="n">
        <v>157.8399963378906</v>
      </c>
      <c r="E1123" t="n">
        <v>253.0399932861328</v>
      </c>
      <c r="F1123" t="n">
        <v>22.34082794189453</v>
      </c>
      <c r="G1123" t="n">
        <v>73.17998504638672</v>
      </c>
      <c r="H1123">
        <f>AVERAGE(D924:D1123)</f>
        <v/>
      </c>
      <c r="I1123">
        <f>AVERAGE(E924:E1123)</f>
        <v/>
      </c>
      <c r="J1123">
        <f>AVERAGE(F924:F1123)</f>
        <v/>
      </c>
    </row>
    <row r="1124">
      <c r="C1124" s="539" t="n">
        <v>41078</v>
      </c>
      <c r="D1124" t="n">
        <v>157.9299926757812</v>
      </c>
      <c r="E1124" t="n">
        <v>250.5599975585938</v>
      </c>
      <c r="F1124" t="n">
        <v>22.59011077880859</v>
      </c>
      <c r="G1124" t="n">
        <v>73.19601440429688</v>
      </c>
      <c r="H1124">
        <f>AVERAGE(D925:D1124)</f>
        <v/>
      </c>
      <c r="I1124">
        <f>AVERAGE(E925:E1124)</f>
        <v/>
      </c>
      <c r="J1124">
        <f>AVERAGE(F925:F1124)</f>
        <v/>
      </c>
    </row>
    <row r="1125">
      <c r="C1125" s="539" t="n">
        <v>41079</v>
      </c>
      <c r="D1125" t="n">
        <v>157.1600036621094</v>
      </c>
      <c r="E1125" t="n">
        <v>253.4400024414062</v>
      </c>
      <c r="F1125" t="n">
        <v>23.11446189880371</v>
      </c>
      <c r="G1125" t="n">
        <v>73.16401672363281</v>
      </c>
      <c r="H1125">
        <f>AVERAGE(D926:D1125)</f>
        <v/>
      </c>
      <c r="I1125">
        <f>AVERAGE(E926:E1125)</f>
        <v/>
      </c>
      <c r="J1125">
        <f>AVERAGE(F926:F1125)</f>
        <v/>
      </c>
    </row>
    <row r="1126">
      <c r="C1126" s="539" t="n">
        <v>41080</v>
      </c>
      <c r="D1126" t="n">
        <v>155.9700012207031</v>
      </c>
      <c r="E1126" t="n">
        <v>243.9199981689453</v>
      </c>
      <c r="F1126" t="n">
        <v>23.02850341796875</v>
      </c>
      <c r="G1126" t="n">
        <v>73.16401672363281</v>
      </c>
      <c r="H1126">
        <f>AVERAGE(D927:D1126)</f>
        <v/>
      </c>
      <c r="I1126">
        <f>AVERAGE(E927:E1126)</f>
        <v/>
      </c>
      <c r="J1126">
        <f>AVERAGE(F927:F1126)</f>
        <v/>
      </c>
    </row>
    <row r="1127">
      <c r="C1127" s="539" t="n">
        <v>41081</v>
      </c>
      <c r="D1127" t="n">
        <v>152.0200042724609</v>
      </c>
      <c r="E1127" t="n">
        <v>235.6799926757812</v>
      </c>
      <c r="F1127" t="n">
        <v>22.79641342163086</v>
      </c>
      <c r="G1127" t="n">
        <v>73.19601440429688</v>
      </c>
      <c r="H1127">
        <f>AVERAGE(D928:D1127)</f>
        <v/>
      </c>
      <c r="I1127">
        <f>AVERAGE(E928:E1127)</f>
        <v/>
      </c>
      <c r="J1127">
        <f>AVERAGE(F928:F1127)</f>
        <v/>
      </c>
    </row>
    <row r="1128">
      <c r="C1128" s="539" t="n">
        <v>41082</v>
      </c>
      <c r="D1128" t="n">
        <v>152.6399993896484</v>
      </c>
      <c r="E1128" t="n">
        <v>240.8000030517578</v>
      </c>
      <c r="F1128" t="n">
        <v>22.7706241607666</v>
      </c>
      <c r="G1128" t="n">
        <v>73.17998504638672</v>
      </c>
      <c r="H1128">
        <f>AVERAGE(D929:D1128)</f>
        <v/>
      </c>
      <c r="I1128">
        <f>AVERAGE(E929:E1128)</f>
        <v/>
      </c>
      <c r="J1128">
        <f>AVERAGE(F929:F1128)</f>
        <v/>
      </c>
    </row>
    <row r="1129">
      <c r="C1129" s="539" t="n">
        <v>41085</v>
      </c>
      <c r="D1129" t="n">
        <v>153.7599945068359</v>
      </c>
      <c r="E1129" t="n">
        <v>238.3999938964844</v>
      </c>
      <c r="F1129" t="n">
        <v>23.20901489257812</v>
      </c>
      <c r="G1129" t="n">
        <v>73.19601440429688</v>
      </c>
      <c r="H1129">
        <f>AVERAGE(D930:D1129)</f>
        <v/>
      </c>
      <c r="I1129">
        <f>AVERAGE(E930:E1129)</f>
        <v/>
      </c>
      <c r="J1129">
        <f>AVERAGE(F930:F1129)</f>
        <v/>
      </c>
    </row>
    <row r="1130">
      <c r="C1130" s="539" t="n">
        <v>41086</v>
      </c>
      <c r="D1130" t="n">
        <v>152.6199951171875</v>
      </c>
      <c r="E1130" t="n">
        <v>238.4799957275391</v>
      </c>
      <c r="F1130" t="n">
        <v>23.54426002502441</v>
      </c>
      <c r="G1130" t="n">
        <v>73.19601440429688</v>
      </c>
      <c r="H1130">
        <f>AVERAGE(D931:D1130)</f>
        <v/>
      </c>
      <c r="I1130">
        <f>AVERAGE(E931:E1130)</f>
        <v/>
      </c>
      <c r="J1130">
        <f>AVERAGE(F931:F1130)</f>
        <v/>
      </c>
    </row>
    <row r="1131">
      <c r="C1131" s="539" t="n">
        <v>41087</v>
      </c>
      <c r="D1131" t="n">
        <v>152.8300018310547</v>
      </c>
      <c r="E1131" t="n">
        <v>241.6000061035156</v>
      </c>
      <c r="F1131" t="n">
        <v>23.81932640075684</v>
      </c>
      <c r="G1131" t="n">
        <v>73.17998504638672</v>
      </c>
      <c r="H1131">
        <f>AVERAGE(D932:D1131)</f>
        <v/>
      </c>
      <c r="I1131">
        <f>AVERAGE(E932:E1131)</f>
        <v/>
      </c>
      <c r="J1131">
        <f>AVERAGE(F932:F1131)</f>
        <v/>
      </c>
    </row>
    <row r="1132">
      <c r="C1132" s="539" t="n">
        <v>41088</v>
      </c>
      <c r="D1132" t="n">
        <v>151.0500030517578</v>
      </c>
      <c r="E1132" t="n">
        <v>236</v>
      </c>
      <c r="F1132" t="n">
        <v>23.86230659484863</v>
      </c>
      <c r="G1132" t="n">
        <v>73.19601440429688</v>
      </c>
      <c r="H1132">
        <f>AVERAGE(D933:D1132)</f>
        <v/>
      </c>
      <c r="I1132">
        <f>AVERAGE(E933:E1132)</f>
        <v/>
      </c>
      <c r="J1132">
        <f>AVERAGE(F933:F1132)</f>
        <v/>
      </c>
    </row>
    <row r="1133">
      <c r="C1133" s="539" t="n">
        <v>41089</v>
      </c>
      <c r="D1133" t="n">
        <v>155.1900024414062</v>
      </c>
      <c r="E1133" t="n">
        <v>254.6399993896484</v>
      </c>
      <c r="F1133" t="n">
        <v>24.25771903991699</v>
      </c>
      <c r="G1133" t="n">
        <v>73.16401672363281</v>
      </c>
      <c r="H1133">
        <f>AVERAGE(D934:D1133)</f>
        <v/>
      </c>
      <c r="I1133">
        <f>AVERAGE(E934:E1133)</f>
        <v/>
      </c>
      <c r="J1133">
        <f>AVERAGE(F934:F1133)</f>
        <v/>
      </c>
    </row>
    <row r="1134">
      <c r="C1134" s="539" t="n">
        <v>41092</v>
      </c>
      <c r="D1134" t="n">
        <v>155.0899963378906</v>
      </c>
      <c r="E1134" t="n">
        <v>251.4400024414062</v>
      </c>
      <c r="F1134" t="n">
        <v>24.47262191772461</v>
      </c>
      <c r="G1134" t="n">
        <v>73.16401672363281</v>
      </c>
      <c r="H1134">
        <f>AVERAGE(D935:D1134)</f>
        <v/>
      </c>
      <c r="I1134">
        <f>AVERAGE(E935:E1134)</f>
        <v/>
      </c>
      <c r="J1134">
        <f>AVERAGE(F935:F1134)</f>
        <v/>
      </c>
    </row>
    <row r="1135">
      <c r="C1135" s="539" t="n">
        <v>41093</v>
      </c>
      <c r="D1135" t="n">
        <v>157.4600067138672</v>
      </c>
      <c r="E1135" t="n">
        <v>263.5199890136719</v>
      </c>
      <c r="F1135" t="n">
        <v>24.84224510192871</v>
      </c>
      <c r="G1135" t="n">
        <v>73.16401672363281</v>
      </c>
      <c r="H1135">
        <f>AVERAGE(D936:D1135)</f>
        <v/>
      </c>
      <c r="I1135">
        <f>AVERAGE(E936:E1135)</f>
        <v/>
      </c>
      <c r="J1135">
        <f>AVERAGE(F936:F1135)</f>
        <v/>
      </c>
    </row>
    <row r="1136">
      <c r="C1136" s="539" t="n">
        <v>41095</v>
      </c>
      <c r="D1136" t="n">
        <v>155.6799926757812</v>
      </c>
      <c r="E1136" t="n">
        <v>260.9599914550781</v>
      </c>
      <c r="F1136" t="n">
        <v>25.18608093261719</v>
      </c>
      <c r="G1136" t="n">
        <v>73.16401672363281</v>
      </c>
      <c r="H1136">
        <f>AVERAGE(D937:D1136)</f>
        <v/>
      </c>
      <c r="I1136">
        <f>AVERAGE(E937:E1136)</f>
        <v/>
      </c>
      <c r="J1136">
        <f>AVERAGE(F937:F1136)</f>
        <v/>
      </c>
    </row>
    <row r="1137">
      <c r="C1137" s="539" t="n">
        <v>41096</v>
      </c>
      <c r="D1137" t="n">
        <v>153.7100067138672</v>
      </c>
      <c r="E1137" t="n">
        <v>252.7200012207031</v>
      </c>
      <c r="F1137" t="n">
        <v>24.92820358276367</v>
      </c>
      <c r="G1137" t="n">
        <v>73.16401672363281</v>
      </c>
      <c r="H1137">
        <f>AVERAGE(D938:D1137)</f>
        <v/>
      </c>
      <c r="I1137">
        <f>AVERAGE(E938:E1137)</f>
        <v/>
      </c>
      <c r="J1137">
        <f>AVERAGE(F938:F1137)</f>
        <v/>
      </c>
    </row>
    <row r="1138">
      <c r="C1138" s="539" t="n">
        <v>41099</v>
      </c>
      <c r="D1138" t="n">
        <v>154.0399932861328</v>
      </c>
      <c r="E1138" t="n">
        <v>257.3599853515625</v>
      </c>
      <c r="F1138" t="n">
        <v>25.47834396362305</v>
      </c>
      <c r="G1138" t="n">
        <v>73.16401672363281</v>
      </c>
      <c r="H1138">
        <f>AVERAGE(D939:D1138)</f>
        <v/>
      </c>
      <c r="I1138">
        <f>AVERAGE(E939:E1138)</f>
        <v/>
      </c>
      <c r="J1138">
        <f>AVERAGE(F939:F1138)</f>
        <v/>
      </c>
    </row>
    <row r="1139">
      <c r="C1139" s="539" t="n">
        <v>41100</v>
      </c>
      <c r="D1139" t="n">
        <v>152.1499938964844</v>
      </c>
      <c r="E1139" t="n">
        <v>252.1600036621094</v>
      </c>
      <c r="F1139" t="n">
        <v>25.28923225402832</v>
      </c>
      <c r="G1139" t="n">
        <v>73.16401672363281</v>
      </c>
      <c r="H1139">
        <f>AVERAGE(D940:D1139)</f>
        <v/>
      </c>
      <c r="I1139">
        <f>AVERAGE(E940:E1139)</f>
        <v/>
      </c>
      <c r="J1139">
        <f>AVERAGE(F940:F1139)</f>
        <v/>
      </c>
    </row>
    <row r="1140">
      <c r="C1140" s="539" t="n">
        <v>41101</v>
      </c>
      <c r="D1140" t="n">
        <v>152.9900054931641</v>
      </c>
      <c r="E1140" t="n">
        <v>258.6400146484375</v>
      </c>
      <c r="F1140" t="n">
        <v>25.1602954864502</v>
      </c>
      <c r="G1140" t="n">
        <v>73.16401672363281</v>
      </c>
      <c r="H1140">
        <f>AVERAGE(D941:D1140)</f>
        <v/>
      </c>
      <c r="I1140">
        <f>AVERAGE(E941:E1140)</f>
        <v/>
      </c>
      <c r="J1140">
        <f>AVERAGE(F941:F1140)</f>
        <v/>
      </c>
    </row>
    <row r="1141">
      <c r="C1141" s="539" t="n">
        <v>41102</v>
      </c>
      <c r="D1141" t="n">
        <v>152.5899963378906</v>
      </c>
      <c r="E1141" t="n">
        <v>257.6000061035156</v>
      </c>
      <c r="F1141" t="n">
        <v>25.10871887207031</v>
      </c>
      <c r="G1141" t="n">
        <v>73.16401672363281</v>
      </c>
      <c r="H1141">
        <f>AVERAGE(D942:D1141)</f>
        <v/>
      </c>
      <c r="I1141">
        <f>AVERAGE(E942:E1141)</f>
        <v/>
      </c>
      <c r="J1141">
        <f>AVERAGE(F942:F1141)</f>
        <v/>
      </c>
    </row>
    <row r="1142">
      <c r="C1142" s="539" t="n">
        <v>41103</v>
      </c>
      <c r="D1142" t="n">
        <v>154.1399993896484</v>
      </c>
      <c r="E1142" t="n">
        <v>261.4400024414062</v>
      </c>
      <c r="F1142" t="n">
        <v>25.29783058166504</v>
      </c>
      <c r="G1142" t="n">
        <v>73.17998504638672</v>
      </c>
      <c r="H1142">
        <f>AVERAGE(D943:D1142)</f>
        <v/>
      </c>
      <c r="I1142">
        <f>AVERAGE(E943:E1142)</f>
        <v/>
      </c>
      <c r="J1142">
        <f>AVERAGE(F943:F1142)</f>
        <v/>
      </c>
    </row>
    <row r="1143">
      <c r="C1143" s="539" t="n">
        <v>41106</v>
      </c>
      <c r="D1143" t="n">
        <v>154.2100067138672</v>
      </c>
      <c r="E1143" t="n">
        <v>264.9599914550781</v>
      </c>
      <c r="F1143" t="n">
        <v>25.53851318359375</v>
      </c>
      <c r="G1143" t="n">
        <v>73.16401672363281</v>
      </c>
      <c r="H1143">
        <f>AVERAGE(D944:D1143)</f>
        <v/>
      </c>
      <c r="I1143">
        <f>AVERAGE(E944:E1143)</f>
        <v/>
      </c>
      <c r="J1143">
        <f>AVERAGE(F944:F1143)</f>
        <v/>
      </c>
    </row>
    <row r="1144">
      <c r="C1144" s="539" t="n">
        <v>41107</v>
      </c>
      <c r="D1144" t="n">
        <v>153.4700012207031</v>
      </c>
      <c r="E1144" t="n">
        <v>267.0400085449219</v>
      </c>
      <c r="F1144" t="n">
        <v>25.46115303039551</v>
      </c>
      <c r="G1144" t="n">
        <v>73.16401672363281</v>
      </c>
      <c r="H1144">
        <f>AVERAGE(D945:D1144)</f>
        <v/>
      </c>
      <c r="I1144">
        <f>AVERAGE(E945:E1144)</f>
        <v/>
      </c>
      <c r="J1144">
        <f>AVERAGE(F945:F1144)</f>
        <v/>
      </c>
    </row>
    <row r="1145">
      <c r="C1145" s="539" t="n">
        <v>41108</v>
      </c>
      <c r="D1145" t="n">
        <v>153.0500030517578</v>
      </c>
      <c r="E1145" t="n">
        <v>269.5199890136719</v>
      </c>
      <c r="F1145" t="n">
        <v>25.74481773376465</v>
      </c>
      <c r="G1145" t="n">
        <v>73.16401672363281</v>
      </c>
      <c r="H1145">
        <f>AVERAGE(D946:D1145)</f>
        <v/>
      </c>
      <c r="I1145">
        <f>AVERAGE(E946:E1145)</f>
        <v/>
      </c>
      <c r="J1145">
        <f>AVERAGE(F946:F1145)</f>
        <v/>
      </c>
    </row>
    <row r="1146">
      <c r="C1146" s="539" t="n">
        <v>41109</v>
      </c>
      <c r="D1146" t="n">
        <v>153.3800048828125</v>
      </c>
      <c r="E1146" t="n">
        <v>277.1199951171875</v>
      </c>
      <c r="F1146" t="n">
        <v>25.87375640869141</v>
      </c>
      <c r="G1146" t="n">
        <v>73.17998504638672</v>
      </c>
      <c r="H1146">
        <f>AVERAGE(D947:D1146)</f>
        <v/>
      </c>
      <c r="I1146">
        <f>AVERAGE(E947:E1146)</f>
        <v/>
      </c>
      <c r="J1146">
        <f>AVERAGE(F947:F1146)</f>
        <v/>
      </c>
    </row>
    <row r="1147">
      <c r="C1147" s="539" t="n">
        <v>41110</v>
      </c>
      <c r="D1147" t="n">
        <v>153.6699981689453</v>
      </c>
      <c r="E1147" t="n">
        <v>273.6000061035156</v>
      </c>
      <c r="F1147" t="n">
        <v>26.0628662109375</v>
      </c>
      <c r="G1147" t="n">
        <v>73.16401672363281</v>
      </c>
      <c r="H1147">
        <f>AVERAGE(D948:D1147)</f>
        <v/>
      </c>
      <c r="I1147">
        <f>AVERAGE(E948:E1147)</f>
        <v/>
      </c>
      <c r="J1147">
        <f>AVERAGE(F948:F1147)</f>
        <v/>
      </c>
    </row>
    <row r="1148">
      <c r="C1148" s="539" t="n">
        <v>41113</v>
      </c>
      <c r="D1148" t="n">
        <v>153.0299987792969</v>
      </c>
      <c r="E1148" t="n">
        <v>264</v>
      </c>
      <c r="F1148" t="n">
        <v>25.7534122467041</v>
      </c>
      <c r="G1148" t="n">
        <v>73.16401672363281</v>
      </c>
      <c r="H1148">
        <f>AVERAGE(D949:D1148)</f>
        <v/>
      </c>
      <c r="I1148">
        <f>AVERAGE(E949:E1148)</f>
        <v/>
      </c>
      <c r="J1148">
        <f>AVERAGE(F949:F1148)</f>
        <v/>
      </c>
    </row>
    <row r="1149">
      <c r="C1149" s="539" t="n">
        <v>41114</v>
      </c>
      <c r="D1149" t="n">
        <v>153.5200042724609</v>
      </c>
      <c r="E1149" t="n">
        <v>265.2000122070312</v>
      </c>
      <c r="F1149" t="n">
        <v>25.32361602783203</v>
      </c>
      <c r="G1149" t="n">
        <v>73.17998504638672</v>
      </c>
      <c r="H1149">
        <f>AVERAGE(D950:D1149)</f>
        <v/>
      </c>
      <c r="I1149">
        <f>AVERAGE(E950:E1149)</f>
        <v/>
      </c>
      <c r="J1149">
        <f>AVERAGE(F950:F1149)</f>
        <v/>
      </c>
    </row>
    <row r="1150">
      <c r="C1150" s="539" t="n">
        <v>41115</v>
      </c>
      <c r="D1150" t="n">
        <v>155.6699981689453</v>
      </c>
      <c r="E1150" t="n">
        <v>265.6799926757812</v>
      </c>
      <c r="F1150" t="n">
        <v>25.58149528503418</v>
      </c>
      <c r="G1150" t="n">
        <v>73.19601440429688</v>
      </c>
      <c r="H1150">
        <f>AVERAGE(D951:D1150)</f>
        <v/>
      </c>
      <c r="I1150">
        <f>AVERAGE(E951:E1150)</f>
        <v/>
      </c>
      <c r="J1150">
        <f>AVERAGE(F951:F1150)</f>
        <v/>
      </c>
    </row>
    <row r="1151">
      <c r="C1151" s="539" t="n">
        <v>41116</v>
      </c>
      <c r="D1151" t="n">
        <v>156.7700042724609</v>
      </c>
      <c r="E1151" t="n">
        <v>267.2799987792969</v>
      </c>
      <c r="F1151" t="n">
        <v>25.42676734924316</v>
      </c>
      <c r="G1151" t="n">
        <v>73.17998504638672</v>
      </c>
      <c r="H1151">
        <f>AVERAGE(D952:D1151)</f>
        <v/>
      </c>
      <c r="I1151">
        <f>AVERAGE(E952:E1151)</f>
        <v/>
      </c>
      <c r="J1151">
        <f>AVERAGE(F952:F1151)</f>
        <v/>
      </c>
    </row>
    <row r="1152">
      <c r="C1152" s="539" t="n">
        <v>41117</v>
      </c>
      <c r="D1152" t="n">
        <v>157.5399932861328</v>
      </c>
      <c r="E1152" t="n">
        <v>269.3599853515625</v>
      </c>
      <c r="F1152" t="n">
        <v>25.78779792785645</v>
      </c>
      <c r="G1152" t="n">
        <v>73.19601440429688</v>
      </c>
      <c r="H1152">
        <f>AVERAGE(D953:D1152)</f>
        <v/>
      </c>
      <c r="I1152">
        <f>AVERAGE(E953:E1152)</f>
        <v/>
      </c>
      <c r="J1152">
        <f>AVERAGE(F953:F1152)</f>
        <v/>
      </c>
    </row>
    <row r="1153">
      <c r="C1153" s="539" t="n">
        <v>41120</v>
      </c>
      <c r="D1153" t="n">
        <v>157.4299926757812</v>
      </c>
      <c r="E1153" t="n">
        <v>267.6000061035156</v>
      </c>
      <c r="F1153" t="n">
        <v>26.12303733825684</v>
      </c>
      <c r="G1153" t="n">
        <v>73.19601440429688</v>
      </c>
      <c r="H1153">
        <f>AVERAGE(D954:D1153)</f>
        <v/>
      </c>
      <c r="I1153">
        <f>AVERAGE(E954:E1153)</f>
        <v/>
      </c>
      <c r="J1153">
        <f>AVERAGE(F954:F1153)</f>
        <v/>
      </c>
    </row>
    <row r="1154">
      <c r="C1154" s="539" t="n">
        <v>41121</v>
      </c>
      <c r="D1154" t="n">
        <v>156.4900054931641</v>
      </c>
      <c r="E1154" t="n">
        <v>261.4400024414062</v>
      </c>
      <c r="F1154" t="n">
        <v>25.89954566955566</v>
      </c>
      <c r="G1154" t="n">
        <v>73.16401672363281</v>
      </c>
      <c r="H1154">
        <f>AVERAGE(D955:D1154)</f>
        <v/>
      </c>
      <c r="I1154">
        <f>AVERAGE(E955:E1154)</f>
        <v/>
      </c>
      <c r="J1154">
        <f>AVERAGE(F955:F1154)</f>
        <v/>
      </c>
    </row>
    <row r="1155">
      <c r="C1155" s="539" t="n">
        <v>41122</v>
      </c>
      <c r="D1155" t="n">
        <v>155.1399993896484</v>
      </c>
      <c r="E1155" t="n">
        <v>265.3599853515625</v>
      </c>
      <c r="F1155" t="n">
        <v>25.95112228393555</v>
      </c>
      <c r="G1155" t="n">
        <v>73.17998504638672</v>
      </c>
      <c r="H1155">
        <f>AVERAGE(D956:D1155)</f>
        <v/>
      </c>
      <c r="I1155">
        <f>AVERAGE(E956:E1155)</f>
        <v/>
      </c>
      <c r="J1155">
        <f>AVERAGE(F956:F1155)</f>
        <v/>
      </c>
    </row>
    <row r="1156">
      <c r="C1156" s="539" t="n">
        <v>41123</v>
      </c>
      <c r="D1156" t="n">
        <v>154.1300048828125</v>
      </c>
      <c r="E1156" t="n">
        <v>260.7999877929688</v>
      </c>
      <c r="F1156" t="n">
        <v>25.67605018615723</v>
      </c>
      <c r="G1156" t="n">
        <v>73.17998504638672</v>
      </c>
      <c r="H1156">
        <f>AVERAGE(D957:D1156)</f>
        <v/>
      </c>
      <c r="I1156">
        <f>AVERAGE(E957:E1156)</f>
        <v/>
      </c>
      <c r="J1156">
        <f>AVERAGE(F957:F1156)</f>
        <v/>
      </c>
    </row>
    <row r="1157">
      <c r="C1157" s="539" t="n">
        <v>41124</v>
      </c>
      <c r="D1157" t="n">
        <v>155.5500030517578</v>
      </c>
      <c r="E1157" t="n">
        <v>272.5599975585938</v>
      </c>
      <c r="F1157" t="n">
        <v>25.82218360900879</v>
      </c>
      <c r="G1157" t="n">
        <v>73.17998504638672</v>
      </c>
      <c r="H1157">
        <f>AVERAGE(D958:D1157)</f>
        <v/>
      </c>
      <c r="I1157">
        <f>AVERAGE(E958:E1157)</f>
        <v/>
      </c>
      <c r="J1157">
        <f>AVERAGE(F958:F1157)</f>
        <v/>
      </c>
    </row>
    <row r="1158">
      <c r="C1158" s="539" t="n">
        <v>41127</v>
      </c>
      <c r="D1158" t="n">
        <v>156.3000030517578</v>
      </c>
      <c r="E1158" t="n">
        <v>275.3599853515625</v>
      </c>
      <c r="F1158" t="n">
        <v>25.74481773376465</v>
      </c>
      <c r="G1158" t="n">
        <v>73.19601440429688</v>
      </c>
      <c r="H1158">
        <f>AVERAGE(D959:D1158)</f>
        <v/>
      </c>
      <c r="I1158">
        <f>AVERAGE(E959:E1158)</f>
        <v/>
      </c>
      <c r="J1158">
        <f>AVERAGE(F959:F1158)</f>
        <v/>
      </c>
    </row>
    <row r="1159">
      <c r="C1159" s="539" t="n">
        <v>41128</v>
      </c>
      <c r="D1159" t="n">
        <v>156.2799987792969</v>
      </c>
      <c r="E1159" t="n">
        <v>279.2799987792969</v>
      </c>
      <c r="F1159" t="n">
        <v>25.62447357177734</v>
      </c>
      <c r="G1159" t="n">
        <v>73.17998504638672</v>
      </c>
      <c r="H1159">
        <f>AVERAGE(D960:D1159)</f>
        <v/>
      </c>
      <c r="I1159">
        <f>AVERAGE(E960:E1159)</f>
        <v/>
      </c>
      <c r="J1159">
        <f>AVERAGE(F960:F1159)</f>
        <v/>
      </c>
    </row>
    <row r="1160">
      <c r="C1160" s="539" t="n">
        <v>41129</v>
      </c>
      <c r="D1160" t="n">
        <v>156.4799957275391</v>
      </c>
      <c r="E1160" t="n">
        <v>278.9599914550781</v>
      </c>
      <c r="F1160" t="n">
        <v>25.77060508728027</v>
      </c>
      <c r="G1160" t="n">
        <v>73.16401672363281</v>
      </c>
      <c r="H1160">
        <f>AVERAGE(D961:D1160)</f>
        <v/>
      </c>
      <c r="I1160">
        <f>AVERAGE(E961:E1160)</f>
        <v/>
      </c>
      <c r="J1160">
        <f>AVERAGE(F961:F1160)</f>
        <v/>
      </c>
    </row>
    <row r="1161">
      <c r="C1161" s="539" t="n">
        <v>41130</v>
      </c>
      <c r="D1161" t="n">
        <v>156.9900054931641</v>
      </c>
      <c r="E1161" t="n">
        <v>279.4400024414062</v>
      </c>
      <c r="F1161" t="n">
        <v>25.92532920837402</v>
      </c>
      <c r="G1161" t="n">
        <v>73.16401672363281</v>
      </c>
      <c r="H1161">
        <f>AVERAGE(D962:D1161)</f>
        <v/>
      </c>
      <c r="I1161">
        <f>AVERAGE(E962:E1161)</f>
        <v/>
      </c>
      <c r="J1161">
        <f>AVERAGE(F962:F1161)</f>
        <v/>
      </c>
    </row>
    <row r="1162">
      <c r="C1162" s="539" t="n">
        <v>41131</v>
      </c>
      <c r="D1162" t="n">
        <v>157.1799926757812</v>
      </c>
      <c r="E1162" t="n">
        <v>278.7999877929688</v>
      </c>
      <c r="F1162" t="n">
        <v>25.7362232208252</v>
      </c>
      <c r="G1162" t="n">
        <v>73.16401672363281</v>
      </c>
      <c r="H1162">
        <f>AVERAGE(D963:D1162)</f>
        <v/>
      </c>
      <c r="I1162">
        <f>AVERAGE(E963:E1162)</f>
        <v/>
      </c>
      <c r="J1162">
        <f>AVERAGE(F963:F1162)</f>
        <v/>
      </c>
    </row>
    <row r="1163">
      <c r="C1163" s="539" t="n">
        <v>41134</v>
      </c>
      <c r="D1163" t="n">
        <v>155.9900054931641</v>
      </c>
      <c r="E1163" t="n">
        <v>277.2799987792969</v>
      </c>
      <c r="F1163" t="n">
        <v>25.3837890625</v>
      </c>
      <c r="G1163" t="n">
        <v>73.16401672363281</v>
      </c>
      <c r="H1163">
        <f>AVERAGE(D964:D1163)</f>
        <v/>
      </c>
      <c r="I1163">
        <f>AVERAGE(E964:E1163)</f>
        <v/>
      </c>
      <c r="J1163">
        <f>AVERAGE(F964:F1163)</f>
        <v/>
      </c>
    </row>
    <row r="1164">
      <c r="C1164" s="539" t="n">
        <v>41135</v>
      </c>
      <c r="D1164" t="n">
        <v>155.1300048828125</v>
      </c>
      <c r="E1164" t="n">
        <v>279.3599853515625</v>
      </c>
      <c r="F1164" t="n">
        <v>25.37519264221191</v>
      </c>
      <c r="G1164" t="n">
        <v>73.16401672363281</v>
      </c>
      <c r="H1164">
        <f>AVERAGE(D965:D1164)</f>
        <v/>
      </c>
      <c r="I1164">
        <f>AVERAGE(E965:E1164)</f>
        <v/>
      </c>
      <c r="J1164">
        <f>AVERAGE(F965:F1164)</f>
        <v/>
      </c>
    </row>
    <row r="1165">
      <c r="C1165" s="539" t="n">
        <v>41136</v>
      </c>
      <c r="D1165" t="n">
        <v>155.6300048828125</v>
      </c>
      <c r="E1165" t="n">
        <v>281.5199890136719</v>
      </c>
      <c r="F1165" t="n">
        <v>25.53851318359375</v>
      </c>
      <c r="G1165" t="n">
        <v>73.16401672363281</v>
      </c>
      <c r="H1165">
        <f>AVERAGE(D966:D1165)</f>
        <v/>
      </c>
      <c r="I1165">
        <f>AVERAGE(E966:E1165)</f>
        <v/>
      </c>
      <c r="J1165">
        <f>AVERAGE(F966:F1165)</f>
        <v/>
      </c>
    </row>
    <row r="1166">
      <c r="C1166" s="539" t="n">
        <v>41137</v>
      </c>
      <c r="D1166" t="n">
        <v>156.5599975585938</v>
      </c>
      <c r="E1166" t="n">
        <v>284.4800109863281</v>
      </c>
      <c r="F1166" t="n">
        <v>25.44396018981934</v>
      </c>
      <c r="G1166" t="n">
        <v>73.16401672363281</v>
      </c>
      <c r="H1166">
        <f>AVERAGE(D967:D1166)</f>
        <v/>
      </c>
      <c r="I1166">
        <f>AVERAGE(E967:E1166)</f>
        <v/>
      </c>
      <c r="J1166">
        <f>AVERAGE(F967:F1166)</f>
        <v/>
      </c>
    </row>
    <row r="1167">
      <c r="C1167" s="539" t="n">
        <v>41138</v>
      </c>
      <c r="D1167" t="n">
        <v>156.7200012207031</v>
      </c>
      <c r="E1167" t="n">
        <v>287.6000061035156</v>
      </c>
      <c r="F1167" t="n">
        <v>25.58149528503418</v>
      </c>
      <c r="G1167" t="n">
        <v>73.16401672363281</v>
      </c>
      <c r="H1167">
        <f>AVERAGE(D968:D1167)</f>
        <v/>
      </c>
      <c r="I1167">
        <f>AVERAGE(E968:E1167)</f>
        <v/>
      </c>
      <c r="J1167">
        <f>AVERAGE(F968:F1167)</f>
        <v/>
      </c>
    </row>
    <row r="1168">
      <c r="C1168" s="539" t="n">
        <v>41141</v>
      </c>
      <c r="D1168" t="n">
        <v>157.2599945068359</v>
      </c>
      <c r="E1168" t="n">
        <v>286.6400146484375</v>
      </c>
      <c r="F1168" t="n">
        <v>25.85656547546387</v>
      </c>
      <c r="G1168" t="n">
        <v>73.16401672363281</v>
      </c>
      <c r="H1168">
        <f>AVERAGE(D969:D1168)</f>
        <v/>
      </c>
      <c r="I1168">
        <f>AVERAGE(E969:E1168)</f>
        <v/>
      </c>
      <c r="J1168">
        <f>AVERAGE(F969:F1168)</f>
        <v/>
      </c>
    </row>
    <row r="1169">
      <c r="C1169" s="539" t="n">
        <v>41142</v>
      </c>
      <c r="D1169" t="n">
        <v>158.8300018310547</v>
      </c>
      <c r="E1169" t="n">
        <v>287.8399963378906</v>
      </c>
      <c r="F1169" t="n">
        <v>26.01129150390625</v>
      </c>
      <c r="G1169" t="n">
        <v>73.16401672363281</v>
      </c>
      <c r="H1169">
        <f>AVERAGE(D970:D1169)</f>
        <v/>
      </c>
      <c r="I1169">
        <f>AVERAGE(E970:E1169)</f>
        <v/>
      </c>
      <c r="J1169">
        <f>AVERAGE(F970:F1169)</f>
        <v/>
      </c>
    </row>
    <row r="1170">
      <c r="C1170" s="539" t="n">
        <v>41143</v>
      </c>
      <c r="D1170" t="n">
        <v>160.5399932861328</v>
      </c>
      <c r="E1170" t="n">
        <v>289.760009765625</v>
      </c>
      <c r="F1170" t="n">
        <v>25.84796905517578</v>
      </c>
      <c r="G1170" t="n">
        <v>73.16401672363281</v>
      </c>
      <c r="H1170">
        <f>AVERAGE(D971:D1170)</f>
        <v/>
      </c>
      <c r="I1170">
        <f>AVERAGE(E971:E1170)</f>
        <v/>
      </c>
      <c r="J1170">
        <f>AVERAGE(F971:F1170)</f>
        <v/>
      </c>
    </row>
    <row r="1171">
      <c r="C1171" s="539" t="n">
        <v>41144</v>
      </c>
      <c r="D1171" t="n">
        <v>161.8899993896484</v>
      </c>
      <c r="E1171" t="n">
        <v>286.0799865722656</v>
      </c>
      <c r="F1171" t="n">
        <v>25.65885925292969</v>
      </c>
      <c r="G1171" t="n">
        <v>73.16401672363281</v>
      </c>
      <c r="H1171">
        <f>AVERAGE(D972:D1171)</f>
        <v/>
      </c>
      <c r="I1171">
        <f>AVERAGE(E972:E1171)</f>
        <v/>
      </c>
      <c r="J1171">
        <f>AVERAGE(F972:F1171)</f>
        <v/>
      </c>
    </row>
    <row r="1172">
      <c r="C1172" s="539" t="n">
        <v>41145</v>
      </c>
      <c r="D1172" t="n">
        <v>161.9700012207031</v>
      </c>
      <c r="E1172" t="n">
        <v>285.4400024414062</v>
      </c>
      <c r="F1172" t="n">
        <v>25.71043586730957</v>
      </c>
      <c r="G1172" t="n">
        <v>73.16401672363281</v>
      </c>
      <c r="H1172">
        <f>AVERAGE(D973:D1172)</f>
        <v/>
      </c>
      <c r="I1172">
        <f>AVERAGE(E973:E1172)</f>
        <v/>
      </c>
      <c r="J1172">
        <f>AVERAGE(F973:F1172)</f>
        <v/>
      </c>
    </row>
    <row r="1173">
      <c r="C1173" s="539" t="n">
        <v>41148</v>
      </c>
      <c r="D1173" t="n">
        <v>161.3600006103516</v>
      </c>
      <c r="E1173" t="n">
        <v>284.8800048828125</v>
      </c>
      <c r="F1173" t="n">
        <v>25.72762680053711</v>
      </c>
      <c r="G1173" t="n">
        <v>73.16401672363281</v>
      </c>
      <c r="H1173">
        <f>AVERAGE(D974:D1173)</f>
        <v/>
      </c>
      <c r="I1173">
        <f>AVERAGE(E974:E1173)</f>
        <v/>
      </c>
      <c r="J1173">
        <f>AVERAGE(F974:F1173)</f>
        <v/>
      </c>
    </row>
    <row r="1174">
      <c r="C1174" s="539" t="n">
        <v>41149</v>
      </c>
      <c r="D1174" t="n">
        <v>161.6399993896484</v>
      </c>
      <c r="E1174" t="n">
        <v>286.3200073242188</v>
      </c>
      <c r="F1174" t="n">
        <v>25.88235473632812</v>
      </c>
      <c r="G1174" t="n">
        <v>73.16401672363281</v>
      </c>
      <c r="H1174">
        <f>AVERAGE(D975:D1174)</f>
        <v/>
      </c>
      <c r="I1174">
        <f>AVERAGE(E975:E1174)</f>
        <v/>
      </c>
      <c r="J1174">
        <f>AVERAGE(F975:F1174)</f>
        <v/>
      </c>
    </row>
    <row r="1175">
      <c r="C1175" s="539" t="n">
        <v>41150</v>
      </c>
      <c r="D1175" t="n">
        <v>160.5899963378906</v>
      </c>
      <c r="E1175" t="n">
        <v>283.0400085449219</v>
      </c>
      <c r="F1175" t="n">
        <v>26.09724998474121</v>
      </c>
      <c r="G1175" t="n">
        <v>73.16401672363281</v>
      </c>
      <c r="H1175">
        <f>AVERAGE(D976:D1175)</f>
        <v/>
      </c>
      <c r="I1175">
        <f>AVERAGE(E976:E1175)</f>
        <v/>
      </c>
      <c r="J1175">
        <f>AVERAGE(F976:F1175)</f>
        <v/>
      </c>
    </row>
    <row r="1176">
      <c r="C1176" s="539" t="n">
        <v>41151</v>
      </c>
      <c r="D1176" t="n">
        <v>160.5200042724609</v>
      </c>
      <c r="E1176" t="n">
        <v>282.0799865722656</v>
      </c>
      <c r="F1176" t="n">
        <v>26.14023017883301</v>
      </c>
      <c r="G1176" t="n">
        <v>73.16401672363281</v>
      </c>
      <c r="H1176">
        <f>AVERAGE(D977:D1176)</f>
        <v/>
      </c>
      <c r="I1176">
        <f>AVERAGE(E977:E1176)</f>
        <v/>
      </c>
      <c r="J1176">
        <f>AVERAGE(F977:F1176)</f>
        <v/>
      </c>
    </row>
    <row r="1177">
      <c r="C1177" s="539" t="n">
        <v>41152</v>
      </c>
      <c r="D1177" t="n">
        <v>164.2200012207031</v>
      </c>
      <c r="E1177" t="n">
        <v>287.1199951171875</v>
      </c>
      <c r="F1177" t="n">
        <v>26.14882850646973</v>
      </c>
      <c r="G1177" t="n">
        <v>73.16401672363281</v>
      </c>
      <c r="H1177">
        <f>AVERAGE(D978:D1177)</f>
        <v/>
      </c>
      <c r="I1177">
        <f>AVERAGE(E978:E1177)</f>
        <v/>
      </c>
      <c r="J1177">
        <f>AVERAGE(F978:F1177)</f>
        <v/>
      </c>
    </row>
    <row r="1178">
      <c r="C1178" s="539" t="n">
        <v>41156</v>
      </c>
      <c r="D1178" t="n">
        <v>164.4799957275391</v>
      </c>
      <c r="E1178" t="n">
        <v>284.0799865722656</v>
      </c>
      <c r="F1178" t="n">
        <v>26.09724998474121</v>
      </c>
      <c r="G1178" t="n">
        <v>73.16401672363281</v>
      </c>
      <c r="H1178">
        <f>AVERAGE(D979:D1178)</f>
        <v/>
      </c>
      <c r="I1178">
        <f>AVERAGE(E979:E1178)</f>
        <v/>
      </c>
      <c r="J1178">
        <f>AVERAGE(F979:F1178)</f>
        <v/>
      </c>
    </row>
    <row r="1179">
      <c r="C1179" s="539" t="n">
        <v>41157</v>
      </c>
      <c r="D1179" t="n">
        <v>164.3099975585938</v>
      </c>
      <c r="E1179" t="n">
        <v>284.5599975585938</v>
      </c>
      <c r="F1179" t="n">
        <v>25.95112228393555</v>
      </c>
      <c r="G1179" t="n">
        <v>73.17998504638672</v>
      </c>
      <c r="H1179">
        <f>AVERAGE(D980:D1179)</f>
        <v/>
      </c>
      <c r="I1179">
        <f>AVERAGE(E980:E1179)</f>
        <v/>
      </c>
      <c r="J1179">
        <f>AVERAGE(F980:F1179)</f>
        <v/>
      </c>
    </row>
    <row r="1180">
      <c r="C1180" s="539" t="n">
        <v>41158</v>
      </c>
      <c r="D1180" t="n">
        <v>164.8899993896484</v>
      </c>
      <c r="E1180" t="n">
        <v>281.8399963378906</v>
      </c>
      <c r="F1180" t="n">
        <v>25.96831130981445</v>
      </c>
      <c r="G1180" t="n">
        <v>73.17998504638672</v>
      </c>
      <c r="H1180">
        <f>AVERAGE(D981:D1180)</f>
        <v/>
      </c>
      <c r="I1180">
        <f>AVERAGE(E981:E1180)</f>
        <v/>
      </c>
      <c r="J1180">
        <f>AVERAGE(F981:F1180)</f>
        <v/>
      </c>
    </row>
    <row r="1181">
      <c r="C1181" s="539" t="n">
        <v>41159</v>
      </c>
      <c r="D1181" t="n">
        <v>168.4400024414062</v>
      </c>
      <c r="E1181" t="n">
        <v>287.0400085449219</v>
      </c>
      <c r="F1181" t="n">
        <v>25.99410057067871</v>
      </c>
      <c r="G1181" t="n">
        <v>73.16401672363281</v>
      </c>
      <c r="H1181">
        <f>AVERAGE(D982:D1181)</f>
        <v/>
      </c>
      <c r="I1181">
        <f>AVERAGE(E982:E1181)</f>
        <v/>
      </c>
      <c r="J1181">
        <f>AVERAGE(F982:F1181)</f>
        <v/>
      </c>
    </row>
    <row r="1182">
      <c r="C1182" s="539" t="n">
        <v>41162</v>
      </c>
      <c r="D1182" t="n">
        <v>167.2899932861328</v>
      </c>
      <c r="E1182" t="n">
        <v>286.7999877929688</v>
      </c>
      <c r="F1182" t="n">
        <v>26.03708267211914</v>
      </c>
      <c r="G1182" t="n">
        <v>73.16401672363281</v>
      </c>
      <c r="H1182">
        <f>AVERAGE(D983:D1182)</f>
        <v/>
      </c>
      <c r="I1182">
        <f>AVERAGE(E983:E1182)</f>
        <v/>
      </c>
      <c r="J1182">
        <f>AVERAGE(F983:F1182)</f>
        <v/>
      </c>
    </row>
    <row r="1183">
      <c r="C1183" s="539" t="n">
        <v>41163</v>
      </c>
      <c r="D1183" t="n">
        <v>167.8999938964844</v>
      </c>
      <c r="E1183" t="n">
        <v>288.8800048828125</v>
      </c>
      <c r="F1183" t="n">
        <v>25.95112228393555</v>
      </c>
      <c r="G1183" t="n">
        <v>73.16401672363281</v>
      </c>
      <c r="H1183">
        <f>AVERAGE(D984:D1183)</f>
        <v/>
      </c>
      <c r="I1183">
        <f>AVERAGE(E984:E1183)</f>
        <v/>
      </c>
      <c r="J1183">
        <f>AVERAGE(F984:F1183)</f>
        <v/>
      </c>
    </row>
    <row r="1184">
      <c r="C1184" s="539" t="n">
        <v>41164</v>
      </c>
      <c r="D1184" t="n">
        <v>167.9199981689453</v>
      </c>
      <c r="E1184" t="n">
        <v>288.3200073242188</v>
      </c>
      <c r="F1184" t="n">
        <v>26.15742301940918</v>
      </c>
      <c r="G1184" t="n">
        <v>73.16401672363281</v>
      </c>
      <c r="H1184">
        <f>AVERAGE(D985:D1184)</f>
        <v/>
      </c>
      <c r="I1184">
        <f>AVERAGE(E985:E1184)</f>
        <v/>
      </c>
      <c r="J1184">
        <f>AVERAGE(F985:F1184)</f>
        <v/>
      </c>
    </row>
    <row r="1185">
      <c r="C1185" s="539" t="n">
        <v>41165</v>
      </c>
      <c r="D1185" t="n">
        <v>171.3099975585938</v>
      </c>
      <c r="E1185" t="n">
        <v>292.0799865722656</v>
      </c>
      <c r="F1185" t="n">
        <v>26.24338340759277</v>
      </c>
      <c r="G1185" t="n">
        <v>73.16401672363281</v>
      </c>
      <c r="H1185">
        <f>AVERAGE(D986:D1185)</f>
        <v/>
      </c>
      <c r="I1185">
        <f>AVERAGE(E986:E1185)</f>
        <v/>
      </c>
      <c r="J1185">
        <f>AVERAGE(F986:F1185)</f>
        <v/>
      </c>
    </row>
    <row r="1186">
      <c r="C1186" s="539" t="n">
        <v>41166</v>
      </c>
      <c r="D1186" t="n">
        <v>171.8000030517578</v>
      </c>
      <c r="E1186" t="n">
        <v>294.7200012207031</v>
      </c>
      <c r="F1186" t="n">
        <v>26.44108963012695</v>
      </c>
      <c r="G1186" t="n">
        <v>73.16401672363281</v>
      </c>
      <c r="H1186">
        <f>AVERAGE(D987:D1186)</f>
        <v/>
      </c>
      <c r="I1186">
        <f>AVERAGE(E987:E1186)</f>
        <v/>
      </c>
      <c r="J1186">
        <f>AVERAGE(F987:F1186)</f>
        <v/>
      </c>
    </row>
    <row r="1187">
      <c r="C1187" s="539" t="n">
        <v>41169</v>
      </c>
      <c r="D1187" t="n">
        <v>170.3999938964844</v>
      </c>
      <c r="E1187" t="n">
        <v>286</v>
      </c>
      <c r="F1187" t="n">
        <v>25.6932430267334</v>
      </c>
      <c r="G1187" t="n">
        <v>73.16401672363281</v>
      </c>
      <c r="H1187">
        <f>AVERAGE(D988:D1187)</f>
        <v/>
      </c>
      <c r="I1187">
        <f>AVERAGE(E988:E1187)</f>
        <v/>
      </c>
      <c r="J1187">
        <f>AVERAGE(F988:F1187)</f>
        <v/>
      </c>
    </row>
    <row r="1188">
      <c r="C1188" s="539" t="n">
        <v>41170</v>
      </c>
      <c r="D1188" t="n">
        <v>171.7200012207031</v>
      </c>
      <c r="E1188" t="n">
        <v>284.5599975585938</v>
      </c>
      <c r="F1188" t="n">
        <v>25.49553680419922</v>
      </c>
      <c r="G1188" t="n">
        <v>73.16401672363281</v>
      </c>
      <c r="H1188">
        <f>AVERAGE(D989:D1188)</f>
        <v/>
      </c>
      <c r="I1188">
        <f>AVERAGE(E989:E1188)</f>
        <v/>
      </c>
      <c r="J1188">
        <f>AVERAGE(F989:F1188)</f>
        <v/>
      </c>
    </row>
    <row r="1189">
      <c r="C1189" s="539" t="n">
        <v>41171</v>
      </c>
      <c r="D1189" t="n">
        <v>171.7400054931641</v>
      </c>
      <c r="E1189" t="n">
        <v>272.9599914550781</v>
      </c>
      <c r="F1189" t="n">
        <v>25.72762680053711</v>
      </c>
      <c r="G1189" t="n">
        <v>73.16401672363281</v>
      </c>
      <c r="H1189">
        <f>AVERAGE(D990:D1189)</f>
        <v/>
      </c>
      <c r="I1189">
        <f>AVERAGE(E990:E1189)</f>
        <v/>
      </c>
      <c r="J1189">
        <f>AVERAGE(F990:F1189)</f>
        <v/>
      </c>
    </row>
    <row r="1190">
      <c r="C1190" s="539" t="n">
        <v>41172</v>
      </c>
      <c r="D1190" t="n">
        <v>171.4700012207031</v>
      </c>
      <c r="E1190" t="n">
        <v>276.0799865722656</v>
      </c>
      <c r="F1190" t="n">
        <v>25.40098190307617</v>
      </c>
      <c r="G1190" t="n">
        <v>73.16401672363281</v>
      </c>
      <c r="H1190">
        <f>AVERAGE(D991:D1190)</f>
        <v/>
      </c>
      <c r="I1190">
        <f>AVERAGE(E991:E1190)</f>
        <v/>
      </c>
      <c r="J1190">
        <f>AVERAGE(F991:F1190)</f>
        <v/>
      </c>
    </row>
    <row r="1191">
      <c r="C1191" s="539" t="n">
        <v>41173</v>
      </c>
      <c r="D1191" t="n">
        <v>171.9600067138672</v>
      </c>
      <c r="E1191" t="n">
        <v>275.9200134277344</v>
      </c>
      <c r="F1191" t="n">
        <v>25.59868812561035</v>
      </c>
      <c r="G1191" t="n">
        <v>73.16401672363281</v>
      </c>
      <c r="H1191">
        <f>AVERAGE(D992:D1191)</f>
        <v/>
      </c>
      <c r="I1191">
        <f>AVERAGE(E992:E1191)</f>
        <v/>
      </c>
      <c r="J1191">
        <f>AVERAGE(F992:F1191)</f>
        <v/>
      </c>
    </row>
    <row r="1192">
      <c r="C1192" s="539" t="n">
        <v>41176</v>
      </c>
      <c r="D1192" t="n">
        <v>171.0500030517578</v>
      </c>
      <c r="E1192" t="n">
        <v>272.7200012207031</v>
      </c>
      <c r="F1192" t="n">
        <v>25.36659622192383</v>
      </c>
      <c r="G1192" t="n">
        <v>73.16401672363281</v>
      </c>
      <c r="H1192">
        <f>AVERAGE(D993:D1192)</f>
        <v/>
      </c>
      <c r="I1192">
        <f>AVERAGE(E993:E1192)</f>
        <v/>
      </c>
      <c r="J1192">
        <f>AVERAGE(F993:F1192)</f>
        <v/>
      </c>
    </row>
    <row r="1193">
      <c r="C1193" s="539" t="n">
        <v>41177</v>
      </c>
      <c r="D1193" t="n">
        <v>170.7700042724609</v>
      </c>
      <c r="E1193" t="n">
        <v>270</v>
      </c>
      <c r="F1193" t="n">
        <v>25.35799980163574</v>
      </c>
      <c r="G1193" t="n">
        <v>73.16401672363281</v>
      </c>
      <c r="H1193">
        <f>AVERAGE(D994:D1193)</f>
        <v/>
      </c>
      <c r="I1193">
        <f>AVERAGE(E994:E1193)</f>
        <v/>
      </c>
      <c r="J1193">
        <f>AVERAGE(F994:F1193)</f>
        <v/>
      </c>
    </row>
    <row r="1194">
      <c r="C1194" s="539" t="n">
        <v>41178</v>
      </c>
      <c r="D1194" t="n">
        <v>169.8099975585938</v>
      </c>
      <c r="E1194" t="n">
        <v>266.7200012207031</v>
      </c>
      <c r="F1194" t="n">
        <v>24.93680000305176</v>
      </c>
      <c r="G1194" t="n">
        <v>73.16401672363281</v>
      </c>
      <c r="H1194">
        <f>AVERAGE(D995:D1194)</f>
        <v/>
      </c>
      <c r="I1194">
        <f>AVERAGE(E995:E1194)</f>
        <v/>
      </c>
      <c r="J1194">
        <f>AVERAGE(F995:F1194)</f>
        <v/>
      </c>
    </row>
    <row r="1195">
      <c r="C1195" s="539" t="n">
        <v>41179</v>
      </c>
      <c r="D1195" t="n">
        <v>172.3399963378906</v>
      </c>
      <c r="E1195" t="n">
        <v>273.2000122070312</v>
      </c>
      <c r="F1195" t="n">
        <v>24.90241432189941</v>
      </c>
      <c r="G1195" t="n">
        <v>73.17998504638672</v>
      </c>
      <c r="H1195">
        <f>AVERAGE(D996:D1195)</f>
        <v/>
      </c>
      <c r="I1195">
        <f>AVERAGE(E996:E1195)</f>
        <v/>
      </c>
      <c r="J1195">
        <f>AVERAGE(F996:F1195)</f>
        <v/>
      </c>
    </row>
    <row r="1196">
      <c r="C1196" s="539" t="n">
        <v>41180</v>
      </c>
      <c r="D1196" t="n">
        <v>171.8899993896484</v>
      </c>
      <c r="E1196" t="n">
        <v>272.9599914550781</v>
      </c>
      <c r="F1196" t="n">
        <v>25.28063774108887</v>
      </c>
      <c r="G1196" t="n">
        <v>73.16401672363281</v>
      </c>
      <c r="H1196">
        <f>AVERAGE(D997:D1196)</f>
        <v/>
      </c>
      <c r="I1196">
        <f>AVERAGE(E997:E1196)</f>
        <v/>
      </c>
      <c r="J1196">
        <f>AVERAGE(F997:F1196)</f>
        <v/>
      </c>
    </row>
    <row r="1197">
      <c r="C1197" s="539" t="n">
        <v>41183</v>
      </c>
      <c r="D1197" t="n">
        <v>172.2899932861328</v>
      </c>
      <c r="E1197" t="n">
        <v>274</v>
      </c>
      <c r="F1197" t="n">
        <v>25.29783058166504</v>
      </c>
      <c r="G1197" t="n">
        <v>73.16401672363281</v>
      </c>
      <c r="H1197">
        <f>AVERAGE(D998:D1197)</f>
        <v/>
      </c>
      <c r="I1197">
        <f>AVERAGE(E998:E1197)</f>
        <v/>
      </c>
      <c r="J1197">
        <f>AVERAGE(F998:F1197)</f>
        <v/>
      </c>
    </row>
    <row r="1198">
      <c r="C1198" s="539" t="n">
        <v>41184</v>
      </c>
      <c r="D1198" t="n">
        <v>172.1000061035156</v>
      </c>
      <c r="E1198" t="n">
        <v>272.1600036621094</v>
      </c>
      <c r="F1198" t="n">
        <v>25.40098190307617</v>
      </c>
      <c r="G1198" t="n">
        <v>73.17998504638672</v>
      </c>
      <c r="H1198">
        <f>AVERAGE(D999:D1198)</f>
        <v/>
      </c>
      <c r="I1198">
        <f>AVERAGE(E999:E1198)</f>
        <v/>
      </c>
      <c r="J1198">
        <f>AVERAGE(F999:F1198)</f>
        <v/>
      </c>
    </row>
    <row r="1199">
      <c r="C1199" s="539" t="n">
        <v>41185</v>
      </c>
      <c r="D1199" t="n">
        <v>172.4100036621094</v>
      </c>
      <c r="E1199" t="n">
        <v>260.8800048828125</v>
      </c>
      <c r="F1199" t="n">
        <v>25.28923225402832</v>
      </c>
      <c r="G1199" t="n">
        <v>73.16401672363281</v>
      </c>
      <c r="H1199">
        <f>AVERAGE(D1000:D1199)</f>
        <v/>
      </c>
      <c r="I1199">
        <f>AVERAGE(E1000:E1199)</f>
        <v/>
      </c>
      <c r="J1199">
        <f>AVERAGE(F1000:F1199)</f>
        <v/>
      </c>
    </row>
    <row r="1200">
      <c r="C1200" s="539" t="n">
        <v>41186</v>
      </c>
      <c r="D1200" t="n">
        <v>173.6100006103516</v>
      </c>
      <c r="E1200" t="n">
        <v>271.5199890136719</v>
      </c>
      <c r="F1200" t="n">
        <v>25.18608093261719</v>
      </c>
      <c r="G1200" t="n">
        <v>73.16401672363281</v>
      </c>
      <c r="H1200">
        <f>AVERAGE(D1001:D1200)</f>
        <v/>
      </c>
      <c r="I1200">
        <f>AVERAGE(E1001:E1200)</f>
        <v/>
      </c>
      <c r="J1200">
        <f>AVERAGE(F1001:F1200)</f>
        <v/>
      </c>
    </row>
    <row r="1201">
      <c r="C1201" s="539" t="n">
        <v>41187</v>
      </c>
      <c r="D1201" t="n">
        <v>172.6199951171875</v>
      </c>
      <c r="E1201" t="n">
        <v>266.7999877929688</v>
      </c>
      <c r="F1201" t="n">
        <v>25.03995132446289</v>
      </c>
      <c r="G1201" t="n">
        <v>73.16401672363281</v>
      </c>
      <c r="H1201">
        <f>AVERAGE(D1002:D1201)</f>
        <v/>
      </c>
      <c r="I1201">
        <f>AVERAGE(E1002:E1201)</f>
        <v/>
      </c>
      <c r="J1201">
        <f>AVERAGE(F1002:F1201)</f>
        <v/>
      </c>
    </row>
    <row r="1202">
      <c r="C1202" s="539" t="n">
        <v>41190</v>
      </c>
      <c r="D1202" t="n">
        <v>172.0500030517578</v>
      </c>
      <c r="E1202" t="n">
        <v>265.760009765625</v>
      </c>
      <c r="F1202" t="n">
        <v>25.02276039123535</v>
      </c>
      <c r="G1202" t="n">
        <v>73.16401672363281</v>
      </c>
      <c r="H1202">
        <f>AVERAGE(D1003:D1202)</f>
        <v/>
      </c>
      <c r="I1202">
        <f>AVERAGE(E1003:E1202)</f>
        <v/>
      </c>
      <c r="J1202">
        <f>AVERAGE(F1003:F1202)</f>
        <v/>
      </c>
    </row>
    <row r="1203">
      <c r="C1203" s="539" t="n">
        <v>41191</v>
      </c>
      <c r="D1203" t="n">
        <v>170.9900054931641</v>
      </c>
      <c r="E1203" t="n">
        <v>273.4400024414062</v>
      </c>
      <c r="F1203" t="n">
        <v>25.08293151855469</v>
      </c>
      <c r="G1203" t="n">
        <v>73.16401672363281</v>
      </c>
      <c r="H1203">
        <f>AVERAGE(D1004:D1203)</f>
        <v/>
      </c>
      <c r="I1203">
        <f>AVERAGE(E1004:E1203)</f>
        <v/>
      </c>
      <c r="J1203">
        <f>AVERAGE(F1004:F1203)</f>
        <v/>
      </c>
    </row>
    <row r="1204">
      <c r="C1204" s="539" t="n">
        <v>41192</v>
      </c>
      <c r="D1204" t="n">
        <v>170.8399963378906</v>
      </c>
      <c r="E1204" t="n">
        <v>270.7200012207031</v>
      </c>
      <c r="F1204" t="n">
        <v>24.96258926391602</v>
      </c>
      <c r="G1204" t="n">
        <v>73.17998504638672</v>
      </c>
      <c r="H1204">
        <f>AVERAGE(D1005:D1204)</f>
        <v/>
      </c>
      <c r="I1204">
        <f>AVERAGE(E1005:E1204)</f>
        <v/>
      </c>
      <c r="J1204">
        <f>AVERAGE(F1005:F1204)</f>
        <v/>
      </c>
    </row>
    <row r="1205">
      <c r="C1205" s="539" t="n">
        <v>41193</v>
      </c>
      <c r="D1205" t="n">
        <v>171.3200073242188</v>
      </c>
      <c r="E1205" t="n">
        <v>274.3200073242188</v>
      </c>
      <c r="F1205" t="n">
        <v>25.08293151855469</v>
      </c>
      <c r="G1205" t="n">
        <v>73.17998504638672</v>
      </c>
      <c r="H1205">
        <f>AVERAGE(D1006:D1205)</f>
        <v/>
      </c>
      <c r="I1205">
        <f>AVERAGE(E1006:E1205)</f>
        <v/>
      </c>
      <c r="J1205">
        <f>AVERAGE(F1006:F1205)</f>
        <v/>
      </c>
    </row>
    <row r="1206">
      <c r="C1206" s="539" t="n">
        <v>41194</v>
      </c>
      <c r="D1206" t="n">
        <v>170.0599975585938</v>
      </c>
      <c r="E1206" t="n">
        <v>272</v>
      </c>
      <c r="F1206" t="n">
        <v>24.85083961486816</v>
      </c>
      <c r="G1206" t="n">
        <v>73.16401672363281</v>
      </c>
      <c r="H1206">
        <f>AVERAGE(D1007:D1206)</f>
        <v/>
      </c>
      <c r="I1206">
        <f>AVERAGE(E1007:E1206)</f>
        <v/>
      </c>
      <c r="J1206">
        <f>AVERAGE(F1007:F1206)</f>
        <v/>
      </c>
    </row>
    <row r="1207">
      <c r="C1207" s="539" t="n">
        <v>41197</v>
      </c>
      <c r="D1207" t="n">
        <v>168.3500061035156</v>
      </c>
      <c r="E1207" t="n">
        <v>272</v>
      </c>
      <c r="F1207" t="n">
        <v>24.61874961853027</v>
      </c>
      <c r="G1207" t="n">
        <v>73.17998504638672</v>
      </c>
      <c r="H1207">
        <f>AVERAGE(D1008:D1207)</f>
        <v/>
      </c>
      <c r="I1207">
        <f>AVERAGE(E1008:E1207)</f>
        <v/>
      </c>
      <c r="J1207">
        <f>AVERAGE(F1008:F1207)</f>
        <v/>
      </c>
    </row>
    <row r="1208">
      <c r="C1208" s="539" t="n">
        <v>41198</v>
      </c>
      <c r="D1208" t="n">
        <v>169.4199981689453</v>
      </c>
      <c r="E1208" t="n">
        <v>273.0400085449219</v>
      </c>
      <c r="F1208" t="n">
        <v>24.81645965576172</v>
      </c>
      <c r="G1208" t="n">
        <v>73.16401672363281</v>
      </c>
      <c r="H1208">
        <f>AVERAGE(D1009:D1208)</f>
        <v/>
      </c>
      <c r="I1208">
        <f>AVERAGE(E1009:E1208)</f>
        <v/>
      </c>
      <c r="J1208">
        <f>AVERAGE(F1009:F1208)</f>
        <v/>
      </c>
    </row>
    <row r="1209">
      <c r="C1209" s="539" t="n">
        <v>41199</v>
      </c>
      <c r="D1209" t="n">
        <v>169.5399932861328</v>
      </c>
      <c r="E1209" t="n">
        <v>272.7999877929688</v>
      </c>
      <c r="F1209" t="n">
        <v>24.96258926391602</v>
      </c>
      <c r="G1209" t="n">
        <v>73.17998504638672</v>
      </c>
      <c r="H1209">
        <f>AVERAGE(D1010:D1209)</f>
        <v/>
      </c>
      <c r="I1209">
        <f>AVERAGE(E1010:E1209)</f>
        <v/>
      </c>
      <c r="J1209">
        <f>AVERAGE(F1010:F1209)</f>
        <v/>
      </c>
    </row>
    <row r="1210">
      <c r="C1210" s="539" t="n">
        <v>41200</v>
      </c>
      <c r="D1210" t="n">
        <v>168.7899932861328</v>
      </c>
      <c r="E1210" t="n">
        <v>272.5599975585938</v>
      </c>
      <c r="F1210" t="n">
        <v>25.10871887207031</v>
      </c>
      <c r="G1210" t="n">
        <v>73.16401672363281</v>
      </c>
      <c r="H1210">
        <f>AVERAGE(D1011:D1210)</f>
        <v/>
      </c>
      <c r="I1210">
        <f>AVERAGE(E1011:E1210)</f>
        <v/>
      </c>
      <c r="J1210">
        <f>AVERAGE(F1011:F1210)</f>
        <v/>
      </c>
    </row>
    <row r="1211">
      <c r="C1211" s="539" t="n">
        <v>41201</v>
      </c>
      <c r="D1211" t="n">
        <v>166.9700012207031</v>
      </c>
      <c r="E1211" t="n">
        <v>266.7200012207031</v>
      </c>
      <c r="F1211" t="n">
        <v>25.1602954864502</v>
      </c>
      <c r="G1211" t="n">
        <v>73.16401672363281</v>
      </c>
      <c r="H1211">
        <f>AVERAGE(D1012:D1211)</f>
        <v/>
      </c>
      <c r="I1211">
        <f>AVERAGE(E1012:E1211)</f>
        <v/>
      </c>
      <c r="J1211">
        <f>AVERAGE(F1012:F1211)</f>
        <v/>
      </c>
    </row>
    <row r="1212">
      <c r="C1212" s="539" t="n">
        <v>41204</v>
      </c>
      <c r="D1212" t="n">
        <v>167.5800018310547</v>
      </c>
      <c r="E1212" t="n">
        <v>263.2000122070312</v>
      </c>
      <c r="F1212" t="n">
        <v>25.20327568054199</v>
      </c>
      <c r="G1212" t="n">
        <v>73.16401672363281</v>
      </c>
      <c r="H1212">
        <f>AVERAGE(D1013:D1212)</f>
        <v/>
      </c>
      <c r="I1212">
        <f>AVERAGE(E1013:E1212)</f>
        <v/>
      </c>
      <c r="J1212">
        <f>AVERAGE(F1013:F1212)</f>
        <v/>
      </c>
    </row>
    <row r="1213">
      <c r="C1213" s="539" t="n">
        <v>41205</v>
      </c>
      <c r="D1213" t="n">
        <v>165.4299926757812</v>
      </c>
      <c r="E1213" t="n">
        <v>255.7599945068359</v>
      </c>
      <c r="F1213" t="n">
        <v>25.02276039123535</v>
      </c>
      <c r="G1213" t="n">
        <v>73.17998504638672</v>
      </c>
      <c r="H1213">
        <f>AVERAGE(D1014:D1213)</f>
        <v/>
      </c>
      <c r="I1213">
        <f>AVERAGE(E1014:E1213)</f>
        <v/>
      </c>
      <c r="J1213">
        <f>AVERAGE(F1014:F1213)</f>
        <v/>
      </c>
    </row>
    <row r="1214">
      <c r="C1214" s="539" t="n">
        <v>41206</v>
      </c>
      <c r="D1214" t="n">
        <v>164.8600006103516</v>
      </c>
      <c r="E1214" t="n">
        <v>253.0399932861328</v>
      </c>
      <c r="F1214" t="n">
        <v>24.97118377685547</v>
      </c>
      <c r="G1214" t="n">
        <v>73.17998504638672</v>
      </c>
      <c r="H1214">
        <f>AVERAGE(D1015:D1214)</f>
        <v/>
      </c>
      <c r="I1214">
        <f>AVERAGE(E1015:E1214)</f>
        <v/>
      </c>
      <c r="J1214">
        <f>AVERAGE(F1015:F1214)</f>
        <v/>
      </c>
    </row>
    <row r="1215">
      <c r="C1215" s="539" t="n">
        <v>41207</v>
      </c>
      <c r="D1215" t="n">
        <v>166.0200042724609</v>
      </c>
      <c r="E1215" t="n">
        <v>254.2400054931641</v>
      </c>
      <c r="F1215" t="n">
        <v>24.87662887573242</v>
      </c>
      <c r="G1215" t="n">
        <v>73.16401672363281</v>
      </c>
      <c r="H1215">
        <f>AVERAGE(D1016:D1215)</f>
        <v/>
      </c>
      <c r="I1215">
        <f>AVERAGE(E1016:E1215)</f>
        <v/>
      </c>
      <c r="J1215">
        <f>AVERAGE(F1016:F1215)</f>
        <v/>
      </c>
    </row>
    <row r="1216">
      <c r="C1216" s="539" t="n">
        <v>41208</v>
      </c>
      <c r="D1216" t="n">
        <v>165.9299926757812</v>
      </c>
      <c r="E1216" t="n">
        <v>254.3200073242188</v>
      </c>
      <c r="F1216" t="n">
        <v>24.76488304138184</v>
      </c>
      <c r="G1216" t="n">
        <v>73.16401672363281</v>
      </c>
      <c r="H1216">
        <f>AVERAGE(D1017:D1216)</f>
        <v/>
      </c>
      <c r="I1216">
        <f>AVERAGE(E1017:E1216)</f>
        <v/>
      </c>
      <c r="J1216">
        <f>AVERAGE(F1017:F1216)</f>
        <v/>
      </c>
    </row>
    <row r="1217">
      <c r="C1217" s="539" t="n">
        <v>41213</v>
      </c>
      <c r="D1217" t="n">
        <v>166.8300018310547</v>
      </c>
      <c r="E1217" t="n">
        <v>254.2400054931641</v>
      </c>
      <c r="F1217" t="n">
        <v>24.8680305480957</v>
      </c>
      <c r="G1217" t="n">
        <v>73.17998504638672</v>
      </c>
      <c r="H1217">
        <f>AVERAGE(D1018:D1217)</f>
        <v/>
      </c>
      <c r="I1217">
        <f>AVERAGE(E1018:E1217)</f>
        <v/>
      </c>
      <c r="J1217">
        <f>AVERAGE(F1018:F1217)</f>
        <v/>
      </c>
    </row>
    <row r="1218">
      <c r="C1218" s="539" t="n">
        <v>41214</v>
      </c>
      <c r="D1218" t="n">
        <v>166.0700073242188</v>
      </c>
      <c r="E1218" t="n">
        <v>256.4800109863281</v>
      </c>
      <c r="F1218" t="n">
        <v>24.91101264953613</v>
      </c>
      <c r="G1218" t="n">
        <v>73.17998504638672</v>
      </c>
      <c r="H1218">
        <f>AVERAGE(D1019:D1218)</f>
        <v/>
      </c>
      <c r="I1218">
        <f>AVERAGE(E1019:E1218)</f>
        <v/>
      </c>
      <c r="J1218">
        <f>AVERAGE(F1019:F1218)</f>
        <v/>
      </c>
    </row>
    <row r="1219">
      <c r="C1219" s="539" t="n">
        <v>41215</v>
      </c>
      <c r="D1219" t="n">
        <v>162.6000061035156</v>
      </c>
      <c r="E1219" t="n">
        <v>250.8000030517578</v>
      </c>
      <c r="F1219" t="n">
        <v>24.79926681518555</v>
      </c>
      <c r="G1219" t="n">
        <v>73.17998504638672</v>
      </c>
      <c r="H1219">
        <f>AVERAGE(D1020:D1219)</f>
        <v/>
      </c>
      <c r="I1219">
        <f>AVERAGE(E1020:E1219)</f>
        <v/>
      </c>
      <c r="J1219">
        <f>AVERAGE(F1020:F1219)</f>
        <v/>
      </c>
    </row>
    <row r="1220">
      <c r="C1220" s="539" t="n">
        <v>41218</v>
      </c>
      <c r="D1220" t="n">
        <v>163.2299957275391</v>
      </c>
      <c r="E1220" t="n">
        <v>252.8800048828125</v>
      </c>
      <c r="F1220" t="n">
        <v>24.72190284729004</v>
      </c>
      <c r="G1220" t="n">
        <v>73.16401672363281</v>
      </c>
      <c r="H1220">
        <f>AVERAGE(D1021:D1220)</f>
        <v/>
      </c>
      <c r="I1220">
        <f>AVERAGE(E1021:E1220)</f>
        <v/>
      </c>
      <c r="J1220">
        <f>AVERAGE(F1021:F1220)</f>
        <v/>
      </c>
    </row>
    <row r="1221">
      <c r="C1221" s="539" t="n">
        <v>41219</v>
      </c>
      <c r="D1221" t="n">
        <v>166.3000030517578</v>
      </c>
      <c r="E1221" t="n">
        <v>260.4800109863281</v>
      </c>
      <c r="F1221" t="n">
        <v>24.88522338867188</v>
      </c>
      <c r="G1221" t="n">
        <v>73.16401672363281</v>
      </c>
      <c r="H1221">
        <f>AVERAGE(D1022:D1221)</f>
        <v/>
      </c>
      <c r="I1221">
        <f>AVERAGE(E1022:E1221)</f>
        <v/>
      </c>
      <c r="J1221">
        <f>AVERAGE(F1022:F1221)</f>
        <v/>
      </c>
    </row>
    <row r="1222">
      <c r="C1222" s="539" t="n">
        <v>41220</v>
      </c>
      <c r="D1222" t="n">
        <v>166.4900054931641</v>
      </c>
      <c r="E1222" t="n">
        <v>249.6799926757812</v>
      </c>
      <c r="F1222" t="n">
        <v>24.85083961486816</v>
      </c>
      <c r="G1222" t="n">
        <v>73.17998504638672</v>
      </c>
      <c r="H1222">
        <f>AVERAGE(D1023:D1222)</f>
        <v/>
      </c>
      <c r="I1222">
        <f>AVERAGE(E1023:E1222)</f>
        <v/>
      </c>
      <c r="J1222">
        <f>AVERAGE(F1023:F1222)</f>
        <v/>
      </c>
    </row>
    <row r="1223">
      <c r="C1223" s="539" t="n">
        <v>41221</v>
      </c>
      <c r="D1223" t="n">
        <v>167.9900054931641</v>
      </c>
      <c r="E1223" t="n">
        <v>250.3999938964844</v>
      </c>
      <c r="F1223" t="n">
        <v>24.73909378051758</v>
      </c>
      <c r="G1223" t="n">
        <v>73.17998504638672</v>
      </c>
      <c r="H1223">
        <f>AVERAGE(D1024:D1223)</f>
        <v/>
      </c>
      <c r="I1223">
        <f>AVERAGE(E1024:E1223)</f>
        <v/>
      </c>
      <c r="J1223">
        <f>AVERAGE(F1024:F1223)</f>
        <v/>
      </c>
    </row>
    <row r="1224">
      <c r="C1224" s="539" t="n">
        <v>41222</v>
      </c>
      <c r="D1224" t="n">
        <v>167.8200073242188</v>
      </c>
      <c r="E1224" t="n">
        <v>253.8399963378906</v>
      </c>
      <c r="F1224" t="n">
        <v>24.66172981262207</v>
      </c>
      <c r="G1224" t="n">
        <v>73.17998504638672</v>
      </c>
      <c r="H1224">
        <f>AVERAGE(D1025:D1224)</f>
        <v/>
      </c>
      <c r="I1224">
        <f>AVERAGE(E1025:E1224)</f>
        <v/>
      </c>
      <c r="J1224">
        <f>AVERAGE(F1025:F1224)</f>
        <v/>
      </c>
    </row>
    <row r="1225">
      <c r="C1225" s="539" t="n">
        <v>41225</v>
      </c>
      <c r="D1225" t="n">
        <v>167.4499969482422</v>
      </c>
      <c r="E1225" t="n">
        <v>252.7200012207031</v>
      </c>
      <c r="F1225" t="n">
        <v>24.47262191772461</v>
      </c>
      <c r="G1225" t="n">
        <v>73.17998504638672</v>
      </c>
      <c r="H1225">
        <f>AVERAGE(D1026:D1225)</f>
        <v/>
      </c>
      <c r="I1225">
        <f>AVERAGE(E1026:E1225)</f>
        <v/>
      </c>
      <c r="J1225">
        <f>AVERAGE(F1026:F1225)</f>
        <v/>
      </c>
    </row>
    <row r="1226">
      <c r="C1226" s="539" t="n">
        <v>41226</v>
      </c>
      <c r="D1226" t="n">
        <v>167.1000061035156</v>
      </c>
      <c r="E1226" t="n">
        <v>251.2799987792969</v>
      </c>
      <c r="F1226" t="n">
        <v>24.38665962219238</v>
      </c>
      <c r="G1226" t="n">
        <v>73.17998504638672</v>
      </c>
      <c r="H1226">
        <f>AVERAGE(D1027:D1226)</f>
        <v/>
      </c>
      <c r="I1226">
        <f>AVERAGE(E1027:E1226)</f>
        <v/>
      </c>
      <c r="J1226">
        <f>AVERAGE(F1027:F1226)</f>
        <v/>
      </c>
    </row>
    <row r="1227">
      <c r="C1227" s="539" t="n">
        <v>41227</v>
      </c>
      <c r="D1227" t="n">
        <v>167.1399993896484</v>
      </c>
      <c r="E1227" t="n">
        <v>254.1600036621094</v>
      </c>
      <c r="F1227" t="n">
        <v>24.42104530334473</v>
      </c>
      <c r="G1227" t="n">
        <v>73.17998504638672</v>
      </c>
      <c r="H1227">
        <f>AVERAGE(D1028:D1227)</f>
        <v/>
      </c>
      <c r="I1227">
        <f>AVERAGE(E1028:E1227)</f>
        <v/>
      </c>
      <c r="J1227">
        <f>AVERAGE(F1028:F1227)</f>
        <v/>
      </c>
    </row>
    <row r="1228">
      <c r="C1228" s="539" t="n">
        <v>41228</v>
      </c>
      <c r="D1228" t="n">
        <v>166.0899963378906</v>
      </c>
      <c r="E1228" t="n">
        <v>251.9199981689453</v>
      </c>
      <c r="F1228" t="n">
        <v>24.38665962219238</v>
      </c>
      <c r="G1228" t="n">
        <v>73.17998504638672</v>
      </c>
      <c r="H1228">
        <f>AVERAGE(D1029:D1228)</f>
        <v/>
      </c>
      <c r="I1228">
        <f>AVERAGE(E1029:E1228)</f>
        <v/>
      </c>
      <c r="J1228">
        <f>AVERAGE(F1029:F1228)</f>
        <v/>
      </c>
    </row>
    <row r="1229">
      <c r="C1229" s="539" t="n">
        <v>41229</v>
      </c>
      <c r="D1229" t="n">
        <v>165.8800048828125</v>
      </c>
      <c r="E1229" t="n">
        <v>255.4400024414062</v>
      </c>
      <c r="F1229" t="n">
        <v>24.31789207458496</v>
      </c>
      <c r="G1229" t="n">
        <v>73.17998504638672</v>
      </c>
      <c r="H1229">
        <f>AVERAGE(D1030:D1229)</f>
        <v/>
      </c>
      <c r="I1229">
        <f>AVERAGE(E1030:E1229)</f>
        <v/>
      </c>
      <c r="J1229">
        <f>AVERAGE(F1030:F1229)</f>
        <v/>
      </c>
    </row>
    <row r="1230">
      <c r="C1230" s="539" t="n">
        <v>41232</v>
      </c>
      <c r="D1230" t="n">
        <v>167.8699951171875</v>
      </c>
      <c r="E1230" t="n">
        <v>261.3599853515625</v>
      </c>
      <c r="F1230" t="n">
        <v>24.62734603881836</v>
      </c>
      <c r="G1230" t="n">
        <v>73.17998504638672</v>
      </c>
      <c r="H1230">
        <f>AVERAGE(D1031:D1230)</f>
        <v/>
      </c>
      <c r="I1230">
        <f>AVERAGE(E1031:E1230)</f>
        <v/>
      </c>
      <c r="J1230">
        <f>AVERAGE(F1031:F1230)</f>
        <v/>
      </c>
    </row>
    <row r="1231">
      <c r="C1231" s="539" t="n">
        <v>41233</v>
      </c>
      <c r="D1231" t="n">
        <v>167.3899993896484</v>
      </c>
      <c r="E1231" t="n">
        <v>255.6000061035156</v>
      </c>
      <c r="F1231" t="n">
        <v>24.67892074584961</v>
      </c>
      <c r="G1231" t="n">
        <v>73.16401672363281</v>
      </c>
      <c r="H1231">
        <f>AVERAGE(D1032:D1231)</f>
        <v/>
      </c>
      <c r="I1231">
        <f>AVERAGE(E1032:E1231)</f>
        <v/>
      </c>
      <c r="J1231">
        <f>AVERAGE(F1032:F1231)</f>
        <v/>
      </c>
    </row>
    <row r="1232">
      <c r="C1232" s="539" t="n">
        <v>41234</v>
      </c>
      <c r="D1232" t="n">
        <v>167.5599975585938</v>
      </c>
      <c r="E1232" t="n">
        <v>256.9599914550781</v>
      </c>
      <c r="F1232" t="n">
        <v>24.66172981262207</v>
      </c>
      <c r="G1232" t="n">
        <v>73.16401672363281</v>
      </c>
      <c r="H1232">
        <f>AVERAGE(D1033:D1232)</f>
        <v/>
      </c>
      <c r="I1232">
        <f>AVERAGE(E1033:E1232)</f>
        <v/>
      </c>
      <c r="J1232">
        <f>AVERAGE(F1033:F1232)</f>
        <v/>
      </c>
    </row>
    <row r="1233">
      <c r="C1233" s="539" t="n">
        <v>41236</v>
      </c>
      <c r="D1233" t="n">
        <v>169.6100006103516</v>
      </c>
      <c r="E1233" t="n">
        <v>258.5599975585938</v>
      </c>
      <c r="F1233" t="n">
        <v>24.69611167907715</v>
      </c>
      <c r="G1233" t="n">
        <v>73.16401672363281</v>
      </c>
      <c r="H1233">
        <f>AVERAGE(D1034:D1233)</f>
        <v/>
      </c>
      <c r="I1233">
        <f>AVERAGE(E1034:E1233)</f>
        <v/>
      </c>
      <c r="J1233">
        <f>AVERAGE(F1034:F1233)</f>
        <v/>
      </c>
    </row>
    <row r="1234">
      <c r="C1234" s="539" t="n">
        <v>41239</v>
      </c>
      <c r="D1234" t="n">
        <v>169.4299926757812</v>
      </c>
      <c r="E1234" t="n">
        <v>257.5199890136719</v>
      </c>
      <c r="F1234" t="n">
        <v>24.67892074584961</v>
      </c>
      <c r="G1234" t="n">
        <v>73.16401672363281</v>
      </c>
      <c r="H1234">
        <f>AVERAGE(D1035:D1234)</f>
        <v/>
      </c>
      <c r="I1234">
        <f>AVERAGE(E1035:E1234)</f>
        <v/>
      </c>
      <c r="J1234">
        <f>AVERAGE(F1035:F1234)</f>
        <v/>
      </c>
    </row>
    <row r="1235">
      <c r="C1235" s="539" t="n">
        <v>41240</v>
      </c>
      <c r="D1235" t="n">
        <v>168.7100067138672</v>
      </c>
      <c r="E1235" t="n">
        <v>255.8399963378906</v>
      </c>
      <c r="F1235" t="n">
        <v>24.83364677429199</v>
      </c>
      <c r="G1235" t="n">
        <v>73.16401672363281</v>
      </c>
      <c r="H1235">
        <f>AVERAGE(D1036:D1235)</f>
        <v/>
      </c>
      <c r="I1235">
        <f>AVERAGE(E1036:E1235)</f>
        <v/>
      </c>
      <c r="J1235">
        <f>AVERAGE(F1036:F1235)</f>
        <v/>
      </c>
    </row>
    <row r="1236">
      <c r="C1236" s="539" t="n">
        <v>41241</v>
      </c>
      <c r="D1236" t="n">
        <v>166.5500030517578</v>
      </c>
      <c r="E1236" t="n">
        <v>254.3200073242188</v>
      </c>
      <c r="F1236" t="n">
        <v>24.90241432189941</v>
      </c>
      <c r="G1236" t="n">
        <v>73.16401672363281</v>
      </c>
      <c r="H1236">
        <f>AVERAGE(D1037:D1236)</f>
        <v/>
      </c>
      <c r="I1236">
        <f>AVERAGE(E1037:E1236)</f>
        <v/>
      </c>
      <c r="J1236">
        <f>AVERAGE(F1037:F1236)</f>
        <v/>
      </c>
    </row>
    <row r="1237">
      <c r="C1237" s="539" t="n">
        <v>41242</v>
      </c>
      <c r="D1237" t="n">
        <v>167.1799926757812</v>
      </c>
      <c r="E1237" t="n">
        <v>257.3599853515625</v>
      </c>
      <c r="F1237" t="n">
        <v>24.99696922302246</v>
      </c>
      <c r="G1237" t="n">
        <v>73.16401672363281</v>
      </c>
      <c r="H1237">
        <f>AVERAGE(D1038:D1237)</f>
        <v/>
      </c>
      <c r="I1237">
        <f>AVERAGE(E1038:E1237)</f>
        <v/>
      </c>
      <c r="J1237">
        <f>AVERAGE(F1038:F1237)</f>
        <v/>
      </c>
    </row>
    <row r="1238">
      <c r="C1238" s="539" t="n">
        <v>41243</v>
      </c>
      <c r="D1238" t="n">
        <v>166.0500030517578</v>
      </c>
      <c r="E1238" t="n">
        <v>260.4800109863281</v>
      </c>
      <c r="F1238" t="n">
        <v>24.79926681518555</v>
      </c>
      <c r="G1238" t="n">
        <v>73.16401672363281</v>
      </c>
      <c r="H1238">
        <f>AVERAGE(D1039:D1238)</f>
        <v/>
      </c>
      <c r="I1238">
        <f>AVERAGE(E1039:E1238)</f>
        <v/>
      </c>
      <c r="J1238">
        <f>AVERAGE(F1039:F1238)</f>
        <v/>
      </c>
    </row>
    <row r="1239">
      <c r="C1239" s="539" t="n">
        <v>41246</v>
      </c>
      <c r="D1239" t="n">
        <v>166.1300048828125</v>
      </c>
      <c r="E1239" t="n">
        <v>260.7999877929688</v>
      </c>
      <c r="F1239" t="n">
        <v>24.85943794250488</v>
      </c>
      <c r="G1239" t="n">
        <v>73.16401672363281</v>
      </c>
      <c r="H1239">
        <f>AVERAGE(D1040:D1239)</f>
        <v/>
      </c>
      <c r="I1239">
        <f>AVERAGE(E1040:E1239)</f>
        <v/>
      </c>
      <c r="J1239">
        <f>AVERAGE(F1040:F1239)</f>
        <v/>
      </c>
    </row>
    <row r="1240">
      <c r="C1240" s="539" t="n">
        <v>41247</v>
      </c>
      <c r="D1240" t="n">
        <v>164.4199981689453</v>
      </c>
      <c r="E1240" t="n">
        <v>259.2000122070312</v>
      </c>
      <c r="F1240" t="n">
        <v>24.67892074584961</v>
      </c>
      <c r="G1240" t="n">
        <v>73.16401672363281</v>
      </c>
      <c r="H1240">
        <f>AVERAGE(D1041:D1240)</f>
        <v/>
      </c>
      <c r="I1240">
        <f>AVERAGE(E1041:E1240)</f>
        <v/>
      </c>
      <c r="J1240">
        <f>AVERAGE(F1041:F1240)</f>
        <v/>
      </c>
    </row>
    <row r="1241">
      <c r="C1241" s="539" t="n">
        <v>41248</v>
      </c>
      <c r="D1241" t="n">
        <v>164.1199951171875</v>
      </c>
      <c r="E1241" t="n">
        <v>257.760009765625</v>
      </c>
      <c r="F1241" t="n">
        <v>24.79066848754883</v>
      </c>
      <c r="G1241" t="n">
        <v>73.16401672363281</v>
      </c>
      <c r="H1241">
        <f>AVERAGE(D1042:D1241)</f>
        <v/>
      </c>
      <c r="I1241">
        <f>AVERAGE(E1042:E1241)</f>
        <v/>
      </c>
      <c r="J1241">
        <f>AVERAGE(F1042:F1241)</f>
        <v/>
      </c>
    </row>
    <row r="1242">
      <c r="C1242" s="539" t="n">
        <v>41249</v>
      </c>
      <c r="D1242" t="n">
        <v>164.5</v>
      </c>
      <c r="E1242" t="n">
        <v>253.2799987792969</v>
      </c>
      <c r="F1242" t="n">
        <v>24.81645965576172</v>
      </c>
      <c r="G1242" t="n">
        <v>73.16401672363281</v>
      </c>
      <c r="H1242">
        <f>AVERAGE(D1043:D1242)</f>
        <v/>
      </c>
      <c r="I1242">
        <f>AVERAGE(E1043:E1242)</f>
        <v/>
      </c>
      <c r="J1242">
        <f>AVERAGE(F1043:F1242)</f>
        <v/>
      </c>
    </row>
    <row r="1243">
      <c r="C1243" s="539" t="n">
        <v>41250</v>
      </c>
      <c r="D1243" t="n">
        <v>165.1600036621094</v>
      </c>
      <c r="E1243" t="n">
        <v>252.2400054931641</v>
      </c>
      <c r="F1243" t="n">
        <v>24.77347755432129</v>
      </c>
      <c r="G1243" t="n">
        <v>73.16401672363281</v>
      </c>
      <c r="H1243">
        <f>AVERAGE(D1044:D1243)</f>
        <v/>
      </c>
      <c r="I1243">
        <f>AVERAGE(E1044:E1243)</f>
        <v/>
      </c>
      <c r="J1243">
        <f>AVERAGE(F1044:F1243)</f>
        <v/>
      </c>
    </row>
    <row r="1244">
      <c r="C1244" s="539" t="n">
        <v>41253</v>
      </c>
      <c r="D1244" t="n">
        <v>165.8000030517578</v>
      </c>
      <c r="E1244" t="n">
        <v>251.1199951171875</v>
      </c>
      <c r="F1244" t="n">
        <v>24.54998397827148</v>
      </c>
      <c r="G1244" t="n">
        <v>73.16401672363281</v>
      </c>
      <c r="H1244">
        <f>AVERAGE(D1045:D1244)</f>
        <v/>
      </c>
      <c r="I1244">
        <f>AVERAGE(E1045:E1244)</f>
        <v/>
      </c>
      <c r="J1244">
        <f>AVERAGE(F1045:F1244)</f>
        <v/>
      </c>
    </row>
    <row r="1245">
      <c r="C1245" s="539" t="n">
        <v>41254</v>
      </c>
      <c r="D1245" t="n">
        <v>165.6499938964844</v>
      </c>
      <c r="E1245" t="n">
        <v>251.7599945068359</v>
      </c>
      <c r="F1245" t="n">
        <v>24.54998397827148</v>
      </c>
      <c r="G1245" t="n">
        <v>73.16401672363281</v>
      </c>
      <c r="H1245">
        <f>AVERAGE(D1046:D1245)</f>
        <v/>
      </c>
      <c r="I1245">
        <f>AVERAGE(E1046:E1245)</f>
        <v/>
      </c>
      <c r="J1245">
        <f>AVERAGE(F1046:F1245)</f>
        <v/>
      </c>
    </row>
    <row r="1246">
      <c r="C1246" s="539" t="n">
        <v>41255</v>
      </c>
      <c r="D1246" t="n">
        <v>165.7700042724609</v>
      </c>
      <c r="E1246" t="n">
        <v>254.2400054931641</v>
      </c>
      <c r="F1246" t="n">
        <v>24.48981285095215</v>
      </c>
      <c r="G1246" t="n">
        <v>73.16401672363281</v>
      </c>
      <c r="H1246">
        <f>AVERAGE(D1047:D1246)</f>
        <v/>
      </c>
      <c r="I1246">
        <f>AVERAGE(E1047:E1246)</f>
        <v/>
      </c>
      <c r="J1246">
        <f>AVERAGE(F1047:F1246)</f>
        <v/>
      </c>
    </row>
    <row r="1247">
      <c r="C1247" s="539" t="n">
        <v>41256</v>
      </c>
      <c r="D1247" t="n">
        <v>164.3699951171875</v>
      </c>
      <c r="E1247" t="n">
        <v>252.6399993896484</v>
      </c>
      <c r="F1247" t="n">
        <v>24.33508491516113</v>
      </c>
      <c r="G1247" t="n">
        <v>73.16401672363281</v>
      </c>
      <c r="H1247">
        <f>AVERAGE(D1048:D1247)</f>
        <v/>
      </c>
      <c r="I1247">
        <f>AVERAGE(E1048:E1247)</f>
        <v/>
      </c>
      <c r="J1247">
        <f>AVERAGE(F1048:F1247)</f>
        <v/>
      </c>
    </row>
    <row r="1248">
      <c r="C1248" s="539" t="n">
        <v>41257</v>
      </c>
      <c r="D1248" t="n">
        <v>164.1300048828125</v>
      </c>
      <c r="E1248" t="n">
        <v>254.4799957275391</v>
      </c>
      <c r="F1248" t="n">
        <v>24.48121452331543</v>
      </c>
      <c r="G1248" t="n">
        <v>73.16401672363281</v>
      </c>
      <c r="H1248">
        <f>AVERAGE(D1049:D1248)</f>
        <v/>
      </c>
      <c r="I1248">
        <f>AVERAGE(E1049:E1248)</f>
        <v/>
      </c>
      <c r="J1248">
        <f>AVERAGE(F1049:F1248)</f>
        <v/>
      </c>
    </row>
    <row r="1249">
      <c r="C1249" s="539" t="n">
        <v>41260</v>
      </c>
      <c r="D1249" t="n">
        <v>164.4400024414062</v>
      </c>
      <c r="E1249" t="n">
        <v>256.0799865722656</v>
      </c>
      <c r="F1249" t="n">
        <v>24.53279304504395</v>
      </c>
      <c r="G1249" t="n">
        <v>73.16401672363281</v>
      </c>
      <c r="H1249">
        <f>AVERAGE(D1050:D1249)</f>
        <v/>
      </c>
      <c r="I1249">
        <f>AVERAGE(E1050:E1249)</f>
        <v/>
      </c>
      <c r="J1249">
        <f>AVERAGE(F1050:F1249)</f>
        <v/>
      </c>
    </row>
    <row r="1250">
      <c r="C1250" s="539" t="n">
        <v>41261</v>
      </c>
      <c r="D1250" t="n">
        <v>162.0800018310547</v>
      </c>
      <c r="E1250" t="n">
        <v>257.4400024414062</v>
      </c>
      <c r="F1250" t="n">
        <v>24.46402168273926</v>
      </c>
      <c r="G1250" t="n">
        <v>73.17998504638672</v>
      </c>
      <c r="H1250">
        <f>AVERAGE(D1051:D1250)</f>
        <v/>
      </c>
      <c r="I1250">
        <f>AVERAGE(E1051:E1250)</f>
        <v/>
      </c>
      <c r="J1250">
        <f>AVERAGE(F1051:F1250)</f>
        <v/>
      </c>
    </row>
    <row r="1251">
      <c r="C1251" s="539" t="n">
        <v>41262</v>
      </c>
      <c r="D1251" t="n">
        <v>161.6900024414062</v>
      </c>
      <c r="E1251" t="n">
        <v>261.3599853515625</v>
      </c>
      <c r="F1251" t="n">
        <v>24.37806510925293</v>
      </c>
      <c r="G1251" t="n">
        <v>73.16401672363281</v>
      </c>
      <c r="H1251">
        <f>AVERAGE(D1052:D1251)</f>
        <v/>
      </c>
      <c r="I1251">
        <f>AVERAGE(E1052:E1251)</f>
        <v/>
      </c>
      <c r="J1251">
        <f>AVERAGE(F1052:F1251)</f>
        <v/>
      </c>
    </row>
    <row r="1252">
      <c r="C1252" s="539" t="n">
        <v>41263</v>
      </c>
      <c r="D1252" t="n">
        <v>159.7299957275391</v>
      </c>
      <c r="E1252" t="n">
        <v>261.8399963378906</v>
      </c>
      <c r="F1252" t="n">
        <v>24.15456962585449</v>
      </c>
      <c r="G1252" t="n">
        <v>73.16401672363281</v>
      </c>
      <c r="H1252">
        <f>AVERAGE(D1053:D1252)</f>
        <v/>
      </c>
      <c r="I1252">
        <f>AVERAGE(E1053:E1252)</f>
        <v/>
      </c>
      <c r="J1252">
        <f>AVERAGE(F1053:F1252)</f>
        <v/>
      </c>
    </row>
    <row r="1253">
      <c r="C1253" s="539" t="n">
        <v>41264</v>
      </c>
      <c r="D1253" t="n">
        <v>160.3300018310547</v>
      </c>
      <c r="E1253" t="n">
        <v>258.8800048828125</v>
      </c>
      <c r="F1253" t="n">
        <v>24.22333717346191</v>
      </c>
      <c r="G1253" t="n">
        <v>73.16401672363281</v>
      </c>
      <c r="H1253">
        <f>AVERAGE(D1054:D1253)</f>
        <v/>
      </c>
      <c r="I1253">
        <f>AVERAGE(E1054:E1253)</f>
        <v/>
      </c>
      <c r="J1253">
        <f>AVERAGE(F1054:F1253)</f>
        <v/>
      </c>
    </row>
    <row r="1254">
      <c r="C1254" s="539" t="n">
        <v>41267</v>
      </c>
      <c r="D1254" t="n">
        <v>160.6199951171875</v>
      </c>
      <c r="E1254" t="n">
        <v>257.9200134277344</v>
      </c>
      <c r="F1254" t="n">
        <v>24.24912261962891</v>
      </c>
      <c r="G1254" t="n">
        <v>73.16401672363281</v>
      </c>
      <c r="H1254">
        <f>AVERAGE(D1055:D1254)</f>
        <v/>
      </c>
      <c r="I1254">
        <f>AVERAGE(E1055:E1254)</f>
        <v/>
      </c>
      <c r="J1254">
        <f>AVERAGE(F1055:F1254)</f>
        <v/>
      </c>
    </row>
    <row r="1255">
      <c r="C1255" s="539" t="n">
        <v>41269</v>
      </c>
      <c r="D1255" t="n">
        <v>160.7799987792969</v>
      </c>
      <c r="E1255" t="n">
        <v>265.2000122070312</v>
      </c>
      <c r="F1255" t="n">
        <v>24.17176055908203</v>
      </c>
      <c r="G1255" t="n">
        <v>73.16401672363281</v>
      </c>
      <c r="H1255">
        <f>AVERAGE(D1056:D1255)</f>
        <v/>
      </c>
      <c r="I1255">
        <f>AVERAGE(E1056:E1255)</f>
        <v/>
      </c>
      <c r="J1255">
        <f>AVERAGE(F1056:F1255)</f>
        <v/>
      </c>
    </row>
    <row r="1256">
      <c r="C1256" s="539" t="n">
        <v>41270</v>
      </c>
      <c r="D1256" t="n">
        <v>161.1600036621094</v>
      </c>
      <c r="E1256" t="n">
        <v>265.5199890136719</v>
      </c>
      <c r="F1256" t="n">
        <v>24.14597511291504</v>
      </c>
      <c r="G1256" t="n">
        <v>73.16401672363281</v>
      </c>
      <c r="H1256">
        <f>AVERAGE(D1057:D1256)</f>
        <v/>
      </c>
      <c r="I1256">
        <f>AVERAGE(E1057:E1256)</f>
        <v/>
      </c>
      <c r="J1256">
        <f>AVERAGE(F1057:F1256)</f>
        <v/>
      </c>
    </row>
    <row r="1257">
      <c r="C1257" s="539" t="n">
        <v>41271</v>
      </c>
      <c r="D1257" t="n">
        <v>160.5399932861328</v>
      </c>
      <c r="E1257" t="n">
        <v>264.3200073242188</v>
      </c>
      <c r="F1257" t="n">
        <v>24.12018585205078</v>
      </c>
      <c r="G1257" t="n">
        <v>73.17998504638672</v>
      </c>
      <c r="H1257">
        <f>AVERAGE(D1058:D1257)</f>
        <v/>
      </c>
      <c r="I1257">
        <f>AVERAGE(E1058:E1257)</f>
        <v/>
      </c>
      <c r="J1257">
        <f>AVERAGE(F1058:F1257)</f>
        <v/>
      </c>
    </row>
    <row r="1258">
      <c r="C1258" s="539" t="n">
        <v>41274</v>
      </c>
      <c r="D1258" t="n">
        <v>162.0200042724609</v>
      </c>
      <c r="E1258" t="n">
        <v>266.9599914550781</v>
      </c>
      <c r="F1258" t="n">
        <v>24.02563095092773</v>
      </c>
      <c r="G1258" t="n">
        <v>73.16401672363281</v>
      </c>
      <c r="H1258">
        <f>AVERAGE(D1059:D1258)</f>
        <v/>
      </c>
      <c r="I1258">
        <f>AVERAGE(E1059:E1258)</f>
        <v/>
      </c>
      <c r="J1258">
        <f>AVERAGE(F1059:F1258)</f>
        <v/>
      </c>
    </row>
    <row r="1259">
      <c r="C1259" s="539" t="n">
        <v>41276</v>
      </c>
      <c r="D1259" t="n">
        <v>163.1699981689453</v>
      </c>
      <c r="E1259" t="n">
        <v>270.5599975585938</v>
      </c>
      <c r="F1259" t="n">
        <v>24.02563095092773</v>
      </c>
      <c r="G1259" t="n">
        <v>73.16401672363281</v>
      </c>
      <c r="H1259">
        <f>AVERAGE(D1060:D1259)</f>
        <v/>
      </c>
      <c r="I1259">
        <f>AVERAGE(E1060:E1259)</f>
        <v/>
      </c>
      <c r="J1259">
        <f>AVERAGE(F1060:F1259)</f>
        <v/>
      </c>
    </row>
    <row r="1260">
      <c r="C1260" s="539" t="n">
        <v>41277</v>
      </c>
      <c r="D1260" t="n">
        <v>161.1999969482422</v>
      </c>
      <c r="E1260" t="n">
        <v>269.9200134277344</v>
      </c>
      <c r="F1260" t="n">
        <v>23.94826698303223</v>
      </c>
      <c r="G1260" t="n">
        <v>73.16401672363281</v>
      </c>
      <c r="H1260">
        <f>AVERAGE(D1061:D1260)</f>
        <v/>
      </c>
      <c r="I1260">
        <f>AVERAGE(E1061:E1260)</f>
        <v/>
      </c>
      <c r="J1260">
        <f>AVERAGE(F1061:F1260)</f>
        <v/>
      </c>
    </row>
    <row r="1261">
      <c r="C1261" s="539" t="n">
        <v>41278</v>
      </c>
      <c r="D1261" t="n">
        <v>160.4400024414062</v>
      </c>
      <c r="E1261" t="n">
        <v>271.0400085449219</v>
      </c>
      <c r="F1261" t="n">
        <v>23.7591552734375</v>
      </c>
      <c r="G1261" t="n">
        <v>73.17998504638672</v>
      </c>
      <c r="H1261">
        <f>AVERAGE(D1062:D1261)</f>
        <v/>
      </c>
      <c r="I1261">
        <f>AVERAGE(E1062:E1261)</f>
        <v/>
      </c>
      <c r="J1261">
        <f>AVERAGE(F1062:F1261)</f>
        <v/>
      </c>
    </row>
    <row r="1262">
      <c r="C1262" s="539" t="n">
        <v>41281</v>
      </c>
      <c r="D1262" t="n">
        <v>159.4299926757812</v>
      </c>
      <c r="E1262" t="n">
        <v>271.3599853515625</v>
      </c>
      <c r="F1262" t="n">
        <v>23.92247772216797</v>
      </c>
      <c r="G1262" t="n">
        <v>73.1480712890625</v>
      </c>
      <c r="H1262">
        <f>AVERAGE(D1063:D1262)</f>
        <v/>
      </c>
      <c r="I1262">
        <f>AVERAGE(E1063:E1262)</f>
        <v/>
      </c>
      <c r="J1262">
        <f>AVERAGE(F1063:F1262)</f>
        <v/>
      </c>
    </row>
    <row r="1263">
      <c r="C1263" s="539" t="n">
        <v>41282</v>
      </c>
      <c r="D1263" t="n">
        <v>160.5599975585938</v>
      </c>
      <c r="E1263" t="n">
        <v>271.6799926757812</v>
      </c>
      <c r="F1263" t="n">
        <v>23.7591552734375</v>
      </c>
      <c r="G1263" t="n">
        <v>73.1480712890625</v>
      </c>
      <c r="H1263">
        <f>AVERAGE(D1064:D1263)</f>
        <v/>
      </c>
      <c r="I1263">
        <f>AVERAGE(E1064:E1263)</f>
        <v/>
      </c>
      <c r="J1263">
        <f>AVERAGE(F1064:F1263)</f>
        <v/>
      </c>
    </row>
    <row r="1264">
      <c r="C1264" s="539" t="n">
        <v>41283</v>
      </c>
      <c r="D1264" t="n">
        <v>160.4900054931641</v>
      </c>
      <c r="E1264" t="n">
        <v>271.0400085449219</v>
      </c>
      <c r="F1264" t="n">
        <v>23.78494262695312</v>
      </c>
      <c r="G1264" t="n">
        <v>73.1480712890625</v>
      </c>
      <c r="H1264">
        <f>AVERAGE(D1065:D1264)</f>
        <v/>
      </c>
      <c r="I1264">
        <f>AVERAGE(E1065:E1264)</f>
        <v/>
      </c>
      <c r="J1264">
        <f>AVERAGE(F1065:F1264)</f>
        <v/>
      </c>
    </row>
    <row r="1265">
      <c r="C1265" s="539" t="n">
        <v>41284</v>
      </c>
      <c r="D1265" t="n">
        <v>161.9799957275391</v>
      </c>
      <c r="E1265" t="n">
        <v>273.3599853515625</v>
      </c>
      <c r="F1265" t="n">
        <v>23.81073379516602</v>
      </c>
      <c r="G1265" t="n">
        <v>73.1480712890625</v>
      </c>
      <c r="H1265">
        <f>AVERAGE(D1066:D1265)</f>
        <v/>
      </c>
      <c r="I1265">
        <f>AVERAGE(E1066:E1265)</f>
        <v/>
      </c>
      <c r="J1265">
        <f>AVERAGE(F1066:F1265)</f>
        <v/>
      </c>
    </row>
    <row r="1266">
      <c r="C1266" s="539" t="n">
        <v>41285</v>
      </c>
      <c r="D1266" t="n">
        <v>161.0599975585938</v>
      </c>
      <c r="E1266" t="n">
        <v>272.4800109863281</v>
      </c>
      <c r="F1266" t="n">
        <v>23.87090492248535</v>
      </c>
      <c r="G1266" t="n">
        <v>73.1480712890625</v>
      </c>
      <c r="H1266">
        <f>AVERAGE(D1067:D1266)</f>
        <v/>
      </c>
      <c r="I1266">
        <f>AVERAGE(E1067:E1266)</f>
        <v/>
      </c>
      <c r="J1266">
        <f>AVERAGE(F1067:F1266)</f>
        <v/>
      </c>
    </row>
    <row r="1267">
      <c r="C1267" s="539" t="n">
        <v>41288</v>
      </c>
      <c r="D1267" t="n">
        <v>161.5399932861328</v>
      </c>
      <c r="E1267" t="n">
        <v>274.239990234375</v>
      </c>
      <c r="F1267" t="n">
        <v>23.95686149597168</v>
      </c>
      <c r="G1267" t="n">
        <v>73.1480712890625</v>
      </c>
      <c r="H1267">
        <f>AVERAGE(D1068:D1267)</f>
        <v/>
      </c>
      <c r="I1267">
        <f>AVERAGE(E1068:E1267)</f>
        <v/>
      </c>
      <c r="J1267">
        <f>AVERAGE(F1068:F1267)</f>
        <v/>
      </c>
    </row>
    <row r="1268">
      <c r="C1268" s="539" t="n">
        <v>41289</v>
      </c>
      <c r="D1268" t="n">
        <v>162.5599975585938</v>
      </c>
      <c r="E1268" t="n">
        <v>271.9200134277344</v>
      </c>
      <c r="F1268" t="n">
        <v>23.94826698303223</v>
      </c>
      <c r="G1268" t="n">
        <v>73.1480712890625</v>
      </c>
      <c r="H1268">
        <f>AVERAGE(D1069:D1268)</f>
        <v/>
      </c>
      <c r="I1268">
        <f>AVERAGE(E1069:E1268)</f>
        <v/>
      </c>
      <c r="J1268">
        <f>AVERAGE(F1069:F1268)</f>
        <v/>
      </c>
    </row>
    <row r="1269">
      <c r="C1269" s="539" t="n">
        <v>41290</v>
      </c>
      <c r="D1269" t="n">
        <v>162.6499938964844</v>
      </c>
      <c r="E1269" t="n">
        <v>274.239990234375</v>
      </c>
      <c r="F1269" t="n">
        <v>23.97405433654785</v>
      </c>
      <c r="G1269" t="n">
        <v>73.1480712890625</v>
      </c>
      <c r="H1269">
        <f>AVERAGE(D1070:D1269)</f>
        <v/>
      </c>
      <c r="I1269">
        <f>AVERAGE(E1070:E1269)</f>
        <v/>
      </c>
      <c r="J1269">
        <f>AVERAGE(F1070:F1269)</f>
        <v/>
      </c>
    </row>
    <row r="1270">
      <c r="C1270" s="539" t="n">
        <v>41291</v>
      </c>
      <c r="D1270" t="n">
        <v>163.3500061035156</v>
      </c>
      <c r="E1270" t="n">
        <v>277.3599853515625</v>
      </c>
      <c r="F1270" t="n">
        <v>23.92247772216797</v>
      </c>
      <c r="G1270" t="n">
        <v>73.16401672363281</v>
      </c>
      <c r="H1270">
        <f>AVERAGE(D1071:D1270)</f>
        <v/>
      </c>
      <c r="I1270">
        <f>AVERAGE(E1071:E1270)</f>
        <v/>
      </c>
      <c r="J1270">
        <f>AVERAGE(F1071:F1270)</f>
        <v/>
      </c>
    </row>
    <row r="1271">
      <c r="C1271" s="539" t="n">
        <v>41292</v>
      </c>
      <c r="D1271" t="n">
        <v>163.0899963378906</v>
      </c>
      <c r="E1271" t="n">
        <v>278.1600036621094</v>
      </c>
      <c r="F1271" t="n">
        <v>23.95686149597168</v>
      </c>
      <c r="G1271" t="n">
        <v>73.1480712890625</v>
      </c>
      <c r="H1271">
        <f>AVERAGE(D1072:D1271)</f>
        <v/>
      </c>
      <c r="I1271">
        <f>AVERAGE(E1072:E1271)</f>
        <v/>
      </c>
      <c r="J1271">
        <f>AVERAGE(F1072:F1271)</f>
        <v/>
      </c>
    </row>
    <row r="1272">
      <c r="C1272" s="539" t="n">
        <v>41296</v>
      </c>
      <c r="D1272" t="n">
        <v>163.6699981689453</v>
      </c>
      <c r="E1272" t="n">
        <v>280.0799865722656</v>
      </c>
      <c r="F1272" t="n">
        <v>23.76775169372559</v>
      </c>
      <c r="G1272" t="n">
        <v>73.1480712890625</v>
      </c>
      <c r="H1272">
        <f>AVERAGE(D1073:D1272)</f>
        <v/>
      </c>
      <c r="I1272">
        <f>AVERAGE(E1073:E1272)</f>
        <v/>
      </c>
      <c r="J1272">
        <f>AVERAGE(F1073:F1272)</f>
        <v/>
      </c>
    </row>
    <row r="1273">
      <c r="C1273" s="539" t="n">
        <v>41297</v>
      </c>
      <c r="D1273" t="n">
        <v>163.2100067138672</v>
      </c>
      <c r="E1273" t="n">
        <v>276.8800048828125</v>
      </c>
      <c r="F1273" t="n">
        <v>23.81932640075684</v>
      </c>
      <c r="G1273" t="n">
        <v>73.1480712890625</v>
      </c>
      <c r="H1273">
        <f>AVERAGE(D1074:D1273)</f>
        <v/>
      </c>
      <c r="I1273">
        <f>AVERAGE(E1074:E1273)</f>
        <v/>
      </c>
      <c r="J1273">
        <f>AVERAGE(F1074:F1273)</f>
        <v/>
      </c>
    </row>
    <row r="1274">
      <c r="C1274" s="539" t="n">
        <v>41298</v>
      </c>
      <c r="D1274" t="n">
        <v>161.4199981689453</v>
      </c>
      <c r="E1274" t="n">
        <v>278.0799865722656</v>
      </c>
      <c r="F1274" t="n">
        <v>23.74196815490723</v>
      </c>
      <c r="G1274" t="n">
        <v>73.16401672363281</v>
      </c>
      <c r="H1274">
        <f>AVERAGE(D1075:D1274)</f>
        <v/>
      </c>
      <c r="I1274">
        <f>AVERAGE(E1075:E1274)</f>
        <v/>
      </c>
      <c r="J1274">
        <f>AVERAGE(F1075:F1274)</f>
        <v/>
      </c>
    </row>
    <row r="1275">
      <c r="C1275" s="539" t="n">
        <v>41299</v>
      </c>
      <c r="D1275" t="n">
        <v>160.6499938964844</v>
      </c>
      <c r="E1275" t="n">
        <v>278.239990234375</v>
      </c>
      <c r="F1275" t="n">
        <v>23.70758056640625</v>
      </c>
      <c r="G1275" t="n">
        <v>73.1480712890625</v>
      </c>
      <c r="H1275">
        <f>AVERAGE(D1076:D1275)</f>
        <v/>
      </c>
      <c r="I1275">
        <f>AVERAGE(E1076:E1275)</f>
        <v/>
      </c>
      <c r="J1275">
        <f>AVERAGE(F1076:F1275)</f>
        <v/>
      </c>
    </row>
    <row r="1276">
      <c r="C1276" s="539" t="n">
        <v>41302</v>
      </c>
      <c r="D1276" t="n">
        <v>160.2899932861328</v>
      </c>
      <c r="E1276" t="n">
        <v>279.5199890136719</v>
      </c>
      <c r="F1276" t="n">
        <v>23.88809776306152</v>
      </c>
      <c r="G1276" t="n">
        <v>73.1480712890625</v>
      </c>
      <c r="H1276">
        <f>AVERAGE(D1077:D1276)</f>
        <v/>
      </c>
      <c r="I1276">
        <f>AVERAGE(E1077:E1276)</f>
        <v/>
      </c>
      <c r="J1276">
        <f>AVERAGE(F1077:F1276)</f>
        <v/>
      </c>
    </row>
    <row r="1277">
      <c r="C1277" s="539" t="n">
        <v>41303</v>
      </c>
      <c r="D1277" t="n">
        <v>160.9900054931641</v>
      </c>
      <c r="E1277" t="n">
        <v>282.3200073242188</v>
      </c>
      <c r="F1277" t="n">
        <v>23.85371398925781</v>
      </c>
      <c r="G1277" t="n">
        <v>73.1480712890625</v>
      </c>
      <c r="H1277">
        <f>AVERAGE(D1078:D1277)</f>
        <v/>
      </c>
      <c r="I1277">
        <f>AVERAGE(E1078:E1277)</f>
        <v/>
      </c>
      <c r="J1277">
        <f>AVERAGE(F1078:F1277)</f>
        <v/>
      </c>
    </row>
    <row r="1278">
      <c r="C1278" s="539" t="n">
        <v>41304</v>
      </c>
      <c r="D1278" t="n">
        <v>162.1900024414062</v>
      </c>
      <c r="E1278" t="n">
        <v>283.9200134277344</v>
      </c>
      <c r="F1278" t="n">
        <v>23.97405433654785</v>
      </c>
      <c r="G1278" t="n">
        <v>73.1480712890625</v>
      </c>
      <c r="H1278">
        <f>AVERAGE(D1079:D1278)</f>
        <v/>
      </c>
      <c r="I1278">
        <f>AVERAGE(E1079:E1278)</f>
        <v/>
      </c>
      <c r="J1278">
        <f>AVERAGE(F1079:F1278)</f>
        <v/>
      </c>
    </row>
    <row r="1279">
      <c r="C1279" s="539" t="n">
        <v>41305</v>
      </c>
      <c r="D1279" t="n">
        <v>161.1999969482422</v>
      </c>
      <c r="E1279" t="n">
        <v>282.239990234375</v>
      </c>
      <c r="F1279" t="n">
        <v>23.99124908447266</v>
      </c>
      <c r="G1279" t="n">
        <v>73.16401672363281</v>
      </c>
      <c r="H1279">
        <f>AVERAGE(D1080:D1279)</f>
        <v/>
      </c>
      <c r="I1279">
        <f>AVERAGE(E1080:E1279)</f>
        <v/>
      </c>
      <c r="J1279">
        <f>AVERAGE(F1080:F1279)</f>
        <v/>
      </c>
    </row>
    <row r="1280">
      <c r="C1280" s="539" t="n">
        <v>41306</v>
      </c>
      <c r="D1280" t="n">
        <v>161.4499969482422</v>
      </c>
      <c r="E1280" t="n">
        <v>282.7999877929688</v>
      </c>
      <c r="F1280" t="n">
        <v>23.85371398925781</v>
      </c>
      <c r="G1280" t="n">
        <v>73.1480712890625</v>
      </c>
      <c r="H1280">
        <f>AVERAGE(D1081:D1280)</f>
        <v/>
      </c>
      <c r="I1280">
        <f>AVERAGE(E1081:E1280)</f>
        <v/>
      </c>
      <c r="J1280">
        <f>AVERAGE(F1081:F1280)</f>
        <v/>
      </c>
    </row>
    <row r="1281">
      <c r="C1281" s="539" t="n">
        <v>41309</v>
      </c>
      <c r="D1281" t="n">
        <v>162</v>
      </c>
      <c r="E1281" t="n">
        <v>278.239990234375</v>
      </c>
      <c r="F1281" t="n">
        <v>23.81932640075684</v>
      </c>
      <c r="G1281" t="n">
        <v>73.1480712890625</v>
      </c>
      <c r="H1281">
        <f>AVERAGE(D1082:D1281)</f>
        <v/>
      </c>
      <c r="I1281">
        <f>AVERAGE(E1082:E1281)</f>
        <v/>
      </c>
      <c r="J1281">
        <f>AVERAGE(F1082:F1281)</f>
        <v/>
      </c>
    </row>
    <row r="1282">
      <c r="C1282" s="539" t="n">
        <v>41310</v>
      </c>
      <c r="D1282" t="n">
        <v>161.9600067138672</v>
      </c>
      <c r="E1282" t="n">
        <v>280.239990234375</v>
      </c>
      <c r="F1282" t="n">
        <v>23.80213737487793</v>
      </c>
      <c r="G1282" t="n">
        <v>73.16401672363281</v>
      </c>
      <c r="H1282">
        <f>AVERAGE(D1083:D1282)</f>
        <v/>
      </c>
      <c r="I1282">
        <f>AVERAGE(E1083:E1282)</f>
        <v/>
      </c>
      <c r="J1282">
        <f>AVERAGE(F1083:F1282)</f>
        <v/>
      </c>
    </row>
    <row r="1283">
      <c r="C1283" s="539" t="n">
        <v>41311</v>
      </c>
      <c r="D1283" t="n">
        <v>162.3899993896484</v>
      </c>
      <c r="E1283" t="n">
        <v>280.3200073242188</v>
      </c>
      <c r="F1283" t="n">
        <v>23.5098762512207</v>
      </c>
      <c r="G1283" t="n">
        <v>73.16401672363281</v>
      </c>
      <c r="H1283">
        <f>AVERAGE(D1084:D1283)</f>
        <v/>
      </c>
      <c r="I1283">
        <f>AVERAGE(E1084:E1283)</f>
        <v/>
      </c>
      <c r="J1283">
        <f>AVERAGE(F1084:F1283)</f>
        <v/>
      </c>
    </row>
    <row r="1284">
      <c r="C1284" s="539" t="n">
        <v>41312</v>
      </c>
      <c r="D1284" t="n">
        <v>161.8399963378906</v>
      </c>
      <c r="E1284" t="n">
        <v>277.4400024414062</v>
      </c>
      <c r="F1284" t="n">
        <v>23.37234115600586</v>
      </c>
      <c r="G1284" t="n">
        <v>73.16401672363281</v>
      </c>
      <c r="H1284">
        <f>AVERAGE(D1085:D1284)</f>
        <v/>
      </c>
      <c r="I1284">
        <f>AVERAGE(E1085:E1284)</f>
        <v/>
      </c>
      <c r="J1284">
        <f>AVERAGE(F1085:F1284)</f>
        <v/>
      </c>
    </row>
    <row r="1285">
      <c r="C1285" s="539" t="n">
        <v>41313</v>
      </c>
      <c r="D1285" t="n">
        <v>161.5700073242188</v>
      </c>
      <c r="E1285" t="n">
        <v>277.6000061035156</v>
      </c>
      <c r="F1285" t="n">
        <v>23.20901489257812</v>
      </c>
      <c r="G1285" t="n">
        <v>73.16401672363281</v>
      </c>
      <c r="H1285">
        <f>AVERAGE(D1086:D1285)</f>
        <v/>
      </c>
      <c r="I1285">
        <f>AVERAGE(E1086:E1285)</f>
        <v/>
      </c>
      <c r="J1285">
        <f>AVERAGE(F1086:F1285)</f>
        <v/>
      </c>
    </row>
    <row r="1286">
      <c r="C1286" s="539" t="n">
        <v>41316</v>
      </c>
      <c r="D1286" t="n">
        <v>159.6999969482422</v>
      </c>
      <c r="E1286" t="n">
        <v>280.9599914550781</v>
      </c>
      <c r="F1286" t="n">
        <v>23.07148361206055</v>
      </c>
      <c r="G1286" t="n">
        <v>73.16401672363281</v>
      </c>
      <c r="H1286">
        <f>AVERAGE(D1087:D1286)</f>
        <v/>
      </c>
      <c r="I1286">
        <f>AVERAGE(E1087:E1286)</f>
        <v/>
      </c>
      <c r="J1286">
        <f>AVERAGE(F1087:F1286)</f>
        <v/>
      </c>
    </row>
    <row r="1287">
      <c r="C1287" s="539" t="n">
        <v>41317</v>
      </c>
      <c r="D1287" t="n">
        <v>159.8899993896484</v>
      </c>
      <c r="E1287" t="n">
        <v>282.239990234375</v>
      </c>
      <c r="F1287" t="n">
        <v>22.97692680358887</v>
      </c>
      <c r="G1287" t="n">
        <v>73.16401672363281</v>
      </c>
      <c r="H1287">
        <f>AVERAGE(D1088:D1287)</f>
        <v/>
      </c>
      <c r="I1287">
        <f>AVERAGE(E1088:E1287)</f>
        <v/>
      </c>
      <c r="J1287">
        <f>AVERAGE(F1088:F1287)</f>
        <v/>
      </c>
    </row>
    <row r="1288">
      <c r="C1288" s="539" t="n">
        <v>41318</v>
      </c>
      <c r="D1288" t="n">
        <v>159.0500030517578</v>
      </c>
      <c r="E1288" t="n">
        <v>281.5199890136719</v>
      </c>
      <c r="F1288" t="n">
        <v>22.95113945007324</v>
      </c>
      <c r="G1288" t="n">
        <v>73.1480712890625</v>
      </c>
      <c r="H1288">
        <f>AVERAGE(D1089:D1288)</f>
        <v/>
      </c>
      <c r="I1288">
        <f>AVERAGE(E1089:E1288)</f>
        <v/>
      </c>
      <c r="J1288">
        <f>AVERAGE(F1089:F1288)</f>
        <v/>
      </c>
    </row>
    <row r="1289">
      <c r="C1289" s="539" t="n">
        <v>41319</v>
      </c>
      <c r="D1289" t="n">
        <v>158.3500061035156</v>
      </c>
      <c r="E1289" t="n">
        <v>282.1600036621094</v>
      </c>
      <c r="F1289" t="n">
        <v>22.8136043548584</v>
      </c>
      <c r="G1289" t="n">
        <v>73.16401672363281</v>
      </c>
      <c r="H1289">
        <f>AVERAGE(D1090:D1289)</f>
        <v/>
      </c>
      <c r="I1289">
        <f>AVERAGE(E1090:E1289)</f>
        <v/>
      </c>
      <c r="J1289">
        <f>AVERAGE(F1090:F1289)</f>
        <v/>
      </c>
    </row>
    <row r="1290">
      <c r="C1290" s="539" t="n">
        <v>41320</v>
      </c>
      <c r="D1290" t="n">
        <v>155.7599945068359</v>
      </c>
      <c r="E1290" t="n">
        <v>277.760009765625</v>
      </c>
      <c r="F1290" t="n">
        <v>22.7706241607666</v>
      </c>
      <c r="G1290" t="n">
        <v>73.1480712890625</v>
      </c>
      <c r="H1290">
        <f>AVERAGE(D1091:D1290)</f>
        <v/>
      </c>
      <c r="I1290">
        <f>AVERAGE(E1091:E1290)</f>
        <v/>
      </c>
      <c r="J1290">
        <f>AVERAGE(F1091:F1290)</f>
        <v/>
      </c>
    </row>
    <row r="1291">
      <c r="C1291" s="539" t="n">
        <v>41324</v>
      </c>
      <c r="D1291" t="n">
        <v>155.3300018310547</v>
      </c>
      <c r="E1291" t="n">
        <v>279.6799926757812</v>
      </c>
      <c r="F1291" t="n">
        <v>22.69326210021973</v>
      </c>
      <c r="G1291" t="n">
        <v>73.1480712890625</v>
      </c>
      <c r="H1291">
        <f>AVERAGE(D1092:D1291)</f>
        <v/>
      </c>
      <c r="I1291">
        <f>AVERAGE(E1092:E1291)</f>
        <v/>
      </c>
      <c r="J1291">
        <f>AVERAGE(F1092:F1291)</f>
        <v/>
      </c>
    </row>
    <row r="1292">
      <c r="C1292" s="539" t="n">
        <v>41325</v>
      </c>
      <c r="D1292" t="n">
        <v>151.4400024414062</v>
      </c>
      <c r="E1292" t="n">
        <v>273.3599853515625</v>
      </c>
      <c r="F1292" t="n">
        <v>22.79641342163086</v>
      </c>
      <c r="G1292" t="n">
        <v>73.16401672363281</v>
      </c>
      <c r="H1292">
        <f>AVERAGE(D1093:D1292)</f>
        <v/>
      </c>
      <c r="I1292">
        <f>AVERAGE(E1093:E1292)</f>
        <v/>
      </c>
      <c r="J1292">
        <f>AVERAGE(F1093:F1292)</f>
        <v/>
      </c>
    </row>
    <row r="1293">
      <c r="C1293" s="539" t="n">
        <v>41326</v>
      </c>
      <c r="D1293" t="n">
        <v>152.6199951171875</v>
      </c>
      <c r="E1293" t="n">
        <v>267.4400024414062</v>
      </c>
      <c r="F1293" t="n">
        <v>22.61589813232422</v>
      </c>
      <c r="G1293" t="n">
        <v>73.1480712890625</v>
      </c>
      <c r="H1293">
        <f>AVERAGE(D1094:D1293)</f>
        <v/>
      </c>
      <c r="I1293">
        <f>AVERAGE(E1094:E1293)</f>
        <v/>
      </c>
      <c r="J1293">
        <f>AVERAGE(F1094:F1293)</f>
        <v/>
      </c>
    </row>
    <row r="1294">
      <c r="C1294" s="539" t="n">
        <v>41327</v>
      </c>
      <c r="D1294" t="n">
        <v>152.9700012207031</v>
      </c>
      <c r="E1294" t="n">
        <v>268.7999877929688</v>
      </c>
      <c r="F1294" t="n">
        <v>22.65887832641602</v>
      </c>
      <c r="G1294" t="n">
        <v>73.16401672363281</v>
      </c>
      <c r="H1294">
        <f>AVERAGE(D1095:D1294)</f>
        <v/>
      </c>
      <c r="I1294">
        <f>AVERAGE(E1095:E1294)</f>
        <v/>
      </c>
      <c r="J1294">
        <f>AVERAGE(F1095:F1294)</f>
        <v/>
      </c>
    </row>
    <row r="1295">
      <c r="C1295" s="539" t="n">
        <v>41330</v>
      </c>
      <c r="D1295" t="n">
        <v>154.3399963378906</v>
      </c>
      <c r="E1295" t="n">
        <v>265.6799926757812</v>
      </c>
      <c r="F1295" t="n">
        <v>22.48696136474609</v>
      </c>
      <c r="G1295" t="n">
        <v>73.1480712890625</v>
      </c>
      <c r="H1295">
        <f>AVERAGE(D1096:D1295)</f>
        <v/>
      </c>
      <c r="I1295">
        <f>AVERAGE(E1096:E1295)</f>
        <v/>
      </c>
      <c r="J1295">
        <f>AVERAGE(F1096:F1295)</f>
        <v/>
      </c>
    </row>
    <row r="1296">
      <c r="C1296" s="539" t="n">
        <v>41331</v>
      </c>
      <c r="D1296" t="n">
        <v>156.2200012207031</v>
      </c>
      <c r="E1296" t="n">
        <v>266.6400146484375</v>
      </c>
      <c r="F1296" t="n">
        <v>22.54713249206543</v>
      </c>
      <c r="G1296" t="n">
        <v>73.1480712890625</v>
      </c>
      <c r="H1296">
        <f>AVERAGE(D1097:D1296)</f>
        <v/>
      </c>
      <c r="I1296">
        <f>AVERAGE(E1097:E1296)</f>
        <v/>
      </c>
      <c r="J1296">
        <f>AVERAGE(F1097:F1296)</f>
        <v/>
      </c>
    </row>
    <row r="1297">
      <c r="C1297" s="539" t="n">
        <v>41332</v>
      </c>
      <c r="D1297" t="n">
        <v>154.5700073242188</v>
      </c>
      <c r="E1297" t="n">
        <v>267.2000122070312</v>
      </c>
      <c r="F1297" t="n">
        <v>22.56432342529297</v>
      </c>
      <c r="G1297" t="n">
        <v>73.16401672363281</v>
      </c>
      <c r="H1297">
        <f>AVERAGE(D1098:D1297)</f>
        <v/>
      </c>
      <c r="I1297">
        <f>AVERAGE(E1098:E1297)</f>
        <v/>
      </c>
      <c r="J1297">
        <f>AVERAGE(F1098:F1297)</f>
        <v/>
      </c>
    </row>
    <row r="1298">
      <c r="C1298" s="539" t="n">
        <v>41333</v>
      </c>
      <c r="D1298" t="n">
        <v>153</v>
      </c>
      <c r="E1298" t="n">
        <v>264.4800109863281</v>
      </c>
      <c r="F1298" t="n">
        <v>22.69326210021973</v>
      </c>
      <c r="G1298" t="n">
        <v>73.16401672363281</v>
      </c>
      <c r="H1298">
        <f>AVERAGE(D1099:D1298)</f>
        <v/>
      </c>
      <c r="I1298">
        <f>AVERAGE(E1099:E1298)</f>
        <v/>
      </c>
      <c r="J1298">
        <f>AVERAGE(F1099:F1298)</f>
        <v/>
      </c>
    </row>
    <row r="1299">
      <c r="C1299" s="539" t="n">
        <v>41334</v>
      </c>
      <c r="D1299" t="n">
        <v>152.4400024414062</v>
      </c>
      <c r="E1299" t="n">
        <v>261.9200134277344</v>
      </c>
      <c r="F1299" t="n">
        <v>22.58151626586914</v>
      </c>
      <c r="G1299" t="n">
        <v>73.16401672363281</v>
      </c>
      <c r="H1299">
        <f>AVERAGE(D1100:D1299)</f>
        <v/>
      </c>
      <c r="I1299">
        <f>AVERAGE(E1100:E1299)</f>
        <v/>
      </c>
      <c r="J1299">
        <f>AVERAGE(F1100:F1299)</f>
        <v/>
      </c>
    </row>
    <row r="1300">
      <c r="C1300" s="539" t="n">
        <v>41337</v>
      </c>
      <c r="D1300" t="n">
        <v>152.3000030517578</v>
      </c>
      <c r="E1300" t="n">
        <v>259.2000122070312</v>
      </c>
      <c r="F1300" t="n">
        <v>22.57291984558105</v>
      </c>
      <c r="G1300" t="n">
        <v>73.1480712890625</v>
      </c>
      <c r="H1300">
        <f>AVERAGE(D1101:D1300)</f>
        <v/>
      </c>
      <c r="I1300">
        <f>AVERAGE(E1101:E1300)</f>
        <v/>
      </c>
      <c r="J1300">
        <f>AVERAGE(F1101:F1300)</f>
        <v/>
      </c>
    </row>
    <row r="1301">
      <c r="C1301" s="539" t="n">
        <v>41338</v>
      </c>
      <c r="D1301" t="n">
        <v>152.3800048828125</v>
      </c>
      <c r="E1301" t="n">
        <v>261.5199890136719</v>
      </c>
      <c r="F1301" t="n">
        <v>22.46976661682129</v>
      </c>
      <c r="G1301" t="n">
        <v>73.16401672363281</v>
      </c>
      <c r="H1301">
        <f>AVERAGE(D1102:D1301)</f>
        <v/>
      </c>
      <c r="I1301">
        <f>AVERAGE(E1102:E1301)</f>
        <v/>
      </c>
      <c r="J1301">
        <f>AVERAGE(F1102:F1301)</f>
        <v/>
      </c>
    </row>
    <row r="1302">
      <c r="C1302" s="539" t="n">
        <v>41339</v>
      </c>
      <c r="D1302" t="n">
        <v>153.2299957275391</v>
      </c>
      <c r="E1302" t="n">
        <v>260.3200073242188</v>
      </c>
      <c r="F1302" t="n">
        <v>22.28925323486328</v>
      </c>
      <c r="G1302" t="n">
        <v>73.1480712890625</v>
      </c>
      <c r="H1302">
        <f>AVERAGE(D1103:D1302)</f>
        <v/>
      </c>
      <c r="I1302">
        <f>AVERAGE(E1103:E1302)</f>
        <v/>
      </c>
      <c r="J1302">
        <f>AVERAGE(F1103:F1302)</f>
        <v/>
      </c>
    </row>
    <row r="1303">
      <c r="C1303" s="539" t="n">
        <v>41340</v>
      </c>
      <c r="D1303" t="n">
        <v>152.6900024414062</v>
      </c>
      <c r="E1303" t="n">
        <v>263.5199890136719</v>
      </c>
      <c r="F1303" t="n">
        <v>22.55572509765625</v>
      </c>
      <c r="G1303" t="n">
        <v>73.16401672363281</v>
      </c>
      <c r="H1303">
        <f>AVERAGE(D1104:D1303)</f>
        <v/>
      </c>
      <c r="I1303">
        <f>AVERAGE(E1104:E1303)</f>
        <v/>
      </c>
      <c r="J1303">
        <f>AVERAGE(F1104:F1303)</f>
        <v/>
      </c>
    </row>
    <row r="1304">
      <c r="C1304" s="539" t="n">
        <v>41341</v>
      </c>
      <c r="D1304" t="n">
        <v>152.7100067138672</v>
      </c>
      <c r="E1304" t="n">
        <v>264.3999938964844</v>
      </c>
      <c r="F1304" t="n">
        <v>22.55572509765625</v>
      </c>
      <c r="G1304" t="n">
        <v>73.1480712890625</v>
      </c>
      <c r="H1304">
        <f>AVERAGE(D1105:D1304)</f>
        <v/>
      </c>
      <c r="I1304">
        <f>AVERAGE(E1105:E1304)</f>
        <v/>
      </c>
      <c r="J1304">
        <f>AVERAGE(F1105:F1304)</f>
        <v/>
      </c>
    </row>
    <row r="1305">
      <c r="C1305" s="539" t="n">
        <v>41344</v>
      </c>
      <c r="D1305" t="n">
        <v>152.9900054931641</v>
      </c>
      <c r="E1305" t="n">
        <v>264.3200073242188</v>
      </c>
      <c r="F1305" t="n">
        <v>22.67607116699219</v>
      </c>
      <c r="G1305" t="n">
        <v>73.16401672363281</v>
      </c>
      <c r="H1305">
        <f>AVERAGE(D1106:D1305)</f>
        <v/>
      </c>
      <c r="I1305">
        <f>AVERAGE(E1106:E1305)</f>
        <v/>
      </c>
      <c r="J1305">
        <f>AVERAGE(F1106:F1305)</f>
        <v/>
      </c>
    </row>
    <row r="1306">
      <c r="C1306" s="539" t="n">
        <v>41345</v>
      </c>
      <c r="D1306" t="n">
        <v>154.1900024414062</v>
      </c>
      <c r="E1306" t="n">
        <v>266.0799865722656</v>
      </c>
      <c r="F1306" t="n">
        <v>22.69326210021973</v>
      </c>
      <c r="G1306" t="n">
        <v>73.1480712890625</v>
      </c>
      <c r="H1306">
        <f>AVERAGE(D1107:D1306)</f>
        <v/>
      </c>
      <c r="I1306">
        <f>AVERAGE(E1107:E1306)</f>
        <v/>
      </c>
      <c r="J1306">
        <f>AVERAGE(F1107:F1306)</f>
        <v/>
      </c>
    </row>
    <row r="1307">
      <c r="C1307" s="539" t="n">
        <v>41346</v>
      </c>
      <c r="D1307" t="n">
        <v>153.6600036621094</v>
      </c>
      <c r="E1307" t="n">
        <v>265.5199890136719</v>
      </c>
      <c r="F1307" t="n">
        <v>22.58151626586914</v>
      </c>
      <c r="G1307" t="n">
        <v>73.16401672363281</v>
      </c>
      <c r="H1307">
        <f>AVERAGE(D1108:D1307)</f>
        <v/>
      </c>
      <c r="I1307">
        <f>AVERAGE(E1108:E1307)</f>
        <v/>
      </c>
      <c r="J1307">
        <f>AVERAGE(F1108:F1307)</f>
        <v/>
      </c>
    </row>
    <row r="1308">
      <c r="C1308" s="539" t="n">
        <v>41347</v>
      </c>
      <c r="D1308" t="n">
        <v>153.6799926757812</v>
      </c>
      <c r="E1308" t="n">
        <v>267.3599853515625</v>
      </c>
      <c r="F1308" t="n">
        <v>22.65887832641602</v>
      </c>
      <c r="G1308" t="n">
        <v>73.16401672363281</v>
      </c>
      <c r="H1308">
        <f>AVERAGE(D1109:D1308)</f>
        <v/>
      </c>
      <c r="I1308">
        <f>AVERAGE(E1109:E1308)</f>
        <v/>
      </c>
      <c r="J1308">
        <f>AVERAGE(F1109:F1308)</f>
        <v/>
      </c>
    </row>
    <row r="1309">
      <c r="C1309" s="539" t="n">
        <v>41348</v>
      </c>
      <c r="D1309" t="n">
        <v>154</v>
      </c>
      <c r="E1309" t="n">
        <v>268.7999877929688</v>
      </c>
      <c r="F1309" t="n">
        <v>22.52134323120117</v>
      </c>
      <c r="G1309" t="n">
        <v>73.16401672363281</v>
      </c>
      <c r="H1309">
        <f>AVERAGE(D1110:D1309)</f>
        <v/>
      </c>
      <c r="I1309">
        <f>AVERAGE(E1110:E1309)</f>
        <v/>
      </c>
      <c r="J1309">
        <f>AVERAGE(F1110:F1309)</f>
        <v/>
      </c>
    </row>
    <row r="1310">
      <c r="C1310" s="539" t="n">
        <v>41351</v>
      </c>
      <c r="D1310" t="n">
        <v>155.3800048828125</v>
      </c>
      <c r="E1310" t="n">
        <v>269.2000122070312</v>
      </c>
      <c r="F1310" t="n">
        <v>22.31504058837891</v>
      </c>
      <c r="G1310" t="n">
        <v>73.1480712890625</v>
      </c>
      <c r="H1310">
        <f>AVERAGE(D1111:D1310)</f>
        <v/>
      </c>
      <c r="I1310">
        <f>AVERAGE(E1111:E1310)</f>
        <v/>
      </c>
      <c r="J1310">
        <f>AVERAGE(F1111:F1310)</f>
        <v/>
      </c>
    </row>
    <row r="1311">
      <c r="C1311" s="539" t="n">
        <v>41352</v>
      </c>
      <c r="D1311" t="n">
        <v>156.0800018310547</v>
      </c>
      <c r="E1311" t="n">
        <v>264.5599975585938</v>
      </c>
      <c r="F1311" t="n">
        <v>22.29784965515137</v>
      </c>
      <c r="G1311" t="n">
        <v>73.1480712890625</v>
      </c>
      <c r="H1311">
        <f>AVERAGE(D1112:D1311)</f>
        <v/>
      </c>
      <c r="I1311">
        <f>AVERAGE(E1112:E1311)</f>
        <v/>
      </c>
      <c r="J1311">
        <f>AVERAGE(F1112:F1311)</f>
        <v/>
      </c>
    </row>
    <row r="1312">
      <c r="C1312" s="539" t="n">
        <v>41353</v>
      </c>
      <c r="D1312" t="n">
        <v>155.3699951171875</v>
      </c>
      <c r="E1312" t="n">
        <v>267.6000061035156</v>
      </c>
      <c r="F1312" t="n">
        <v>22.46976661682129</v>
      </c>
      <c r="G1312" t="n">
        <v>73.1480712890625</v>
      </c>
      <c r="H1312">
        <f>AVERAGE(D1113:D1312)</f>
        <v/>
      </c>
      <c r="I1312">
        <f>AVERAGE(E1113:E1312)</f>
        <v/>
      </c>
      <c r="J1312">
        <f>AVERAGE(F1113:F1312)</f>
        <v/>
      </c>
    </row>
    <row r="1313">
      <c r="C1313" s="539" t="n">
        <v>41354</v>
      </c>
      <c r="D1313" t="n">
        <v>156.25</v>
      </c>
      <c r="E1313" t="n">
        <v>264.3999938964844</v>
      </c>
      <c r="F1313" t="n">
        <v>22.47836303710938</v>
      </c>
      <c r="G1313" t="n">
        <v>73.1480712890625</v>
      </c>
      <c r="H1313">
        <f>AVERAGE(D1114:D1313)</f>
        <v/>
      </c>
      <c r="I1313">
        <f>AVERAGE(E1114:E1313)</f>
        <v/>
      </c>
      <c r="J1313">
        <f>AVERAGE(F1114:F1313)</f>
        <v/>
      </c>
    </row>
    <row r="1314">
      <c r="C1314" s="539" t="n">
        <v>41355</v>
      </c>
      <c r="D1314" t="n">
        <v>155.5500030517578</v>
      </c>
      <c r="E1314" t="n">
        <v>268.8800048828125</v>
      </c>
      <c r="F1314" t="n">
        <v>22.4439811706543</v>
      </c>
      <c r="G1314" t="n">
        <v>73.16401672363281</v>
      </c>
      <c r="H1314">
        <f>AVERAGE(D1115:D1314)</f>
        <v/>
      </c>
      <c r="I1314">
        <f>AVERAGE(E1115:E1314)</f>
        <v/>
      </c>
      <c r="J1314">
        <f>AVERAGE(F1115:F1314)</f>
        <v/>
      </c>
    </row>
    <row r="1315">
      <c r="C1315" s="539" t="n">
        <v>41358</v>
      </c>
      <c r="D1315" t="n">
        <v>155.2400054931641</v>
      </c>
      <c r="E1315" t="n">
        <v>270.7999877929688</v>
      </c>
      <c r="F1315" t="n">
        <v>22.43538475036621</v>
      </c>
      <c r="G1315" t="n">
        <v>73.1480712890625</v>
      </c>
      <c r="H1315">
        <f>AVERAGE(D1116:D1315)</f>
        <v/>
      </c>
      <c r="I1315">
        <f>AVERAGE(E1116:E1315)</f>
        <v/>
      </c>
      <c r="J1315">
        <f>AVERAGE(F1116:F1315)</f>
        <v/>
      </c>
    </row>
    <row r="1316">
      <c r="C1316" s="539" t="n">
        <v>41359</v>
      </c>
      <c r="D1316" t="n">
        <v>154.7200012207031</v>
      </c>
      <c r="E1316" t="n">
        <v>275.6000061035156</v>
      </c>
      <c r="F1316" t="n">
        <v>22.49555587768555</v>
      </c>
      <c r="G1316" t="n">
        <v>73.16401672363281</v>
      </c>
      <c r="H1316">
        <f>AVERAGE(D1117:D1316)</f>
        <v/>
      </c>
      <c r="I1316">
        <f>AVERAGE(E1117:E1316)</f>
        <v/>
      </c>
      <c r="J1316">
        <f>AVERAGE(F1117:F1316)</f>
        <v/>
      </c>
    </row>
    <row r="1317">
      <c r="C1317" s="539" t="n">
        <v>41360</v>
      </c>
      <c r="D1317" t="n">
        <v>155.3600006103516</v>
      </c>
      <c r="E1317" t="n">
        <v>276.3999938964844</v>
      </c>
      <c r="F1317" t="n">
        <v>22.59011077880859</v>
      </c>
      <c r="G1317" t="n">
        <v>73.1480712890625</v>
      </c>
      <c r="H1317">
        <f>AVERAGE(D1118:D1317)</f>
        <v/>
      </c>
      <c r="I1317">
        <f>AVERAGE(E1118:E1317)</f>
        <v/>
      </c>
      <c r="J1317">
        <f>AVERAGE(F1118:F1317)</f>
        <v/>
      </c>
    </row>
    <row r="1318">
      <c r="C1318" s="539" t="n">
        <v>41361</v>
      </c>
      <c r="D1318" t="n">
        <v>154.4499969482422</v>
      </c>
      <c r="E1318" t="n">
        <v>278</v>
      </c>
      <c r="F1318" t="n">
        <v>22.26346397399902</v>
      </c>
      <c r="G1318" t="n">
        <v>73.16401672363281</v>
      </c>
      <c r="H1318">
        <f>AVERAGE(D1119:D1318)</f>
        <v/>
      </c>
      <c r="I1318">
        <f>AVERAGE(E1119:E1318)</f>
        <v/>
      </c>
      <c r="J1318">
        <f>AVERAGE(F1119:F1318)</f>
        <v/>
      </c>
    </row>
    <row r="1319">
      <c r="C1319" s="539" t="n">
        <v>41365</v>
      </c>
      <c r="D1319" t="n">
        <v>154.6699981689453</v>
      </c>
      <c r="E1319" t="n">
        <v>277.4400024414062</v>
      </c>
      <c r="F1319" t="n">
        <v>22.22908210754395</v>
      </c>
      <c r="G1319" t="n">
        <v>73.1480712890625</v>
      </c>
      <c r="H1319">
        <f>AVERAGE(D1120:D1319)</f>
        <v/>
      </c>
      <c r="I1319">
        <f>AVERAGE(E1120:E1319)</f>
        <v/>
      </c>
      <c r="J1319">
        <f>AVERAGE(F1120:F1319)</f>
        <v/>
      </c>
    </row>
    <row r="1320">
      <c r="C1320" s="539" t="n">
        <v>41366</v>
      </c>
      <c r="D1320" t="n">
        <v>152.4299926757812</v>
      </c>
      <c r="E1320" t="n">
        <v>277.2000122070312</v>
      </c>
      <c r="F1320" t="n">
        <v>22.16890907287598</v>
      </c>
      <c r="G1320" t="n">
        <v>73.16401672363281</v>
      </c>
      <c r="H1320">
        <f>AVERAGE(D1121:D1320)</f>
        <v/>
      </c>
      <c r="I1320">
        <f>AVERAGE(E1121:E1320)</f>
        <v/>
      </c>
      <c r="J1320">
        <f>AVERAGE(F1121:F1320)</f>
        <v/>
      </c>
    </row>
    <row r="1321">
      <c r="C1321" s="539" t="n">
        <v>41367</v>
      </c>
      <c r="D1321" t="n">
        <v>150.7299957275391</v>
      </c>
      <c r="E1321" t="n">
        <v>270.0799865722656</v>
      </c>
      <c r="F1321" t="n">
        <v>22.2806568145752</v>
      </c>
      <c r="G1321" t="n">
        <v>73.1480712890625</v>
      </c>
      <c r="H1321">
        <f>AVERAGE(D1122:D1321)</f>
        <v/>
      </c>
      <c r="I1321">
        <f>AVERAGE(E1122:E1321)</f>
        <v/>
      </c>
      <c r="J1321">
        <f>AVERAGE(F1122:F1321)</f>
        <v/>
      </c>
    </row>
    <row r="1322">
      <c r="C1322" s="539" t="n">
        <v>41368</v>
      </c>
      <c r="D1322" t="n">
        <v>150.2899932861328</v>
      </c>
      <c r="E1322" t="n">
        <v>267.1199951171875</v>
      </c>
      <c r="F1322" t="n">
        <v>22.21189117431641</v>
      </c>
      <c r="G1322" t="n">
        <v>73.1480712890625</v>
      </c>
      <c r="H1322">
        <f>AVERAGE(D1123:D1322)</f>
        <v/>
      </c>
      <c r="I1322">
        <f>AVERAGE(E1123:E1322)</f>
        <v/>
      </c>
      <c r="J1322">
        <f>AVERAGE(F1123:F1322)</f>
        <v/>
      </c>
    </row>
    <row r="1323">
      <c r="C1323" s="539" t="n">
        <v>41369</v>
      </c>
      <c r="D1323" t="n">
        <v>152.8099975585938</v>
      </c>
      <c r="E1323" t="n">
        <v>266.239990234375</v>
      </c>
      <c r="F1323" t="n">
        <v>22.12592887878418</v>
      </c>
      <c r="G1323" t="n">
        <v>73.16401672363281</v>
      </c>
      <c r="H1323">
        <f>AVERAGE(D1124:D1323)</f>
        <v/>
      </c>
      <c r="I1323">
        <f>AVERAGE(E1124:E1323)</f>
        <v/>
      </c>
      <c r="J1323">
        <f>AVERAGE(F1124:F1323)</f>
        <v/>
      </c>
    </row>
    <row r="1324">
      <c r="C1324" s="539" t="n">
        <v>41372</v>
      </c>
      <c r="D1324" t="n">
        <v>152.1600036621094</v>
      </c>
      <c r="E1324" t="n">
        <v>267.9200134277344</v>
      </c>
      <c r="F1324" t="n">
        <v>22.15171813964844</v>
      </c>
      <c r="G1324" t="n">
        <v>73.16401672363281</v>
      </c>
      <c r="H1324">
        <f>AVERAGE(D1125:D1324)</f>
        <v/>
      </c>
      <c r="I1324">
        <f>AVERAGE(E1125:E1324)</f>
        <v/>
      </c>
      <c r="J1324">
        <f>AVERAGE(F1125:F1324)</f>
        <v/>
      </c>
    </row>
    <row r="1325">
      <c r="C1325" s="539" t="n">
        <v>41373</v>
      </c>
      <c r="D1325" t="n">
        <v>153.3399963378906</v>
      </c>
      <c r="E1325" t="n">
        <v>269.1199951171875</v>
      </c>
      <c r="F1325" t="n">
        <v>22.25486946105957</v>
      </c>
      <c r="G1325" t="n">
        <v>73.16401672363281</v>
      </c>
      <c r="H1325">
        <f>AVERAGE(D1126:D1325)</f>
        <v/>
      </c>
      <c r="I1325">
        <f>AVERAGE(E1126:E1325)</f>
        <v/>
      </c>
      <c r="J1325">
        <f>AVERAGE(F1126:F1325)</f>
        <v/>
      </c>
    </row>
    <row r="1326">
      <c r="C1326" s="539" t="n">
        <v>41374</v>
      </c>
      <c r="D1326" t="n">
        <v>150.75</v>
      </c>
      <c r="E1326" t="n">
        <v>270.6400146484375</v>
      </c>
      <c r="F1326" t="n">
        <v>22.14312553405762</v>
      </c>
      <c r="G1326" t="n">
        <v>73.16401672363281</v>
      </c>
      <c r="H1326">
        <f>AVERAGE(D1127:D1326)</f>
        <v/>
      </c>
      <c r="I1326">
        <f>AVERAGE(E1127:E1326)</f>
        <v/>
      </c>
      <c r="J1326">
        <f>AVERAGE(F1127:F1326)</f>
        <v/>
      </c>
    </row>
    <row r="1327">
      <c r="C1327" s="539" t="n">
        <v>41375</v>
      </c>
      <c r="D1327" t="n">
        <v>151.0500030517578</v>
      </c>
      <c r="E1327" t="n">
        <v>267.6799926757812</v>
      </c>
      <c r="F1327" t="n">
        <v>22.16031455993652</v>
      </c>
      <c r="G1327" t="n">
        <v>73.1480712890625</v>
      </c>
      <c r="H1327">
        <f>AVERAGE(D1128:D1327)</f>
        <v/>
      </c>
      <c r="I1327">
        <f>AVERAGE(E1128:E1327)</f>
        <v/>
      </c>
      <c r="J1327">
        <f>AVERAGE(F1128:F1327)</f>
        <v/>
      </c>
    </row>
    <row r="1328">
      <c r="C1328" s="539" t="n">
        <v>41376</v>
      </c>
      <c r="D1328" t="n">
        <v>143.9499969482422</v>
      </c>
      <c r="E1328" t="n">
        <v>260.239990234375</v>
      </c>
      <c r="F1328" t="n">
        <v>22.30644607543945</v>
      </c>
      <c r="G1328" t="n">
        <v>73.16401672363281</v>
      </c>
      <c r="H1328">
        <f>AVERAGE(D1129:D1328)</f>
        <v/>
      </c>
      <c r="I1328">
        <f>AVERAGE(E1129:E1328)</f>
        <v/>
      </c>
      <c r="J1328">
        <f>AVERAGE(F1129:F1328)</f>
        <v/>
      </c>
    </row>
    <row r="1329">
      <c r="C1329" s="539" t="n">
        <v>41379</v>
      </c>
      <c r="D1329" t="n">
        <v>131.3099975585938</v>
      </c>
      <c r="E1329" t="n">
        <v>251.9199981689453</v>
      </c>
      <c r="F1329" t="n">
        <v>21.88524436950684</v>
      </c>
      <c r="G1329" t="n">
        <v>73.16401672363281</v>
      </c>
      <c r="H1329">
        <f>AVERAGE(D1130:D1329)</f>
        <v/>
      </c>
      <c r="I1329">
        <f>AVERAGE(E1130:E1329)</f>
        <v/>
      </c>
      <c r="J1329">
        <f>AVERAGE(F1130:F1329)</f>
        <v/>
      </c>
    </row>
    <row r="1330">
      <c r="C1330" s="539" t="n">
        <v>41380</v>
      </c>
      <c r="D1330" t="n">
        <v>132.8000030517578</v>
      </c>
      <c r="E1330" t="n">
        <v>254.0800018310547</v>
      </c>
      <c r="F1330" t="n">
        <v>22.16031455993652</v>
      </c>
      <c r="G1330" t="n">
        <v>73.16401672363281</v>
      </c>
      <c r="H1330">
        <f>AVERAGE(D1131:D1330)</f>
        <v/>
      </c>
      <c r="I1330">
        <f>AVERAGE(E1131:E1330)</f>
        <v/>
      </c>
      <c r="J1330">
        <f>AVERAGE(F1131:F1330)</f>
        <v/>
      </c>
    </row>
    <row r="1331">
      <c r="C1331" s="539" t="n">
        <v>41381</v>
      </c>
      <c r="D1331" t="n">
        <v>132.8699951171875</v>
      </c>
      <c r="E1331" t="n">
        <v>248.0800018310547</v>
      </c>
      <c r="F1331" t="n">
        <v>22.21189117431641</v>
      </c>
      <c r="G1331" t="n">
        <v>73.16401672363281</v>
      </c>
      <c r="H1331">
        <f>AVERAGE(D1132:D1331)</f>
        <v/>
      </c>
      <c r="I1331">
        <f>AVERAGE(E1132:E1331)</f>
        <v/>
      </c>
      <c r="J1331">
        <f>AVERAGE(F1132:F1331)</f>
        <v/>
      </c>
    </row>
    <row r="1332">
      <c r="C1332" s="539" t="n">
        <v>41382</v>
      </c>
      <c r="D1332" t="n">
        <v>134.3000030517578</v>
      </c>
      <c r="E1332" t="n">
        <v>253.1199951171875</v>
      </c>
      <c r="F1332" t="n">
        <v>22.28925323486328</v>
      </c>
      <c r="G1332" t="n">
        <v>73.1480712890625</v>
      </c>
      <c r="H1332">
        <f>AVERAGE(D1133:D1332)</f>
        <v/>
      </c>
      <c r="I1332">
        <f>AVERAGE(E1133:E1332)</f>
        <v/>
      </c>
      <c r="J1332">
        <f>AVERAGE(F1133:F1332)</f>
        <v/>
      </c>
    </row>
    <row r="1333">
      <c r="C1333" s="539" t="n">
        <v>41383</v>
      </c>
      <c r="D1333" t="n">
        <v>135.4700012207031</v>
      </c>
      <c r="E1333" t="n">
        <v>251.1199951171875</v>
      </c>
      <c r="F1333" t="n">
        <v>22.32363700866699</v>
      </c>
      <c r="G1333" t="n">
        <v>73.16401672363281</v>
      </c>
      <c r="H1333">
        <f>AVERAGE(D1134:D1333)</f>
        <v/>
      </c>
      <c r="I1333">
        <f>AVERAGE(E1134:E1333)</f>
        <v/>
      </c>
      <c r="J1333">
        <f>AVERAGE(F1134:F1333)</f>
        <v/>
      </c>
    </row>
    <row r="1334">
      <c r="C1334" s="539" t="n">
        <v>41386</v>
      </c>
      <c r="D1334" t="n">
        <v>137.8999938964844</v>
      </c>
      <c r="E1334" t="n">
        <v>254.5599975585938</v>
      </c>
      <c r="F1334" t="n">
        <v>22.16890907287598</v>
      </c>
      <c r="G1334" t="n">
        <v>73.16401672363281</v>
      </c>
      <c r="H1334">
        <f>AVERAGE(D1135:D1334)</f>
        <v/>
      </c>
      <c r="I1334">
        <f>AVERAGE(E1135:E1334)</f>
        <v/>
      </c>
      <c r="J1334">
        <f>AVERAGE(F1135:F1334)</f>
        <v/>
      </c>
    </row>
    <row r="1335">
      <c r="C1335" s="539" t="n">
        <v>41387</v>
      </c>
      <c r="D1335" t="n">
        <v>136.8800048828125</v>
      </c>
      <c r="E1335" t="n">
        <v>254.8800048828125</v>
      </c>
      <c r="F1335" t="n">
        <v>21.98839569091797</v>
      </c>
      <c r="G1335" t="n">
        <v>73.16401672363281</v>
      </c>
      <c r="H1335">
        <f>AVERAGE(D1136:D1335)</f>
        <v/>
      </c>
      <c r="I1335">
        <f>AVERAGE(E1136:E1335)</f>
        <v/>
      </c>
      <c r="J1335">
        <f>AVERAGE(F1136:F1335)</f>
        <v/>
      </c>
    </row>
    <row r="1336">
      <c r="C1336" s="539" t="n">
        <v>41388</v>
      </c>
      <c r="D1336" t="n">
        <v>138.3699951171875</v>
      </c>
      <c r="E1336" t="n">
        <v>261.2799987792969</v>
      </c>
      <c r="F1336" t="n">
        <v>22.0485668182373</v>
      </c>
      <c r="G1336" t="n">
        <v>73.16401672363281</v>
      </c>
      <c r="H1336">
        <f>AVERAGE(D1137:D1336)</f>
        <v/>
      </c>
      <c r="I1336">
        <f>AVERAGE(E1137:E1336)</f>
        <v/>
      </c>
      <c r="J1336">
        <f>AVERAGE(F1137:F1336)</f>
        <v/>
      </c>
    </row>
    <row r="1337">
      <c r="C1337" s="539" t="n">
        <v>41389</v>
      </c>
      <c r="D1337" t="n">
        <v>141.6300048828125</v>
      </c>
      <c r="E1337" t="n">
        <v>266</v>
      </c>
      <c r="F1337" t="n">
        <v>22.21189117431641</v>
      </c>
      <c r="G1337" t="n">
        <v>73.1480712890625</v>
      </c>
      <c r="H1337">
        <f>AVERAGE(D1138:D1337)</f>
        <v/>
      </c>
      <c r="I1337">
        <f>AVERAGE(E1138:E1337)</f>
        <v/>
      </c>
      <c r="J1337">
        <f>AVERAGE(F1138:F1337)</f>
        <v/>
      </c>
    </row>
    <row r="1338">
      <c r="C1338" s="539" t="n">
        <v>41390</v>
      </c>
      <c r="D1338" t="n">
        <v>140.9100036621094</v>
      </c>
      <c r="E1338" t="n">
        <v>264.9599914550781</v>
      </c>
      <c r="F1338" t="n">
        <v>22.10014152526855</v>
      </c>
      <c r="G1338" t="n">
        <v>73.1480712890625</v>
      </c>
      <c r="H1338">
        <f>AVERAGE(D1139:D1338)</f>
        <v/>
      </c>
      <c r="I1338">
        <f>AVERAGE(E1139:E1338)</f>
        <v/>
      </c>
      <c r="J1338">
        <f>AVERAGE(F1139:F1338)</f>
        <v/>
      </c>
    </row>
    <row r="1339">
      <c r="C1339" s="539" t="n">
        <v>41393</v>
      </c>
      <c r="D1339" t="n">
        <v>142.3000030517578</v>
      </c>
      <c r="E1339" t="n">
        <v>268.8800048828125</v>
      </c>
      <c r="F1339" t="n">
        <v>22.40099906921387</v>
      </c>
      <c r="G1339" t="n">
        <v>73.1480712890625</v>
      </c>
      <c r="H1339">
        <f>AVERAGE(D1140:D1339)</f>
        <v/>
      </c>
      <c r="I1339">
        <f>AVERAGE(E1140:E1339)</f>
        <v/>
      </c>
      <c r="J1339">
        <f>AVERAGE(F1140:F1339)</f>
        <v/>
      </c>
    </row>
    <row r="1340">
      <c r="C1340" s="539" t="n">
        <v>41394</v>
      </c>
      <c r="D1340" t="n">
        <v>142.7700042724609</v>
      </c>
      <c r="E1340" t="n">
        <v>265.2799987792969</v>
      </c>
      <c r="F1340" t="n">
        <v>22.53853416442871</v>
      </c>
      <c r="G1340" t="n">
        <v>73.1480712890625</v>
      </c>
      <c r="H1340">
        <f>AVERAGE(D1141:D1340)</f>
        <v/>
      </c>
      <c r="I1340">
        <f>AVERAGE(E1141:E1340)</f>
        <v/>
      </c>
      <c r="J1340">
        <f>AVERAGE(F1141:F1340)</f>
        <v/>
      </c>
    </row>
    <row r="1341">
      <c r="C1341" s="539" t="n">
        <v>41395</v>
      </c>
      <c r="D1341" t="n">
        <v>141.1100006103516</v>
      </c>
      <c r="E1341" t="n">
        <v>259.1199951171875</v>
      </c>
      <c r="F1341" t="n">
        <v>22.40959548950195</v>
      </c>
      <c r="G1341" t="n">
        <v>73.1480712890625</v>
      </c>
      <c r="H1341">
        <f>AVERAGE(D1142:D1341)</f>
        <v/>
      </c>
      <c r="I1341">
        <f>AVERAGE(E1142:E1341)</f>
        <v/>
      </c>
      <c r="J1341">
        <f>AVERAGE(F1142:F1341)</f>
        <v/>
      </c>
    </row>
    <row r="1342">
      <c r="C1342" s="539" t="n">
        <v>41396</v>
      </c>
      <c r="D1342" t="n">
        <v>141.9199981689453</v>
      </c>
      <c r="E1342" t="n">
        <v>267.9200134277344</v>
      </c>
      <c r="F1342" t="n">
        <v>22.61589813232422</v>
      </c>
      <c r="G1342" t="n">
        <v>73.16401672363281</v>
      </c>
      <c r="H1342">
        <f>AVERAGE(D1143:D1342)</f>
        <v/>
      </c>
      <c r="I1342">
        <f>AVERAGE(E1143:E1342)</f>
        <v/>
      </c>
      <c r="J1342">
        <f>AVERAGE(F1143:F1342)</f>
        <v/>
      </c>
    </row>
    <row r="1343">
      <c r="C1343" s="539" t="n">
        <v>41397</v>
      </c>
      <c r="D1343" t="n">
        <v>142.0899963378906</v>
      </c>
      <c r="E1343" t="n">
        <v>272.0799865722656</v>
      </c>
      <c r="F1343" t="n">
        <v>22.53853416442871</v>
      </c>
      <c r="G1343" t="n">
        <v>73.1480712890625</v>
      </c>
      <c r="H1343">
        <f>AVERAGE(D1144:D1343)</f>
        <v/>
      </c>
      <c r="I1343">
        <f>AVERAGE(E1144:E1343)</f>
        <v/>
      </c>
      <c r="J1343">
        <f>AVERAGE(F1144:F1343)</f>
        <v/>
      </c>
    </row>
    <row r="1344">
      <c r="C1344" s="539" t="n">
        <v>41400</v>
      </c>
      <c r="D1344" t="n">
        <v>142.1499938964844</v>
      </c>
      <c r="E1344" t="n">
        <v>273.1199951171875</v>
      </c>
      <c r="F1344" t="n">
        <v>22.37521171569824</v>
      </c>
      <c r="G1344" t="n">
        <v>73.1480712890625</v>
      </c>
      <c r="H1344">
        <f>AVERAGE(D1145:D1344)</f>
        <v/>
      </c>
      <c r="I1344">
        <f>AVERAGE(E1145:E1344)</f>
        <v/>
      </c>
      <c r="J1344">
        <f>AVERAGE(F1145:F1344)</f>
        <v/>
      </c>
    </row>
    <row r="1345">
      <c r="C1345" s="539" t="n">
        <v>41401</v>
      </c>
      <c r="D1345" t="n">
        <v>140.3800048828125</v>
      </c>
      <c r="E1345" t="n">
        <v>272.0799865722656</v>
      </c>
      <c r="F1345" t="n">
        <v>22.39240455627441</v>
      </c>
      <c r="G1345" t="n">
        <v>73.1480712890625</v>
      </c>
      <c r="H1345">
        <f>AVERAGE(D1146:D1345)</f>
        <v/>
      </c>
      <c r="I1345">
        <f>AVERAGE(E1146:E1345)</f>
        <v/>
      </c>
      <c r="J1345">
        <f>AVERAGE(F1146:F1345)</f>
        <v/>
      </c>
    </row>
    <row r="1346">
      <c r="C1346" s="539" t="n">
        <v>41402</v>
      </c>
      <c r="D1346" t="n">
        <v>142.4600067138672</v>
      </c>
      <c r="E1346" t="n">
        <v>275.2000122070312</v>
      </c>
      <c r="F1346" t="n">
        <v>22.31504058837891</v>
      </c>
      <c r="G1346" t="n">
        <v>73.16401672363281</v>
      </c>
      <c r="H1346">
        <f>AVERAGE(D1147:D1346)</f>
        <v/>
      </c>
      <c r="I1346">
        <f>AVERAGE(E1147:E1346)</f>
        <v/>
      </c>
      <c r="J1346">
        <f>AVERAGE(F1147:F1346)</f>
        <v/>
      </c>
    </row>
    <row r="1347">
      <c r="C1347" s="539" t="n">
        <v>41403</v>
      </c>
      <c r="D1347" t="n">
        <v>140.8099975585938</v>
      </c>
      <c r="E1347" t="n">
        <v>273.3599853515625</v>
      </c>
      <c r="F1347" t="n">
        <v>22.40099906921387</v>
      </c>
      <c r="G1347" t="n">
        <v>73.16401672363281</v>
      </c>
      <c r="H1347">
        <f>AVERAGE(D1148:D1347)</f>
        <v/>
      </c>
      <c r="I1347">
        <f>AVERAGE(E1148:E1347)</f>
        <v/>
      </c>
      <c r="J1347">
        <f>AVERAGE(F1148:F1347)</f>
        <v/>
      </c>
    </row>
    <row r="1348">
      <c r="C1348" s="539" t="n">
        <v>41404</v>
      </c>
      <c r="D1348" t="n">
        <v>139.6000061035156</v>
      </c>
      <c r="E1348" t="n">
        <v>273.1199951171875</v>
      </c>
      <c r="F1348" t="n">
        <v>22.16890907287598</v>
      </c>
      <c r="G1348" t="n">
        <v>73.1480712890625</v>
      </c>
      <c r="H1348">
        <f>AVERAGE(D1149:D1348)</f>
        <v/>
      </c>
      <c r="I1348">
        <f>AVERAGE(E1149:E1348)</f>
        <v/>
      </c>
      <c r="J1348">
        <f>AVERAGE(F1149:F1348)</f>
        <v/>
      </c>
    </row>
    <row r="1349">
      <c r="C1349" s="539" t="n">
        <v>41407</v>
      </c>
      <c r="D1349" t="n">
        <v>138.4299926757812</v>
      </c>
      <c r="E1349" t="n">
        <v>270.8800048828125</v>
      </c>
      <c r="F1349" t="n">
        <v>22.30644607543945</v>
      </c>
      <c r="G1349" t="n">
        <v>73.16401672363281</v>
      </c>
      <c r="H1349">
        <f>AVERAGE(D1150:D1349)</f>
        <v/>
      </c>
      <c r="I1349">
        <f>AVERAGE(E1150:E1349)</f>
        <v/>
      </c>
      <c r="J1349">
        <f>AVERAGE(F1150:F1349)</f>
        <v/>
      </c>
    </row>
    <row r="1350">
      <c r="C1350" s="539" t="n">
        <v>41408</v>
      </c>
      <c r="D1350" t="n">
        <v>137.8099975585938</v>
      </c>
      <c r="E1350" t="n">
        <v>268.4800109863281</v>
      </c>
      <c r="F1350" t="n">
        <v>22.27206230163574</v>
      </c>
      <c r="G1350" t="n">
        <v>73.1480712890625</v>
      </c>
      <c r="H1350">
        <f>AVERAGE(D1151:D1350)</f>
        <v/>
      </c>
      <c r="I1350">
        <f>AVERAGE(E1151:E1350)</f>
        <v/>
      </c>
      <c r="J1350">
        <f>AVERAGE(F1151:F1350)</f>
        <v/>
      </c>
    </row>
    <row r="1351">
      <c r="C1351" s="539" t="n">
        <v>41409</v>
      </c>
      <c r="D1351" t="n">
        <v>134.6300048828125</v>
      </c>
      <c r="E1351" t="n">
        <v>268.8800048828125</v>
      </c>
      <c r="F1351" t="n">
        <v>22.05716323852539</v>
      </c>
      <c r="G1351" t="n">
        <v>73.1480712890625</v>
      </c>
      <c r="H1351">
        <f>AVERAGE(D1152:D1351)</f>
        <v/>
      </c>
      <c r="I1351">
        <f>AVERAGE(E1152:E1351)</f>
        <v/>
      </c>
      <c r="J1351">
        <f>AVERAGE(F1152:F1351)</f>
        <v/>
      </c>
    </row>
    <row r="1352">
      <c r="C1352" s="539" t="n">
        <v>41410</v>
      </c>
      <c r="D1352" t="n">
        <v>134.0899963378906</v>
      </c>
      <c r="E1352" t="n">
        <v>270.9599914550781</v>
      </c>
      <c r="F1352" t="n">
        <v>21.91103172302246</v>
      </c>
      <c r="G1352" t="n">
        <v>73.1480712890625</v>
      </c>
      <c r="H1352">
        <f>AVERAGE(D1153:D1352)</f>
        <v/>
      </c>
      <c r="I1352">
        <f>AVERAGE(E1153:E1352)</f>
        <v/>
      </c>
      <c r="J1352">
        <f>AVERAGE(F1153:F1352)</f>
        <v/>
      </c>
    </row>
    <row r="1353">
      <c r="C1353" s="539" t="n">
        <v>41411</v>
      </c>
      <c r="D1353" t="n">
        <v>131.0700073242188</v>
      </c>
      <c r="E1353" t="n">
        <v>273.6799926757812</v>
      </c>
      <c r="F1353" t="n">
        <v>21.80788230895996</v>
      </c>
      <c r="G1353" t="n">
        <v>73.16401672363281</v>
      </c>
      <c r="H1353">
        <f>AVERAGE(D1154:D1353)</f>
        <v/>
      </c>
      <c r="I1353">
        <f>AVERAGE(E1154:E1353)</f>
        <v/>
      </c>
      <c r="J1353">
        <f>AVERAGE(F1154:F1353)</f>
        <v/>
      </c>
    </row>
    <row r="1354">
      <c r="C1354" s="539" t="n">
        <v>41414</v>
      </c>
      <c r="D1354" t="n">
        <v>135.1199951171875</v>
      </c>
      <c r="E1354" t="n">
        <v>275.5199890136719</v>
      </c>
      <c r="F1354" t="n">
        <v>21.82507133483887</v>
      </c>
      <c r="G1354" t="n">
        <v>73.1480712890625</v>
      </c>
      <c r="H1354">
        <f>AVERAGE(D1155:D1354)</f>
        <v/>
      </c>
      <c r="I1354">
        <f>AVERAGE(E1155:E1354)</f>
        <v/>
      </c>
      <c r="J1354">
        <f>AVERAGE(F1155:F1354)</f>
        <v/>
      </c>
    </row>
    <row r="1355">
      <c r="C1355" s="539" t="n">
        <v>41415</v>
      </c>
      <c r="D1355" t="n">
        <v>132.8800048828125</v>
      </c>
      <c r="E1355" t="n">
        <v>272.8800048828125</v>
      </c>
      <c r="F1355" t="n">
        <v>21.79068946838379</v>
      </c>
      <c r="G1355" t="n">
        <v>73.16401672363281</v>
      </c>
      <c r="H1355">
        <f>AVERAGE(D1156:D1355)</f>
        <v/>
      </c>
      <c r="I1355">
        <f>AVERAGE(E1156:E1355)</f>
        <v/>
      </c>
      <c r="J1355">
        <f>AVERAGE(F1156:F1355)</f>
        <v/>
      </c>
    </row>
    <row r="1356">
      <c r="C1356" s="539" t="n">
        <v>41416</v>
      </c>
      <c r="D1356" t="n">
        <v>131.9400024414062</v>
      </c>
      <c r="E1356" t="n">
        <v>267.6799926757812</v>
      </c>
      <c r="F1356" t="n">
        <v>21.74770927429199</v>
      </c>
      <c r="G1356" t="n">
        <v>73.16401672363281</v>
      </c>
      <c r="H1356">
        <f>AVERAGE(D1157:D1356)</f>
        <v/>
      </c>
      <c r="I1356">
        <f>AVERAGE(E1157:E1356)</f>
        <v/>
      </c>
      <c r="J1356">
        <f>AVERAGE(F1157:F1356)</f>
        <v/>
      </c>
    </row>
    <row r="1357">
      <c r="C1357" s="539" t="n">
        <v>41417</v>
      </c>
      <c r="D1357" t="n">
        <v>134.6100006103516</v>
      </c>
      <c r="E1357" t="n">
        <v>268.3200073242188</v>
      </c>
      <c r="F1357" t="n">
        <v>21.79928588867188</v>
      </c>
      <c r="G1357" t="n">
        <v>73.16401672363281</v>
      </c>
      <c r="H1357">
        <f>AVERAGE(D1158:D1357)</f>
        <v/>
      </c>
      <c r="I1357">
        <f>AVERAGE(E1158:E1357)</f>
        <v/>
      </c>
      <c r="J1357">
        <f>AVERAGE(F1158:F1357)</f>
        <v/>
      </c>
    </row>
    <row r="1358">
      <c r="C1358" s="539" t="n">
        <v>41418</v>
      </c>
      <c r="D1358" t="n">
        <v>133.7599945068359</v>
      </c>
      <c r="E1358" t="n">
        <v>266.9599914550781</v>
      </c>
      <c r="F1358" t="n">
        <v>21.75630760192871</v>
      </c>
      <c r="G1358" t="n">
        <v>73.16401672363281</v>
      </c>
      <c r="H1358">
        <f>AVERAGE(D1159:D1358)</f>
        <v/>
      </c>
      <c r="I1358">
        <f>AVERAGE(E1159:E1358)</f>
        <v/>
      </c>
      <c r="J1358">
        <f>AVERAGE(F1159:F1358)</f>
        <v/>
      </c>
    </row>
    <row r="1359">
      <c r="C1359" s="539" t="n">
        <v>41422</v>
      </c>
      <c r="D1359" t="n">
        <v>133.4900054931641</v>
      </c>
      <c r="E1359" t="n">
        <v>270.3200073242188</v>
      </c>
      <c r="F1359" t="n">
        <v>21.84226608276367</v>
      </c>
      <c r="G1359" t="n">
        <v>73.1480712890625</v>
      </c>
      <c r="H1359">
        <f>AVERAGE(D1160:D1359)</f>
        <v/>
      </c>
      <c r="I1359">
        <f>AVERAGE(E1160:E1359)</f>
        <v/>
      </c>
      <c r="J1359">
        <f>AVERAGE(F1160:F1359)</f>
        <v/>
      </c>
    </row>
    <row r="1360">
      <c r="C1360" s="539" t="n">
        <v>41423</v>
      </c>
      <c r="D1360" t="n">
        <v>134.8300018310547</v>
      </c>
      <c r="E1360" t="n">
        <v>264.7999877929688</v>
      </c>
      <c r="F1360" t="n">
        <v>21.9454174041748</v>
      </c>
      <c r="G1360" t="n">
        <v>73.16401672363281</v>
      </c>
      <c r="H1360">
        <f>AVERAGE(D1161:D1360)</f>
        <v/>
      </c>
      <c r="I1360">
        <f>AVERAGE(E1161:E1360)</f>
        <v/>
      </c>
      <c r="J1360">
        <f>AVERAGE(F1161:F1360)</f>
        <v/>
      </c>
    </row>
    <row r="1361">
      <c r="C1361" s="539" t="n">
        <v>41424</v>
      </c>
      <c r="D1361" t="n">
        <v>136.6999969482422</v>
      </c>
      <c r="E1361" t="n">
        <v>266</v>
      </c>
      <c r="F1361" t="n">
        <v>21.91962623596191</v>
      </c>
      <c r="G1361" t="n">
        <v>73.1480712890625</v>
      </c>
      <c r="H1361">
        <f>AVERAGE(D1162:D1361)</f>
        <v/>
      </c>
      <c r="I1361">
        <f>AVERAGE(E1162:E1361)</f>
        <v/>
      </c>
      <c r="J1361">
        <f>AVERAGE(F1162:F1361)</f>
        <v/>
      </c>
    </row>
    <row r="1362">
      <c r="C1362" s="539" t="n">
        <v>41425</v>
      </c>
      <c r="D1362" t="n">
        <v>133.9199981689453</v>
      </c>
      <c r="E1362" t="n">
        <v>260.8800048828125</v>
      </c>
      <c r="F1362" t="n">
        <v>21.91103172302246</v>
      </c>
      <c r="G1362" t="n">
        <v>73.16401672363281</v>
      </c>
      <c r="H1362">
        <f>AVERAGE(D1163:D1362)</f>
        <v/>
      </c>
      <c r="I1362">
        <f>AVERAGE(E1163:E1362)</f>
        <v/>
      </c>
      <c r="J1362">
        <f>AVERAGE(F1163:F1362)</f>
        <v/>
      </c>
    </row>
    <row r="1363">
      <c r="C1363" s="539" t="n">
        <v>41428</v>
      </c>
      <c r="D1363" t="n">
        <v>136.5099945068359</v>
      </c>
      <c r="E1363" t="n">
        <v>265.2799987792969</v>
      </c>
      <c r="F1363" t="n">
        <v>22.10014152526855</v>
      </c>
      <c r="G1363" t="n">
        <v>73.16401672363281</v>
      </c>
      <c r="H1363">
        <f>AVERAGE(D1164:D1363)</f>
        <v/>
      </c>
      <c r="I1363">
        <f>AVERAGE(E1164:E1363)</f>
        <v/>
      </c>
      <c r="J1363">
        <f>AVERAGE(F1164:F1363)</f>
        <v/>
      </c>
    </row>
    <row r="1364">
      <c r="C1364" s="539" t="n">
        <v>41429</v>
      </c>
      <c r="D1364" t="n">
        <v>135.2299957275391</v>
      </c>
      <c r="E1364" t="n">
        <v>265.6000061035156</v>
      </c>
      <c r="F1364" t="n">
        <v>22.10873794555664</v>
      </c>
      <c r="G1364" t="n">
        <v>73.16401672363281</v>
      </c>
      <c r="H1364">
        <f>AVERAGE(D1165:D1364)</f>
        <v/>
      </c>
      <c r="I1364">
        <f>AVERAGE(E1165:E1364)</f>
        <v/>
      </c>
      <c r="J1364">
        <f>AVERAGE(F1165:F1364)</f>
        <v/>
      </c>
    </row>
    <row r="1365">
      <c r="C1365" s="539" t="n">
        <v>41430</v>
      </c>
      <c r="D1365" t="n">
        <v>135.5200042724609</v>
      </c>
      <c r="E1365" t="n">
        <v>266.0799865722656</v>
      </c>
      <c r="F1365" t="n">
        <v>21.9454174041748</v>
      </c>
      <c r="G1365" t="n">
        <v>73.16401672363281</v>
      </c>
      <c r="H1365">
        <f>AVERAGE(D1166:D1365)</f>
        <v/>
      </c>
      <c r="I1365">
        <f>AVERAGE(E1166:E1365)</f>
        <v/>
      </c>
      <c r="J1365">
        <f>AVERAGE(F1166:F1365)</f>
        <v/>
      </c>
    </row>
    <row r="1366">
      <c r="C1366" s="539" t="n">
        <v>41431</v>
      </c>
      <c r="D1366" t="n">
        <v>136.5299987792969</v>
      </c>
      <c r="E1366" t="n">
        <v>268.9599914550781</v>
      </c>
      <c r="F1366" t="n">
        <v>22.16890907287598</v>
      </c>
      <c r="G1366" t="n">
        <v>73.1480712890625</v>
      </c>
      <c r="H1366">
        <f>AVERAGE(D1167:D1366)</f>
        <v/>
      </c>
      <c r="I1366">
        <f>AVERAGE(E1167:E1366)</f>
        <v/>
      </c>
      <c r="J1366">
        <f>AVERAGE(F1167:F1366)</f>
        <v/>
      </c>
    </row>
    <row r="1367">
      <c r="C1367" s="539" t="n">
        <v>41432</v>
      </c>
      <c r="D1367" t="n">
        <v>133.2799987792969</v>
      </c>
      <c r="E1367" t="n">
        <v>273.2799987792969</v>
      </c>
      <c r="F1367" t="n">
        <v>22.19470024108887</v>
      </c>
      <c r="G1367" t="n">
        <v>73.16401672363281</v>
      </c>
      <c r="H1367">
        <f>AVERAGE(D1168:D1367)</f>
        <v/>
      </c>
      <c r="I1367">
        <f>AVERAGE(E1168:E1367)</f>
        <v/>
      </c>
      <c r="J1367">
        <f>AVERAGE(F1168:F1367)</f>
        <v/>
      </c>
    </row>
    <row r="1368">
      <c r="C1368" s="539" t="n">
        <v>41435</v>
      </c>
      <c r="D1368" t="n">
        <v>133.9400024414062</v>
      </c>
      <c r="E1368" t="n">
        <v>272</v>
      </c>
      <c r="F1368" t="n">
        <v>22.12592887878418</v>
      </c>
      <c r="G1368" t="n">
        <v>73.1480712890625</v>
      </c>
      <c r="H1368">
        <f>AVERAGE(D1169:D1368)</f>
        <v/>
      </c>
      <c r="I1368">
        <f>AVERAGE(E1169:E1368)</f>
        <v/>
      </c>
      <c r="J1368">
        <f>AVERAGE(F1169:F1368)</f>
        <v/>
      </c>
    </row>
    <row r="1369">
      <c r="C1369" s="539" t="n">
        <v>41436</v>
      </c>
      <c r="D1369" t="n">
        <v>133.25</v>
      </c>
      <c r="E1369" t="n">
        <v>270.3200073242188</v>
      </c>
      <c r="F1369" t="n">
        <v>22.16031455993652</v>
      </c>
      <c r="G1369" t="n">
        <v>73.16401672363281</v>
      </c>
      <c r="H1369">
        <f>AVERAGE(D1170:D1369)</f>
        <v/>
      </c>
      <c r="I1369">
        <f>AVERAGE(E1170:E1369)</f>
        <v/>
      </c>
      <c r="J1369">
        <f>AVERAGE(F1170:F1369)</f>
        <v/>
      </c>
    </row>
    <row r="1370">
      <c r="C1370" s="539" t="n">
        <v>41437</v>
      </c>
      <c r="D1370" t="n">
        <v>134.25</v>
      </c>
      <c r="E1370" t="n">
        <v>272.239990234375</v>
      </c>
      <c r="F1370" t="n">
        <v>21.98839569091797</v>
      </c>
      <c r="G1370" t="n">
        <v>73.1480712890625</v>
      </c>
      <c r="H1370">
        <f>AVERAGE(D1171:D1370)</f>
        <v/>
      </c>
      <c r="I1370">
        <f>AVERAGE(E1171:E1370)</f>
        <v/>
      </c>
      <c r="J1370">
        <f>AVERAGE(F1171:F1370)</f>
        <v/>
      </c>
    </row>
    <row r="1371">
      <c r="C1371" s="539" t="n">
        <v>41438</v>
      </c>
      <c r="D1371" t="n">
        <v>133.7400054931641</v>
      </c>
      <c r="E1371" t="n">
        <v>274.6400146484375</v>
      </c>
      <c r="F1371" t="n">
        <v>21.90243721008301</v>
      </c>
      <c r="G1371" t="n">
        <v>73.16401672363281</v>
      </c>
      <c r="H1371">
        <f>AVERAGE(D1172:D1371)</f>
        <v/>
      </c>
      <c r="I1371">
        <f>AVERAGE(E1172:E1371)</f>
        <v/>
      </c>
      <c r="J1371">
        <f>AVERAGE(F1172:F1371)</f>
        <v/>
      </c>
    </row>
    <row r="1372">
      <c r="C1372" s="539" t="n">
        <v>41439</v>
      </c>
      <c r="D1372" t="n">
        <v>134.4299926757812</v>
      </c>
      <c r="E1372" t="n">
        <v>277.9200134277344</v>
      </c>
      <c r="F1372" t="n">
        <v>21.7820930480957</v>
      </c>
      <c r="G1372" t="n">
        <v>73.1480712890625</v>
      </c>
      <c r="H1372">
        <f>AVERAGE(D1173:D1372)</f>
        <v/>
      </c>
      <c r="I1372">
        <f>AVERAGE(E1173:E1372)</f>
        <v/>
      </c>
      <c r="J1372">
        <f>AVERAGE(F1173:F1372)</f>
        <v/>
      </c>
    </row>
    <row r="1373">
      <c r="C1373" s="539" t="n">
        <v>41442</v>
      </c>
      <c r="D1373" t="n">
        <v>133.7700042724609</v>
      </c>
      <c r="E1373" t="n">
        <v>278.0799865722656</v>
      </c>
      <c r="F1373" t="n">
        <v>21.79068946838379</v>
      </c>
      <c r="G1373" t="n">
        <v>73.1480712890625</v>
      </c>
      <c r="H1373">
        <f>AVERAGE(D1174:D1373)</f>
        <v/>
      </c>
      <c r="I1373">
        <f>AVERAGE(E1174:E1373)</f>
        <v/>
      </c>
      <c r="J1373">
        <f>AVERAGE(F1174:F1373)</f>
        <v/>
      </c>
    </row>
    <row r="1374">
      <c r="C1374" s="539" t="n">
        <v>41443</v>
      </c>
      <c r="D1374" t="n">
        <v>132.1300048828125</v>
      </c>
      <c r="E1374" t="n">
        <v>279.6799926757812</v>
      </c>
      <c r="F1374" t="n">
        <v>21.82507133483887</v>
      </c>
      <c r="G1374" t="n">
        <v>73.1480712890625</v>
      </c>
      <c r="H1374">
        <f>AVERAGE(D1175:D1374)</f>
        <v/>
      </c>
      <c r="I1374">
        <f>AVERAGE(E1175:E1374)</f>
        <v/>
      </c>
      <c r="J1374">
        <f>AVERAGE(F1175:F1374)</f>
        <v/>
      </c>
    </row>
    <row r="1375">
      <c r="C1375" s="539" t="n">
        <v>41444</v>
      </c>
      <c r="D1375" t="n">
        <v>130.5899963378906</v>
      </c>
      <c r="E1375" t="n">
        <v>278.239990234375</v>
      </c>
      <c r="F1375" t="n">
        <v>22.06575965881348</v>
      </c>
      <c r="G1375" t="n">
        <v>73.1480712890625</v>
      </c>
      <c r="H1375">
        <f>AVERAGE(D1176:D1375)</f>
        <v/>
      </c>
      <c r="I1375">
        <f>AVERAGE(E1176:E1375)</f>
        <v/>
      </c>
      <c r="J1375">
        <f>AVERAGE(F1176:F1375)</f>
        <v/>
      </c>
    </row>
    <row r="1376">
      <c r="C1376" s="539" t="n">
        <v>41445</v>
      </c>
      <c r="D1376" t="n">
        <v>123.5999984741211</v>
      </c>
      <c r="E1376" t="n">
        <v>269.0400085449219</v>
      </c>
      <c r="F1376" t="n">
        <v>21.67893981933594</v>
      </c>
      <c r="G1376" t="n">
        <v>73.1480712890625</v>
      </c>
      <c r="H1376">
        <f>AVERAGE(D1177:D1376)</f>
        <v/>
      </c>
      <c r="I1376">
        <f>AVERAGE(E1177:E1376)</f>
        <v/>
      </c>
      <c r="J1376">
        <f>AVERAGE(F1177:F1376)</f>
        <v/>
      </c>
    </row>
    <row r="1377">
      <c r="C1377" s="539" t="n">
        <v>41446</v>
      </c>
      <c r="D1377" t="n">
        <v>125.0500030517578</v>
      </c>
      <c r="E1377" t="n">
        <v>265.8399963378906</v>
      </c>
      <c r="F1377" t="n">
        <v>21.74770927429199</v>
      </c>
      <c r="G1377" t="n">
        <v>73.16401672363281</v>
      </c>
      <c r="H1377">
        <f>AVERAGE(D1178:D1377)</f>
        <v/>
      </c>
      <c r="I1377">
        <f>AVERAGE(E1178:E1377)</f>
        <v/>
      </c>
      <c r="J1377">
        <f>AVERAGE(F1178:F1377)</f>
        <v/>
      </c>
    </row>
    <row r="1378">
      <c r="C1378" s="539" t="n">
        <v>41449</v>
      </c>
      <c r="D1378" t="n">
        <v>123.9300003051758</v>
      </c>
      <c r="E1378" t="n">
        <v>269.1199951171875</v>
      </c>
      <c r="F1378" t="n">
        <v>21.67893981933594</v>
      </c>
      <c r="G1378" t="n">
        <v>73.16401672363281</v>
      </c>
      <c r="H1378">
        <f>AVERAGE(D1179:D1378)</f>
        <v/>
      </c>
      <c r="I1378">
        <f>AVERAGE(E1179:E1378)</f>
        <v/>
      </c>
      <c r="J1378">
        <f>AVERAGE(F1179:F1378)</f>
        <v/>
      </c>
    </row>
    <row r="1379">
      <c r="C1379" s="539" t="n">
        <v>41450</v>
      </c>
      <c r="D1379" t="n">
        <v>123.4700012207031</v>
      </c>
      <c r="E1379" t="n">
        <v>269.9200134277344</v>
      </c>
      <c r="F1379" t="n">
        <v>21.72192001342773</v>
      </c>
      <c r="G1379" t="n">
        <v>73.16401672363281</v>
      </c>
      <c r="H1379">
        <f>AVERAGE(D1180:D1379)</f>
        <v/>
      </c>
      <c r="I1379">
        <f>AVERAGE(E1180:E1379)</f>
        <v/>
      </c>
      <c r="J1379">
        <f>AVERAGE(F1180:F1379)</f>
        <v/>
      </c>
    </row>
    <row r="1380">
      <c r="C1380" s="539" t="n">
        <v>41451</v>
      </c>
      <c r="D1380" t="n">
        <v>118.2799987792969</v>
      </c>
      <c r="E1380" t="n">
        <v>270.3999938964844</v>
      </c>
      <c r="F1380" t="n">
        <v>21.75630760192871</v>
      </c>
      <c r="G1380" t="n">
        <v>73.16401672363281</v>
      </c>
      <c r="H1380">
        <f>AVERAGE(D1181:D1380)</f>
        <v/>
      </c>
      <c r="I1380">
        <f>AVERAGE(E1181:E1380)</f>
        <v/>
      </c>
      <c r="J1380">
        <f>AVERAGE(F1181:F1380)</f>
        <v/>
      </c>
    </row>
    <row r="1381">
      <c r="C1381" s="539" t="n">
        <v>41452</v>
      </c>
      <c r="D1381" t="n">
        <v>115.9400024414062</v>
      </c>
      <c r="E1381" t="n">
        <v>274.6400146484375</v>
      </c>
      <c r="F1381" t="n">
        <v>21.70473098754883</v>
      </c>
      <c r="G1381" t="n">
        <v>73.1480712890625</v>
      </c>
      <c r="H1381">
        <f>AVERAGE(D1182:D1381)</f>
        <v/>
      </c>
      <c r="I1381">
        <f>AVERAGE(E1182:E1381)</f>
        <v/>
      </c>
      <c r="J1381">
        <f>AVERAGE(F1182:F1381)</f>
        <v/>
      </c>
    </row>
    <row r="1382">
      <c r="C1382" s="539" t="n">
        <v>41453</v>
      </c>
      <c r="D1382" t="n">
        <v>119.1100006103516</v>
      </c>
      <c r="E1382" t="n">
        <v>273.4400024414062</v>
      </c>
      <c r="F1382" t="n">
        <v>21.40387344360352</v>
      </c>
      <c r="G1382" t="n">
        <v>73.1480712890625</v>
      </c>
      <c r="H1382">
        <f>AVERAGE(D1183:D1382)</f>
        <v/>
      </c>
      <c r="I1382">
        <f>AVERAGE(E1183:E1382)</f>
        <v/>
      </c>
      <c r="J1382">
        <f>AVERAGE(F1183:F1382)</f>
        <v/>
      </c>
    </row>
    <row r="1383">
      <c r="C1383" s="539" t="n">
        <v>41456</v>
      </c>
      <c r="D1383" t="n">
        <v>121.129997253418</v>
      </c>
      <c r="E1383" t="n">
        <v>277.3599853515625</v>
      </c>
      <c r="F1383" t="n">
        <v>21.30931854248047</v>
      </c>
      <c r="G1383" t="n">
        <v>73.16401672363281</v>
      </c>
      <c r="H1383">
        <f>AVERAGE(D1184:D1383)</f>
        <v/>
      </c>
      <c r="I1383">
        <f>AVERAGE(E1184:E1383)</f>
        <v/>
      </c>
      <c r="J1383">
        <f>AVERAGE(F1184:F1383)</f>
        <v/>
      </c>
    </row>
    <row r="1384">
      <c r="C1384" s="539" t="n">
        <v>41457</v>
      </c>
      <c r="D1384" t="n">
        <v>120.0500030517578</v>
      </c>
      <c r="E1384" t="n">
        <v>281.6799926757812</v>
      </c>
      <c r="F1384" t="n">
        <v>21.30071830749512</v>
      </c>
      <c r="G1384" t="n">
        <v>73.1480712890625</v>
      </c>
      <c r="H1384">
        <f>AVERAGE(D1185:D1384)</f>
        <v/>
      </c>
      <c r="I1384">
        <f>AVERAGE(E1185:E1384)</f>
        <v/>
      </c>
      <c r="J1384">
        <f>AVERAGE(F1185:F1384)</f>
        <v/>
      </c>
    </row>
    <row r="1385">
      <c r="C1385" s="539" t="n">
        <v>41458</v>
      </c>
      <c r="D1385" t="n">
        <v>120.7399978637695</v>
      </c>
      <c r="E1385" t="n">
        <v>286.7200012207031</v>
      </c>
      <c r="F1385" t="n">
        <v>21.40387344360352</v>
      </c>
      <c r="G1385" t="n">
        <v>73.16401672363281</v>
      </c>
      <c r="H1385">
        <f>AVERAGE(D1186:D1385)</f>
        <v/>
      </c>
      <c r="I1385">
        <f>AVERAGE(E1186:E1385)</f>
        <v/>
      </c>
      <c r="J1385">
        <f>AVERAGE(F1186:F1385)</f>
        <v/>
      </c>
    </row>
    <row r="1386">
      <c r="C1386" s="539" t="n">
        <v>41460</v>
      </c>
      <c r="D1386" t="n">
        <v>118.0899963378906</v>
      </c>
      <c r="E1386" t="n">
        <v>292.4800109863281</v>
      </c>
      <c r="F1386" t="n">
        <v>21.17177963256836</v>
      </c>
      <c r="G1386" t="n">
        <v>73.16401672363281</v>
      </c>
      <c r="H1386">
        <f>AVERAGE(D1187:D1386)</f>
        <v/>
      </c>
      <c r="I1386">
        <f>AVERAGE(E1187:E1386)</f>
        <v/>
      </c>
      <c r="J1386">
        <f>AVERAGE(F1187:F1386)</f>
        <v/>
      </c>
    </row>
    <row r="1387">
      <c r="C1387" s="539" t="n">
        <v>41463</v>
      </c>
      <c r="D1387" t="n">
        <v>119.5100021362305</v>
      </c>
      <c r="E1387" t="n">
        <v>291.2799987792969</v>
      </c>
      <c r="F1387" t="n">
        <v>21.21476364135742</v>
      </c>
      <c r="G1387" t="n">
        <v>73.13210296630859</v>
      </c>
      <c r="H1387">
        <f>AVERAGE(D1188:D1387)</f>
        <v/>
      </c>
      <c r="I1387">
        <f>AVERAGE(E1188:E1387)</f>
        <v/>
      </c>
      <c r="J1387">
        <f>AVERAGE(F1188:F1387)</f>
        <v/>
      </c>
    </row>
    <row r="1388">
      <c r="C1388" s="539" t="n">
        <v>41464</v>
      </c>
      <c r="D1388" t="n">
        <v>120.620002746582</v>
      </c>
      <c r="E1388" t="n">
        <v>294.1600036621094</v>
      </c>
      <c r="F1388" t="n">
        <v>21.44685363769531</v>
      </c>
      <c r="G1388" t="n">
        <v>73.13210296630859</v>
      </c>
      <c r="H1388">
        <f>AVERAGE(D1189:D1388)</f>
        <v/>
      </c>
      <c r="I1388">
        <f>AVERAGE(E1189:E1388)</f>
        <v/>
      </c>
      <c r="J1388">
        <f>AVERAGE(F1189:F1388)</f>
        <v/>
      </c>
    </row>
    <row r="1389">
      <c r="C1389" s="539" t="n">
        <v>41465</v>
      </c>
      <c r="D1389" t="n">
        <v>120.9499969482422</v>
      </c>
      <c r="E1389" t="n">
        <v>299.4400024414062</v>
      </c>
      <c r="F1389" t="n">
        <v>21.4726390838623</v>
      </c>
      <c r="G1389" t="n">
        <v>73.13210296630859</v>
      </c>
      <c r="H1389">
        <f>AVERAGE(D1190:D1389)</f>
        <v/>
      </c>
      <c r="I1389">
        <f>AVERAGE(E1190:E1389)</f>
        <v/>
      </c>
      <c r="J1389">
        <f>AVERAGE(F1190:F1389)</f>
        <v/>
      </c>
    </row>
    <row r="1390">
      <c r="C1390" s="539" t="n">
        <v>41466</v>
      </c>
      <c r="D1390" t="n">
        <v>124.2399978637695</v>
      </c>
      <c r="E1390" t="n">
        <v>296.0799865722656</v>
      </c>
      <c r="F1390" t="n">
        <v>21.59298324584961</v>
      </c>
      <c r="G1390" t="n">
        <v>73.13210296630859</v>
      </c>
      <c r="H1390">
        <f>AVERAGE(D1191:D1390)</f>
        <v/>
      </c>
      <c r="I1390">
        <f>AVERAGE(E1191:E1390)</f>
        <v/>
      </c>
      <c r="J1390">
        <f>AVERAGE(F1191:F1390)</f>
        <v/>
      </c>
    </row>
    <row r="1391">
      <c r="C1391" s="539" t="n">
        <v>41467</v>
      </c>
      <c r="D1391" t="n">
        <v>124.129997253418</v>
      </c>
      <c r="E1391" t="n">
        <v>300.4800109863281</v>
      </c>
      <c r="F1391" t="n">
        <v>21.33510208129883</v>
      </c>
      <c r="G1391" t="n">
        <v>73.13210296630859</v>
      </c>
      <c r="H1391">
        <f>AVERAGE(D1192:D1391)</f>
        <v/>
      </c>
      <c r="I1391">
        <f>AVERAGE(E1192:E1391)</f>
        <v/>
      </c>
      <c r="J1391">
        <f>AVERAGE(F1192:F1391)</f>
        <v/>
      </c>
    </row>
    <row r="1392">
      <c r="C1392" s="539" t="n">
        <v>41470</v>
      </c>
      <c r="D1392" t="n">
        <v>124.1800003051758</v>
      </c>
      <c r="E1392" t="n">
        <v>301.3599853515625</v>
      </c>
      <c r="F1392" t="n">
        <v>21.3952751159668</v>
      </c>
      <c r="G1392" t="n">
        <v>73.13210296630859</v>
      </c>
      <c r="H1392">
        <f>AVERAGE(D1193:D1392)</f>
        <v/>
      </c>
      <c r="I1392">
        <f>AVERAGE(E1193:E1392)</f>
        <v/>
      </c>
      <c r="J1392">
        <f>AVERAGE(F1193:F1392)</f>
        <v/>
      </c>
    </row>
    <row r="1393">
      <c r="C1393" s="539" t="n">
        <v>41471</v>
      </c>
      <c r="D1393" t="n">
        <v>124.8899993896484</v>
      </c>
      <c r="E1393" t="n">
        <v>299.8399963378906</v>
      </c>
      <c r="F1393" t="n">
        <v>21.56719398498535</v>
      </c>
      <c r="G1393" t="n">
        <v>73.13210296630859</v>
      </c>
      <c r="H1393">
        <f>AVERAGE(D1194:D1393)</f>
        <v/>
      </c>
      <c r="I1393">
        <f>AVERAGE(E1194:E1393)</f>
        <v/>
      </c>
      <c r="J1393">
        <f>AVERAGE(F1194:F1393)</f>
        <v/>
      </c>
    </row>
    <row r="1394">
      <c r="C1394" s="539" t="n">
        <v>41472</v>
      </c>
      <c r="D1394" t="n">
        <v>123.3199996948242</v>
      </c>
      <c r="E1394" t="n">
        <v>302.3999938964844</v>
      </c>
      <c r="F1394" t="n">
        <v>21.50702476501465</v>
      </c>
      <c r="G1394" t="n">
        <v>73.13210296630859</v>
      </c>
      <c r="H1394">
        <f>AVERAGE(D1195:D1394)</f>
        <v/>
      </c>
      <c r="I1394">
        <f>AVERAGE(E1195:E1394)</f>
        <v/>
      </c>
      <c r="J1394">
        <f>AVERAGE(F1195:F1394)</f>
        <v/>
      </c>
    </row>
    <row r="1395">
      <c r="C1395" s="539" t="n">
        <v>41473</v>
      </c>
      <c r="D1395" t="n">
        <v>124.0100021362305</v>
      </c>
      <c r="E1395" t="n">
        <v>306.7200012207031</v>
      </c>
      <c r="F1395" t="n">
        <v>21.59298324584961</v>
      </c>
      <c r="G1395" t="n">
        <v>73.1480712890625</v>
      </c>
      <c r="H1395">
        <f>AVERAGE(D1196:D1395)</f>
        <v/>
      </c>
      <c r="I1395">
        <f>AVERAGE(E1196:E1395)</f>
        <v/>
      </c>
      <c r="J1395">
        <f>AVERAGE(F1196:F1395)</f>
        <v/>
      </c>
    </row>
    <row r="1396">
      <c r="C1396" s="539" t="n">
        <v>41474</v>
      </c>
      <c r="D1396" t="n">
        <v>125.1100006103516</v>
      </c>
      <c r="E1396" t="n">
        <v>307.6000061035156</v>
      </c>
      <c r="F1396" t="n">
        <v>21.54140663146973</v>
      </c>
      <c r="G1396" t="n">
        <v>73.1480712890625</v>
      </c>
      <c r="H1396">
        <f>AVERAGE(D1197:D1396)</f>
        <v/>
      </c>
      <c r="I1396">
        <f>AVERAGE(E1197:E1396)</f>
        <v/>
      </c>
      <c r="J1396">
        <f>AVERAGE(F1197:F1396)</f>
        <v/>
      </c>
    </row>
    <row r="1397">
      <c r="C1397" s="539" t="n">
        <v>41477</v>
      </c>
      <c r="D1397" t="n">
        <v>128.8399963378906</v>
      </c>
      <c r="E1397" t="n">
        <v>303.3599853515625</v>
      </c>
      <c r="F1397" t="n">
        <v>21.60157775878906</v>
      </c>
      <c r="G1397" t="n">
        <v>73.1480712890625</v>
      </c>
      <c r="H1397">
        <f>AVERAGE(D1198:D1397)</f>
        <v/>
      </c>
      <c r="I1397">
        <f>AVERAGE(E1198:E1397)</f>
        <v/>
      </c>
      <c r="J1397">
        <f>AVERAGE(F1198:F1397)</f>
        <v/>
      </c>
    </row>
    <row r="1398">
      <c r="C1398" s="539" t="n">
        <v>41478</v>
      </c>
      <c r="D1398" t="n">
        <v>129.7100067138672</v>
      </c>
      <c r="E1398" t="n">
        <v>304.7200012207031</v>
      </c>
      <c r="F1398" t="n">
        <v>21.48983001708984</v>
      </c>
      <c r="G1398" t="n">
        <v>73.1480712890625</v>
      </c>
      <c r="H1398">
        <f>AVERAGE(D1199:D1398)</f>
        <v/>
      </c>
      <c r="I1398">
        <f>AVERAGE(E1199:E1398)</f>
        <v/>
      </c>
      <c r="J1398">
        <f>AVERAGE(F1199:F1398)</f>
        <v/>
      </c>
    </row>
    <row r="1399">
      <c r="C1399" s="539" t="n">
        <v>41479</v>
      </c>
      <c r="D1399" t="n">
        <v>127.4800033569336</v>
      </c>
      <c r="E1399" t="n">
        <v>299.2000122070312</v>
      </c>
      <c r="F1399" t="n">
        <v>21.32650947570801</v>
      </c>
      <c r="G1399" t="n">
        <v>73.16401672363281</v>
      </c>
      <c r="H1399">
        <f>AVERAGE(D1200:D1399)</f>
        <v/>
      </c>
      <c r="I1399">
        <f>AVERAGE(E1200:E1399)</f>
        <v/>
      </c>
      <c r="J1399">
        <f>AVERAGE(F1200:F1399)</f>
        <v/>
      </c>
    </row>
    <row r="1400">
      <c r="C1400" s="539" t="n">
        <v>41480</v>
      </c>
      <c r="D1400" t="n">
        <v>128.6699981689453</v>
      </c>
      <c r="E1400" t="n">
        <v>300.6400146484375</v>
      </c>
      <c r="F1400" t="n">
        <v>21.28353118896484</v>
      </c>
      <c r="G1400" t="n">
        <v>73.13210296630859</v>
      </c>
      <c r="H1400">
        <f>AVERAGE(D1201:D1400)</f>
        <v/>
      </c>
      <c r="I1400">
        <f>AVERAGE(E1201:E1400)</f>
        <v/>
      </c>
      <c r="J1400">
        <f>AVERAGE(F1201:F1400)</f>
        <v/>
      </c>
    </row>
    <row r="1401">
      <c r="C1401" s="539" t="n">
        <v>41481</v>
      </c>
      <c r="D1401" t="n">
        <v>128.7799987792969</v>
      </c>
      <c r="E1401" t="n">
        <v>297.6799926757812</v>
      </c>
      <c r="F1401" t="n">
        <v>21.21476364135742</v>
      </c>
      <c r="G1401" t="n">
        <v>73.13210296630859</v>
      </c>
      <c r="H1401">
        <f>AVERAGE(D1202:D1401)</f>
        <v/>
      </c>
      <c r="I1401">
        <f>AVERAGE(E1202:E1401)</f>
        <v/>
      </c>
      <c r="J1401">
        <f>AVERAGE(F1202:F1401)</f>
        <v/>
      </c>
    </row>
    <row r="1402">
      <c r="C1402" s="539" t="n">
        <v>41484</v>
      </c>
      <c r="D1402" t="n">
        <v>128.4700012207031</v>
      </c>
      <c r="E1402" t="n">
        <v>297.0400085449219</v>
      </c>
      <c r="F1402" t="n">
        <v>21.16318702697754</v>
      </c>
      <c r="G1402" t="n">
        <v>73.1480712890625</v>
      </c>
      <c r="H1402">
        <f>AVERAGE(D1203:D1402)</f>
        <v/>
      </c>
      <c r="I1402">
        <f>AVERAGE(E1203:E1402)</f>
        <v/>
      </c>
      <c r="J1402">
        <f>AVERAGE(F1203:F1402)</f>
        <v/>
      </c>
    </row>
    <row r="1403">
      <c r="C1403" s="539" t="n">
        <v>41485</v>
      </c>
      <c r="D1403" t="n">
        <v>128.1199951171875</v>
      </c>
      <c r="E1403" t="n">
        <v>293.3599853515625</v>
      </c>
      <c r="F1403" t="n">
        <v>21.1288013458252</v>
      </c>
      <c r="G1403" t="n">
        <v>73.13210296630859</v>
      </c>
      <c r="H1403">
        <f>AVERAGE(D1204:D1403)</f>
        <v/>
      </c>
      <c r="I1403">
        <f>AVERAGE(E1204:E1403)</f>
        <v/>
      </c>
      <c r="J1403">
        <f>AVERAGE(F1204:F1403)</f>
        <v/>
      </c>
    </row>
    <row r="1404">
      <c r="C1404" s="539" t="n">
        <v>41486</v>
      </c>
      <c r="D1404" t="n">
        <v>127.9599990844727</v>
      </c>
      <c r="E1404" t="n">
        <v>298.8800048828125</v>
      </c>
      <c r="F1404" t="n">
        <v>21.17177963256836</v>
      </c>
      <c r="G1404" t="n">
        <v>73.1480712890625</v>
      </c>
      <c r="H1404">
        <f>AVERAGE(D1205:D1404)</f>
        <v/>
      </c>
      <c r="I1404">
        <f>AVERAGE(E1205:E1404)</f>
        <v/>
      </c>
      <c r="J1404">
        <f>AVERAGE(F1205:F1404)</f>
        <v/>
      </c>
    </row>
    <row r="1405">
      <c r="C1405" s="539" t="n">
        <v>41487</v>
      </c>
      <c r="D1405" t="n">
        <v>126.6100006103516</v>
      </c>
      <c r="E1405" t="n">
        <v>306.1600036621094</v>
      </c>
      <c r="F1405" t="n">
        <v>20.98266983032227</v>
      </c>
      <c r="G1405" t="n">
        <v>73.13210296630859</v>
      </c>
      <c r="H1405">
        <f>AVERAGE(D1206:D1405)</f>
        <v/>
      </c>
      <c r="I1405">
        <f>AVERAGE(E1206:E1405)</f>
        <v/>
      </c>
      <c r="J1405">
        <f>AVERAGE(F1206:F1405)</f>
        <v/>
      </c>
    </row>
    <row r="1406">
      <c r="C1406" s="539" t="n">
        <v>41488</v>
      </c>
      <c r="D1406" t="n">
        <v>126.3600006103516</v>
      </c>
      <c r="E1406" t="n">
        <v>303.5199890136719</v>
      </c>
      <c r="F1406" t="n">
        <v>20.94828796386719</v>
      </c>
      <c r="G1406" t="n">
        <v>73.1480712890625</v>
      </c>
      <c r="H1406">
        <f>AVERAGE(D1207:D1406)</f>
        <v/>
      </c>
      <c r="I1406">
        <f>AVERAGE(E1207:E1406)</f>
        <v/>
      </c>
      <c r="J1406">
        <f>AVERAGE(F1207:F1406)</f>
        <v/>
      </c>
    </row>
    <row r="1407">
      <c r="C1407" s="539" t="n">
        <v>41491</v>
      </c>
      <c r="D1407" t="n">
        <v>125.6999969482422</v>
      </c>
      <c r="E1407" t="n">
        <v>302.6400146484375</v>
      </c>
      <c r="F1407" t="n">
        <v>21.02565002441406</v>
      </c>
      <c r="G1407" t="n">
        <v>73.1480712890625</v>
      </c>
      <c r="H1407">
        <f>AVERAGE(D1208:D1407)</f>
        <v/>
      </c>
      <c r="I1407">
        <f>AVERAGE(E1208:E1407)</f>
        <v/>
      </c>
      <c r="J1407">
        <f>AVERAGE(F1208:F1407)</f>
        <v/>
      </c>
    </row>
    <row r="1408">
      <c r="C1408" s="539" t="n">
        <v>41492</v>
      </c>
      <c r="D1408" t="n">
        <v>123.9700012207031</v>
      </c>
      <c r="E1408" t="n">
        <v>299.6799926757812</v>
      </c>
      <c r="F1408" t="n">
        <v>21.03424644470215</v>
      </c>
      <c r="G1408" t="n">
        <v>73.1480712890625</v>
      </c>
      <c r="H1408">
        <f>AVERAGE(D1209:D1408)</f>
        <v/>
      </c>
      <c r="I1408">
        <f>AVERAGE(E1209:E1408)</f>
        <v/>
      </c>
      <c r="J1408">
        <f>AVERAGE(F1209:F1408)</f>
        <v/>
      </c>
    </row>
    <row r="1409">
      <c r="C1409" s="539" t="n">
        <v>41493</v>
      </c>
      <c r="D1409" t="n">
        <v>124.1500015258789</v>
      </c>
      <c r="E1409" t="n">
        <v>296.0799865722656</v>
      </c>
      <c r="F1409" t="n">
        <v>21.16318702697754</v>
      </c>
      <c r="G1409" t="n">
        <v>73.13210296630859</v>
      </c>
      <c r="H1409">
        <f>AVERAGE(D1210:D1409)</f>
        <v/>
      </c>
      <c r="I1409">
        <f>AVERAGE(E1210:E1409)</f>
        <v/>
      </c>
      <c r="J1409">
        <f>AVERAGE(F1210:F1409)</f>
        <v/>
      </c>
    </row>
    <row r="1410">
      <c r="C1410" s="539" t="n">
        <v>41494</v>
      </c>
      <c r="D1410" t="n">
        <v>126.8600006103516</v>
      </c>
      <c r="E1410" t="n">
        <v>294.7200012207031</v>
      </c>
      <c r="F1410" t="n">
        <v>21.31791114807129</v>
      </c>
      <c r="G1410" t="n">
        <v>73.13210296630859</v>
      </c>
      <c r="H1410">
        <f>AVERAGE(D1211:D1410)</f>
        <v/>
      </c>
      <c r="I1410">
        <f>AVERAGE(E1211:E1410)</f>
        <v/>
      </c>
      <c r="J1410">
        <f>AVERAGE(F1211:F1410)</f>
        <v/>
      </c>
    </row>
    <row r="1411">
      <c r="C1411" s="539" t="n">
        <v>41495</v>
      </c>
      <c r="D1411" t="n">
        <v>126.8600006103516</v>
      </c>
      <c r="E1411" t="n">
        <v>300.7200012207031</v>
      </c>
      <c r="F1411" t="n">
        <v>21.30931854248047</v>
      </c>
      <c r="G1411" t="n">
        <v>73.1480712890625</v>
      </c>
      <c r="H1411">
        <f>AVERAGE(D1212:D1411)</f>
        <v/>
      </c>
      <c r="I1411">
        <f>AVERAGE(E1212:E1411)</f>
        <v/>
      </c>
      <c r="J1411">
        <f>AVERAGE(F1212:F1411)</f>
        <v/>
      </c>
    </row>
    <row r="1412">
      <c r="C1412" s="539" t="n">
        <v>41498</v>
      </c>
      <c r="D1412" t="n">
        <v>129.1300048828125</v>
      </c>
      <c r="E1412" t="n">
        <v>302.0799865722656</v>
      </c>
      <c r="F1412" t="n">
        <v>21.60157775878906</v>
      </c>
      <c r="G1412" t="n">
        <v>73.1480712890625</v>
      </c>
      <c r="H1412">
        <f>AVERAGE(D1213:D1412)</f>
        <v/>
      </c>
      <c r="I1412">
        <f>AVERAGE(E1213:E1412)</f>
        <v/>
      </c>
      <c r="J1412">
        <f>AVERAGE(F1213:F1412)</f>
        <v/>
      </c>
    </row>
    <row r="1413">
      <c r="C1413" s="539" t="n">
        <v>41499</v>
      </c>
      <c r="D1413" t="n">
        <v>127.7399978637695</v>
      </c>
      <c r="E1413" t="n">
        <v>303.2000122070312</v>
      </c>
      <c r="F1413" t="n">
        <v>21.44685363769531</v>
      </c>
      <c r="G1413" t="n">
        <v>73.1480712890625</v>
      </c>
      <c r="H1413">
        <f>AVERAGE(D1214:D1413)</f>
        <v/>
      </c>
      <c r="I1413">
        <f>AVERAGE(E1214:E1413)</f>
        <v/>
      </c>
      <c r="J1413">
        <f>AVERAGE(F1214:F1413)</f>
        <v/>
      </c>
    </row>
    <row r="1414">
      <c r="C1414" s="539" t="n">
        <v>41500</v>
      </c>
      <c r="D1414" t="n">
        <v>129</v>
      </c>
      <c r="E1414" t="n">
        <v>304.7200012207031</v>
      </c>
      <c r="F1414" t="n">
        <v>21.61877059936523</v>
      </c>
      <c r="G1414" t="n">
        <v>73.1480712890625</v>
      </c>
      <c r="H1414">
        <f>AVERAGE(D1215:D1414)</f>
        <v/>
      </c>
      <c r="I1414">
        <f>AVERAGE(E1215:E1414)</f>
        <v/>
      </c>
      <c r="J1414">
        <f>AVERAGE(F1215:F1414)</f>
        <v/>
      </c>
    </row>
    <row r="1415">
      <c r="C1415" s="539" t="n">
        <v>41501</v>
      </c>
      <c r="D1415" t="n">
        <v>131.6900024414062</v>
      </c>
      <c r="E1415" t="n">
        <v>305.9200134277344</v>
      </c>
      <c r="F1415" t="n">
        <v>21.74770927429199</v>
      </c>
      <c r="G1415" t="n">
        <v>73.1480712890625</v>
      </c>
      <c r="H1415">
        <f>AVERAGE(D1216:D1415)</f>
        <v/>
      </c>
      <c r="I1415">
        <f>AVERAGE(E1216:E1415)</f>
        <v/>
      </c>
      <c r="J1415">
        <f>AVERAGE(F1216:F1415)</f>
        <v/>
      </c>
    </row>
    <row r="1416">
      <c r="C1416" s="539" t="n">
        <v>41502</v>
      </c>
      <c r="D1416" t="n">
        <v>132.5800018310547</v>
      </c>
      <c r="E1416" t="n">
        <v>307.2000122070312</v>
      </c>
      <c r="F1416" t="n">
        <v>21.61017227172852</v>
      </c>
      <c r="G1416" t="n">
        <v>73.1480712890625</v>
      </c>
      <c r="H1416">
        <f>AVERAGE(D1217:D1416)</f>
        <v/>
      </c>
      <c r="I1416">
        <f>AVERAGE(E1217:E1416)</f>
        <v/>
      </c>
      <c r="J1416">
        <f>AVERAGE(F1217:F1416)</f>
        <v/>
      </c>
    </row>
    <row r="1417">
      <c r="C1417" s="539" t="n">
        <v>41505</v>
      </c>
      <c r="D1417" t="n">
        <v>132.0099945068359</v>
      </c>
      <c r="E1417" t="n">
        <v>305.3599853515625</v>
      </c>
      <c r="F1417" t="n">
        <v>21.79068946838379</v>
      </c>
      <c r="G1417" t="n">
        <v>73.13210296630859</v>
      </c>
      <c r="H1417">
        <f>AVERAGE(D1218:D1417)</f>
        <v/>
      </c>
      <c r="I1417">
        <f>AVERAGE(E1218:E1417)</f>
        <v/>
      </c>
      <c r="J1417">
        <f>AVERAGE(F1218:F1417)</f>
        <v/>
      </c>
    </row>
    <row r="1418">
      <c r="C1418" s="539" t="n">
        <v>41506</v>
      </c>
      <c r="D1418" t="n">
        <v>132.4499969482422</v>
      </c>
      <c r="E1418" t="n">
        <v>300.1600036621094</v>
      </c>
      <c r="F1418" t="n">
        <v>21.58438873291016</v>
      </c>
      <c r="G1418" t="n">
        <v>73.1480712890625</v>
      </c>
      <c r="H1418">
        <f>AVERAGE(D1219:D1418)</f>
        <v/>
      </c>
      <c r="I1418">
        <f>AVERAGE(E1219:E1418)</f>
        <v/>
      </c>
      <c r="J1418">
        <f>AVERAGE(F1219:F1418)</f>
        <v/>
      </c>
    </row>
    <row r="1419">
      <c r="C1419" s="539" t="n">
        <v>41507</v>
      </c>
      <c r="D1419" t="n">
        <v>132.0700073242188</v>
      </c>
      <c r="E1419" t="n">
        <v>297.3599853515625</v>
      </c>
      <c r="F1419" t="n">
        <v>21.4726390838623</v>
      </c>
      <c r="G1419" t="n">
        <v>73.1480712890625</v>
      </c>
      <c r="H1419">
        <f>AVERAGE(D1220:D1419)</f>
        <v/>
      </c>
      <c r="I1419">
        <f>AVERAGE(E1220:E1419)</f>
        <v/>
      </c>
      <c r="J1419">
        <f>AVERAGE(F1220:F1419)</f>
        <v/>
      </c>
    </row>
    <row r="1420">
      <c r="C1420" s="539" t="n">
        <v>41508</v>
      </c>
      <c r="D1420" t="n">
        <v>132.8099975585938</v>
      </c>
      <c r="E1420" t="n">
        <v>300.3200073242188</v>
      </c>
      <c r="F1420" t="n">
        <v>21.24054718017578</v>
      </c>
      <c r="G1420" t="n">
        <v>73.13210296630859</v>
      </c>
      <c r="H1420">
        <f>AVERAGE(D1221:D1420)</f>
        <v/>
      </c>
      <c r="I1420">
        <f>AVERAGE(E1221:E1420)</f>
        <v/>
      </c>
      <c r="J1420">
        <f>AVERAGE(F1221:F1420)</f>
        <v/>
      </c>
    </row>
    <row r="1421">
      <c r="C1421" s="539" t="n">
        <v>41509</v>
      </c>
      <c r="D1421" t="n">
        <v>134.8999938964844</v>
      </c>
      <c r="E1421" t="n">
        <v>303.6000061035156</v>
      </c>
      <c r="F1421" t="n">
        <v>21.42106246948242</v>
      </c>
      <c r="G1421" t="n">
        <v>73.1480712890625</v>
      </c>
      <c r="H1421">
        <f>AVERAGE(D1222:D1421)</f>
        <v/>
      </c>
      <c r="I1421">
        <f>AVERAGE(E1222:E1421)</f>
        <v/>
      </c>
      <c r="J1421">
        <f>AVERAGE(F1222:F1421)</f>
        <v/>
      </c>
    </row>
    <row r="1422">
      <c r="C1422" s="539" t="n">
        <v>41512</v>
      </c>
      <c r="D1422" t="n">
        <v>135.4499969482422</v>
      </c>
      <c r="E1422" t="n">
        <v>303.6799926757812</v>
      </c>
      <c r="F1422" t="n">
        <v>21.84226608276367</v>
      </c>
      <c r="G1422" t="n">
        <v>73.13210296630859</v>
      </c>
      <c r="H1422">
        <f>AVERAGE(D1223:D1422)</f>
        <v/>
      </c>
      <c r="I1422">
        <f>AVERAGE(E1223:E1422)</f>
        <v/>
      </c>
      <c r="J1422">
        <f>AVERAGE(F1223:F1422)</f>
        <v/>
      </c>
    </row>
    <row r="1423">
      <c r="C1423" s="539" t="n">
        <v>41513</v>
      </c>
      <c r="D1423" t="n">
        <v>136.75</v>
      </c>
      <c r="E1423" t="n">
        <v>310.9599914550781</v>
      </c>
      <c r="F1423" t="n">
        <v>21.65315628051758</v>
      </c>
      <c r="G1423" t="n">
        <v>73.13210296630859</v>
      </c>
      <c r="H1423">
        <f>AVERAGE(D1224:D1423)</f>
        <v/>
      </c>
      <c r="I1423">
        <f>AVERAGE(E1224:E1423)</f>
        <v/>
      </c>
      <c r="J1423">
        <f>AVERAGE(F1224:F1423)</f>
        <v/>
      </c>
    </row>
    <row r="1424">
      <c r="C1424" s="539" t="n">
        <v>41514</v>
      </c>
      <c r="D1424" t="n">
        <v>136.7100067138672</v>
      </c>
      <c r="E1424" t="n">
        <v>312.6400146484375</v>
      </c>
      <c r="F1424" t="n">
        <v>21.71332740783691</v>
      </c>
      <c r="G1424" t="n">
        <v>73.13210296630859</v>
      </c>
      <c r="H1424">
        <f>AVERAGE(D1225:D1424)</f>
        <v/>
      </c>
      <c r="I1424">
        <f>AVERAGE(E1225:E1424)</f>
        <v/>
      </c>
      <c r="J1424">
        <f>AVERAGE(F1225:F1424)</f>
        <v/>
      </c>
    </row>
    <row r="1425">
      <c r="C1425" s="539" t="n">
        <v>41515</v>
      </c>
      <c r="D1425" t="n">
        <v>135.8699951171875</v>
      </c>
      <c r="E1425" t="n">
        <v>308.6400146484375</v>
      </c>
      <c r="F1425" t="n">
        <v>21.60157775878906</v>
      </c>
      <c r="G1425" t="n">
        <v>73.1480712890625</v>
      </c>
      <c r="H1425">
        <f>AVERAGE(D1226:D1425)</f>
        <v/>
      </c>
      <c r="I1425">
        <f>AVERAGE(E1226:E1425)</f>
        <v/>
      </c>
      <c r="J1425">
        <f>AVERAGE(F1226:F1425)</f>
        <v/>
      </c>
    </row>
    <row r="1426">
      <c r="C1426" s="539" t="n">
        <v>41516</v>
      </c>
      <c r="D1426" t="n">
        <v>134.6199951171875</v>
      </c>
      <c r="E1426" t="n">
        <v>307.8399963378906</v>
      </c>
      <c r="F1426" t="n">
        <v>21.5585994720459</v>
      </c>
      <c r="G1426" t="n">
        <v>73.1480712890625</v>
      </c>
      <c r="H1426">
        <f>AVERAGE(D1227:D1426)</f>
        <v/>
      </c>
      <c r="I1426">
        <f>AVERAGE(E1227:E1426)</f>
        <v/>
      </c>
      <c r="J1426">
        <f>AVERAGE(F1227:F1426)</f>
        <v/>
      </c>
    </row>
    <row r="1427">
      <c r="C1427" s="539" t="n">
        <v>41520</v>
      </c>
      <c r="D1427" t="n">
        <v>136.4199981689453</v>
      </c>
      <c r="E1427" t="n">
        <v>310.0799865722656</v>
      </c>
      <c r="F1427" t="n">
        <v>21.59298324584961</v>
      </c>
      <c r="G1427" t="n">
        <v>73.1480712890625</v>
      </c>
      <c r="H1427">
        <f>AVERAGE(D1228:D1427)</f>
        <v/>
      </c>
      <c r="I1427">
        <f>AVERAGE(E1228:E1427)</f>
        <v/>
      </c>
      <c r="J1427">
        <f>AVERAGE(F1228:F1427)</f>
        <v/>
      </c>
    </row>
    <row r="1428">
      <c r="C1428" s="539" t="n">
        <v>41521</v>
      </c>
      <c r="D1428" t="n">
        <v>134.6600036621094</v>
      </c>
      <c r="E1428" t="n">
        <v>306.7200012207031</v>
      </c>
      <c r="F1428" t="n">
        <v>21.5585994720459</v>
      </c>
      <c r="G1428" t="n">
        <v>73.1480712890625</v>
      </c>
      <c r="H1428">
        <f>AVERAGE(D1229:D1428)</f>
        <v/>
      </c>
      <c r="I1428">
        <f>AVERAGE(E1229:E1428)</f>
        <v/>
      </c>
      <c r="J1428">
        <f>AVERAGE(F1229:F1428)</f>
        <v/>
      </c>
    </row>
    <row r="1429">
      <c r="C1429" s="539" t="n">
        <v>41522</v>
      </c>
      <c r="D1429" t="n">
        <v>132.1999969482422</v>
      </c>
      <c r="E1429" t="n">
        <v>309.5199890136719</v>
      </c>
      <c r="F1429" t="n">
        <v>21.63596153259277</v>
      </c>
      <c r="G1429" t="n">
        <v>73.1480712890625</v>
      </c>
      <c r="H1429">
        <f>AVERAGE(D1230:D1429)</f>
        <v/>
      </c>
      <c r="I1429">
        <f>AVERAGE(E1230:E1429)</f>
        <v/>
      </c>
      <c r="J1429">
        <f>AVERAGE(F1230:F1429)</f>
        <v/>
      </c>
    </row>
    <row r="1430">
      <c r="C1430" s="539" t="n">
        <v>41523</v>
      </c>
      <c r="D1430" t="n">
        <v>134.1499938964844</v>
      </c>
      <c r="E1430" t="n">
        <v>314.8800048828125</v>
      </c>
      <c r="F1430" t="n">
        <v>21.73911285400391</v>
      </c>
      <c r="G1430" t="n">
        <v>73.1480712890625</v>
      </c>
      <c r="H1430">
        <f>AVERAGE(D1231:D1430)</f>
        <v/>
      </c>
      <c r="I1430">
        <f>AVERAGE(E1231:E1430)</f>
        <v/>
      </c>
      <c r="J1430">
        <f>AVERAGE(F1231:F1430)</f>
        <v/>
      </c>
    </row>
    <row r="1431">
      <c r="C1431" s="539" t="n">
        <v>41526</v>
      </c>
      <c r="D1431" t="n">
        <v>133.9100036621094</v>
      </c>
      <c r="E1431" t="n">
        <v>311.5199890136719</v>
      </c>
      <c r="F1431" t="n">
        <v>21.72192001342773</v>
      </c>
      <c r="G1431" t="n">
        <v>73.11611175537109</v>
      </c>
      <c r="H1431">
        <f>AVERAGE(D1232:D1431)</f>
        <v/>
      </c>
      <c r="I1431">
        <f>AVERAGE(E1232:E1431)</f>
        <v/>
      </c>
      <c r="J1431">
        <f>AVERAGE(F1232:F1431)</f>
        <v/>
      </c>
    </row>
    <row r="1432">
      <c r="C1432" s="539" t="n">
        <v>41527</v>
      </c>
      <c r="D1432" t="n">
        <v>131.7400054931641</v>
      </c>
      <c r="E1432" t="n">
        <v>306.7200012207031</v>
      </c>
      <c r="F1432" t="n">
        <v>21.82507133483887</v>
      </c>
      <c r="G1432" t="n">
        <v>73.13210296630859</v>
      </c>
      <c r="H1432">
        <f>AVERAGE(D1233:D1432)</f>
        <v/>
      </c>
      <c r="I1432">
        <f>AVERAGE(E1233:E1432)</f>
        <v/>
      </c>
      <c r="J1432">
        <f>AVERAGE(F1233:F1432)</f>
        <v/>
      </c>
    </row>
    <row r="1433">
      <c r="C1433" s="539" t="n">
        <v>41528</v>
      </c>
      <c r="D1433" t="n">
        <v>131.6999969482422</v>
      </c>
      <c r="E1433" t="n">
        <v>307.8399963378906</v>
      </c>
      <c r="F1433" t="n">
        <v>21.8680534362793</v>
      </c>
      <c r="G1433" t="n">
        <v>73.13210296630859</v>
      </c>
      <c r="H1433">
        <f>AVERAGE(D1234:D1433)</f>
        <v/>
      </c>
      <c r="I1433">
        <f>AVERAGE(E1234:E1433)</f>
        <v/>
      </c>
      <c r="J1433">
        <f>AVERAGE(F1234:F1433)</f>
        <v/>
      </c>
    </row>
    <row r="1434">
      <c r="C1434" s="539" t="n">
        <v>41529</v>
      </c>
      <c r="D1434" t="n">
        <v>127.6699981689453</v>
      </c>
      <c r="E1434" t="n">
        <v>310.9599914550781</v>
      </c>
      <c r="F1434" t="n">
        <v>22.0313720703125</v>
      </c>
      <c r="G1434" t="n">
        <v>73.13210296630859</v>
      </c>
      <c r="H1434">
        <f>AVERAGE(D1235:D1434)</f>
        <v/>
      </c>
      <c r="I1434">
        <f>AVERAGE(E1235:E1434)</f>
        <v/>
      </c>
      <c r="J1434">
        <f>AVERAGE(F1235:F1434)</f>
        <v/>
      </c>
    </row>
    <row r="1435">
      <c r="C1435" s="539" t="n">
        <v>41530</v>
      </c>
      <c r="D1435" t="n">
        <v>127.8199996948242</v>
      </c>
      <c r="E1435" t="n">
        <v>310.7999877929688</v>
      </c>
      <c r="F1435" t="n">
        <v>21.91103172302246</v>
      </c>
      <c r="G1435" t="n">
        <v>73.1480712890625</v>
      </c>
      <c r="H1435">
        <f>AVERAGE(D1236:D1435)</f>
        <v/>
      </c>
      <c r="I1435">
        <f>AVERAGE(E1236:E1435)</f>
        <v/>
      </c>
      <c r="J1435">
        <f>AVERAGE(F1236:F1435)</f>
        <v/>
      </c>
    </row>
    <row r="1436">
      <c r="C1436" s="539" t="n">
        <v>41533</v>
      </c>
      <c r="D1436" t="n">
        <v>126.4499969482422</v>
      </c>
      <c r="E1436" t="n">
        <v>304.8800048828125</v>
      </c>
      <c r="F1436" t="n">
        <v>21.7820930480957</v>
      </c>
      <c r="G1436" t="n">
        <v>73.13210296630859</v>
      </c>
      <c r="H1436">
        <f>AVERAGE(D1237:D1436)</f>
        <v/>
      </c>
      <c r="I1436">
        <f>AVERAGE(E1237:E1436)</f>
        <v/>
      </c>
      <c r="J1436">
        <f>AVERAGE(F1237:F1436)</f>
        <v/>
      </c>
    </row>
    <row r="1437">
      <c r="C1437" s="539" t="n">
        <v>41534</v>
      </c>
      <c r="D1437" t="n">
        <v>126.5</v>
      </c>
      <c r="E1437" t="n">
        <v>301.9200134277344</v>
      </c>
      <c r="F1437" t="n">
        <v>21.59298324584961</v>
      </c>
      <c r="G1437" t="n">
        <v>73.13210296630859</v>
      </c>
      <c r="H1437">
        <f>AVERAGE(D1238:D1437)</f>
        <v/>
      </c>
      <c r="I1437">
        <f>AVERAGE(E1238:E1437)</f>
        <v/>
      </c>
      <c r="J1437">
        <f>AVERAGE(F1238:F1437)</f>
        <v/>
      </c>
    </row>
    <row r="1438">
      <c r="C1438" s="539" t="n">
        <v>41535</v>
      </c>
      <c r="D1438" t="n">
        <v>132.0099945068359</v>
      </c>
      <c r="E1438" t="n">
        <v>309.4400024414062</v>
      </c>
      <c r="F1438" t="n">
        <v>21.79068946838379</v>
      </c>
      <c r="G1438" t="n">
        <v>73.1480712890625</v>
      </c>
      <c r="H1438">
        <f>AVERAGE(D1239:D1438)</f>
        <v/>
      </c>
      <c r="I1438">
        <f>AVERAGE(E1239:E1438)</f>
        <v/>
      </c>
      <c r="J1438">
        <f>AVERAGE(F1239:F1438)</f>
        <v/>
      </c>
    </row>
    <row r="1439">
      <c r="C1439" s="539" t="n">
        <v>41536</v>
      </c>
      <c r="D1439" t="n">
        <v>131.75</v>
      </c>
      <c r="E1439" t="n">
        <v>304.6400146484375</v>
      </c>
      <c r="F1439" t="n">
        <v>21.79928588867188</v>
      </c>
      <c r="G1439" t="n">
        <v>73.1480712890625</v>
      </c>
      <c r="H1439">
        <f>AVERAGE(D1240:D1439)</f>
        <v/>
      </c>
      <c r="I1439">
        <f>AVERAGE(E1240:E1439)</f>
        <v/>
      </c>
      <c r="J1439">
        <f>AVERAGE(F1240:F1439)</f>
        <v/>
      </c>
    </row>
    <row r="1440">
      <c r="C1440" s="539" t="n">
        <v>41537</v>
      </c>
      <c r="D1440" t="n">
        <v>127.9599990844727</v>
      </c>
      <c r="E1440" t="n">
        <v>302.1600036621094</v>
      </c>
      <c r="F1440" t="n">
        <v>21.59298324584961</v>
      </c>
      <c r="G1440" t="n">
        <v>73.13210296630859</v>
      </c>
      <c r="H1440">
        <f>AVERAGE(D1241:D1440)</f>
        <v/>
      </c>
      <c r="I1440">
        <f>AVERAGE(E1241:E1440)</f>
        <v/>
      </c>
      <c r="J1440">
        <f>AVERAGE(F1241:F1440)</f>
        <v/>
      </c>
    </row>
    <row r="1441">
      <c r="C1441" s="539" t="n">
        <v>41540</v>
      </c>
      <c r="D1441" t="n">
        <v>127.5500030517578</v>
      </c>
      <c r="E1441" t="n">
        <v>298.1600036621094</v>
      </c>
      <c r="F1441" t="n">
        <v>21.65315628051758</v>
      </c>
      <c r="G1441" t="n">
        <v>73.13210296630859</v>
      </c>
      <c r="H1441">
        <f>AVERAGE(D1242:D1441)</f>
        <v/>
      </c>
      <c r="I1441">
        <f>AVERAGE(E1242:E1441)</f>
        <v/>
      </c>
      <c r="J1441">
        <f>AVERAGE(F1242:F1441)</f>
        <v/>
      </c>
    </row>
    <row r="1442">
      <c r="C1442" s="539" t="n">
        <v>41541</v>
      </c>
      <c r="D1442" t="n">
        <v>127.6600036621094</v>
      </c>
      <c r="E1442" t="n">
        <v>297.760009765625</v>
      </c>
      <c r="F1442" t="n">
        <v>21.76490211486816</v>
      </c>
      <c r="G1442" t="n">
        <v>73.13210296630859</v>
      </c>
      <c r="H1442">
        <f>AVERAGE(D1243:D1442)</f>
        <v/>
      </c>
      <c r="I1442">
        <f>AVERAGE(E1243:E1442)</f>
        <v/>
      </c>
      <c r="J1442">
        <f>AVERAGE(F1243:F1442)</f>
        <v/>
      </c>
    </row>
    <row r="1443">
      <c r="C1443" s="539" t="n">
        <v>41542</v>
      </c>
      <c r="D1443" t="n">
        <v>128.7899932861328</v>
      </c>
      <c r="E1443" t="n">
        <v>295.0400085449219</v>
      </c>
      <c r="F1443" t="n">
        <v>21.83366966247559</v>
      </c>
      <c r="G1443" t="n">
        <v>73.13210296630859</v>
      </c>
      <c r="H1443">
        <f>AVERAGE(D1244:D1443)</f>
        <v/>
      </c>
      <c r="I1443">
        <f>AVERAGE(E1244:E1443)</f>
        <v/>
      </c>
      <c r="J1443">
        <f>AVERAGE(F1244:F1443)</f>
        <v/>
      </c>
    </row>
    <row r="1444">
      <c r="C1444" s="539" t="n">
        <v>41543</v>
      </c>
      <c r="D1444" t="n">
        <v>127.7900009155273</v>
      </c>
      <c r="E1444" t="n">
        <v>296.6400146484375</v>
      </c>
      <c r="F1444" t="n">
        <v>21.91103172302246</v>
      </c>
      <c r="G1444" t="n">
        <v>73.13210296630859</v>
      </c>
      <c r="H1444">
        <f>AVERAGE(D1245:D1444)</f>
        <v/>
      </c>
      <c r="I1444">
        <f>AVERAGE(E1245:E1444)</f>
        <v/>
      </c>
      <c r="J1444">
        <f>AVERAGE(F1245:F1444)</f>
        <v/>
      </c>
    </row>
    <row r="1445">
      <c r="C1445" s="539" t="n">
        <v>41544</v>
      </c>
      <c r="D1445" t="n">
        <v>128.9700012207031</v>
      </c>
      <c r="E1445" t="n">
        <v>295.6799926757812</v>
      </c>
      <c r="F1445" t="n">
        <v>21.8680534362793</v>
      </c>
      <c r="G1445" t="n">
        <v>73.13210296630859</v>
      </c>
      <c r="H1445">
        <f>AVERAGE(D1246:D1445)</f>
        <v/>
      </c>
      <c r="I1445">
        <f>AVERAGE(E1246:E1445)</f>
        <v/>
      </c>
      <c r="J1445">
        <f>AVERAGE(F1246:F1445)</f>
        <v/>
      </c>
    </row>
    <row r="1446">
      <c r="C1446" s="539" t="n">
        <v>41547</v>
      </c>
      <c r="D1446" t="n">
        <v>128.1799926757812</v>
      </c>
      <c r="E1446" t="n">
        <v>294.7999877929688</v>
      </c>
      <c r="F1446" t="n">
        <v>21.73911285400391</v>
      </c>
      <c r="G1446" t="n">
        <v>73.13210296630859</v>
      </c>
      <c r="H1446">
        <f>AVERAGE(D1247:D1446)</f>
        <v/>
      </c>
      <c r="I1446">
        <f>AVERAGE(E1247:E1446)</f>
        <v/>
      </c>
      <c r="J1446">
        <f>AVERAGE(F1247:F1446)</f>
        <v/>
      </c>
    </row>
    <row r="1447">
      <c r="C1447" s="539" t="n">
        <v>41548</v>
      </c>
      <c r="D1447" t="n">
        <v>124.5899963378906</v>
      </c>
      <c r="E1447" t="n">
        <v>293.4400024414062</v>
      </c>
      <c r="F1447" t="n">
        <v>21.69613456726074</v>
      </c>
      <c r="G1447" t="n">
        <v>73.1480712890625</v>
      </c>
      <c r="H1447">
        <f>AVERAGE(D1248:D1447)</f>
        <v/>
      </c>
      <c r="I1447">
        <f>AVERAGE(E1248:E1447)</f>
        <v/>
      </c>
      <c r="J1447">
        <f>AVERAGE(F1248:F1447)</f>
        <v/>
      </c>
    </row>
    <row r="1448">
      <c r="C1448" s="539" t="n">
        <v>41549</v>
      </c>
      <c r="D1448" t="n">
        <v>127.0599975585938</v>
      </c>
      <c r="E1448" t="n">
        <v>299.3599853515625</v>
      </c>
      <c r="F1448" t="n">
        <v>21.75630760192871</v>
      </c>
      <c r="G1448" t="n">
        <v>73.1480712890625</v>
      </c>
      <c r="H1448">
        <f>AVERAGE(D1249:D1448)</f>
        <v/>
      </c>
      <c r="I1448">
        <f>AVERAGE(E1249:E1448)</f>
        <v/>
      </c>
      <c r="J1448">
        <f>AVERAGE(F1249:F1448)</f>
        <v/>
      </c>
    </row>
    <row r="1449">
      <c r="C1449" s="539" t="n">
        <v>41550</v>
      </c>
      <c r="D1449" t="n">
        <v>127.1800003051758</v>
      </c>
      <c r="E1449" t="n">
        <v>297.1199951171875</v>
      </c>
      <c r="F1449" t="n">
        <v>21.77349662780762</v>
      </c>
      <c r="G1449" t="n">
        <v>73.1480712890625</v>
      </c>
      <c r="H1449">
        <f>AVERAGE(D1250:D1449)</f>
        <v/>
      </c>
      <c r="I1449">
        <f>AVERAGE(E1250:E1449)</f>
        <v/>
      </c>
      <c r="J1449">
        <f>AVERAGE(F1250:F1449)</f>
        <v/>
      </c>
    </row>
    <row r="1450">
      <c r="C1450" s="539" t="n">
        <v>41551</v>
      </c>
      <c r="D1450" t="n">
        <v>126.5299987792969</v>
      </c>
      <c r="E1450" t="n">
        <v>298.4800109863281</v>
      </c>
      <c r="F1450" t="n">
        <v>21.90243721008301</v>
      </c>
      <c r="G1450" t="n">
        <v>73.1480712890625</v>
      </c>
      <c r="H1450">
        <f>AVERAGE(D1251:D1450)</f>
        <v/>
      </c>
      <c r="I1450">
        <f>AVERAGE(E1251:E1450)</f>
        <v/>
      </c>
      <c r="J1450">
        <f>AVERAGE(F1251:F1450)</f>
        <v/>
      </c>
    </row>
    <row r="1451">
      <c r="C1451" s="539" t="n">
        <v>41554</v>
      </c>
      <c r="D1451" t="n">
        <v>127.6399993896484</v>
      </c>
      <c r="E1451" t="n">
        <v>297.1199951171875</v>
      </c>
      <c r="F1451" t="n">
        <v>22.06575965881348</v>
      </c>
      <c r="G1451" t="n">
        <v>73.1480712890625</v>
      </c>
      <c r="H1451">
        <f>AVERAGE(D1252:D1451)</f>
        <v/>
      </c>
      <c r="I1451">
        <f>AVERAGE(E1252:E1451)</f>
        <v/>
      </c>
      <c r="J1451">
        <f>AVERAGE(F1252:F1451)</f>
        <v/>
      </c>
    </row>
    <row r="1452">
      <c r="C1452" s="539" t="n">
        <v>41555</v>
      </c>
      <c r="D1452" t="n">
        <v>127.4000015258789</v>
      </c>
      <c r="E1452" t="n">
        <v>298.4800109863281</v>
      </c>
      <c r="F1452" t="n">
        <v>22.05716323852539</v>
      </c>
      <c r="G1452" t="n">
        <v>73.1480712890625</v>
      </c>
      <c r="H1452">
        <f>AVERAGE(D1253:D1452)</f>
        <v/>
      </c>
      <c r="I1452">
        <f>AVERAGE(E1253:E1452)</f>
        <v/>
      </c>
      <c r="J1452">
        <f>AVERAGE(F1253:F1452)</f>
        <v/>
      </c>
    </row>
    <row r="1453">
      <c r="C1453" s="539" t="n">
        <v>41556</v>
      </c>
      <c r="D1453" t="n">
        <v>126.1100006103516</v>
      </c>
      <c r="E1453" t="n">
        <v>292.3999938964844</v>
      </c>
      <c r="F1453" t="n">
        <v>21.97979927062988</v>
      </c>
      <c r="G1453" t="n">
        <v>73.13210296630859</v>
      </c>
      <c r="H1453">
        <f>AVERAGE(D1254:D1453)</f>
        <v/>
      </c>
      <c r="I1453">
        <f>AVERAGE(E1254:E1453)</f>
        <v/>
      </c>
      <c r="J1453">
        <f>AVERAGE(F1254:F1453)</f>
        <v/>
      </c>
    </row>
    <row r="1454">
      <c r="C1454" s="539" t="n">
        <v>41557</v>
      </c>
      <c r="D1454" t="n">
        <v>124.2699966430664</v>
      </c>
      <c r="E1454" t="n">
        <v>296.7999877929688</v>
      </c>
      <c r="F1454" t="n">
        <v>21.98839569091797</v>
      </c>
      <c r="G1454" t="n">
        <v>73.11611175537109</v>
      </c>
      <c r="H1454">
        <f>AVERAGE(D1255:D1454)</f>
        <v/>
      </c>
      <c r="I1454">
        <f>AVERAGE(E1255:E1454)</f>
        <v/>
      </c>
      <c r="J1454">
        <f>AVERAGE(F1255:F1454)</f>
        <v/>
      </c>
    </row>
    <row r="1455">
      <c r="C1455" s="539" t="n">
        <v>41558</v>
      </c>
      <c r="D1455" t="n">
        <v>122.5999984741211</v>
      </c>
      <c r="E1455" t="n">
        <v>294</v>
      </c>
      <c r="F1455" t="n">
        <v>22.00558853149414</v>
      </c>
      <c r="G1455" t="n">
        <v>73.10016632080078</v>
      </c>
      <c r="H1455">
        <f>AVERAGE(D1256:D1455)</f>
        <v/>
      </c>
      <c r="I1455">
        <f>AVERAGE(E1256:E1455)</f>
        <v/>
      </c>
      <c r="J1455">
        <f>AVERAGE(F1256:F1455)</f>
        <v/>
      </c>
    </row>
    <row r="1456">
      <c r="C1456" s="539" t="n">
        <v>41561</v>
      </c>
      <c r="D1456" t="n">
        <v>122.8300018310547</v>
      </c>
      <c r="E1456" t="n">
        <v>294.9599914550781</v>
      </c>
      <c r="F1456" t="n">
        <v>22.03997039794922</v>
      </c>
      <c r="G1456" t="n">
        <v>73.10016632080078</v>
      </c>
      <c r="H1456">
        <f>AVERAGE(D1257:D1456)</f>
        <v/>
      </c>
      <c r="I1456">
        <f>AVERAGE(E1257:E1456)</f>
        <v/>
      </c>
      <c r="J1456">
        <f>AVERAGE(F1257:F1456)</f>
        <v/>
      </c>
    </row>
    <row r="1457">
      <c r="C1457" s="539" t="n">
        <v>41562</v>
      </c>
      <c r="D1457" t="n">
        <v>123.7300033569336</v>
      </c>
      <c r="E1457" t="n">
        <v>291.760009765625</v>
      </c>
      <c r="F1457" t="n">
        <v>22.08295249938965</v>
      </c>
      <c r="G1457" t="n">
        <v>73.10016632080078</v>
      </c>
      <c r="H1457">
        <f>AVERAGE(D1258:D1457)</f>
        <v/>
      </c>
      <c r="I1457">
        <f>AVERAGE(E1258:E1457)</f>
        <v/>
      </c>
      <c r="J1457">
        <f>AVERAGE(F1258:F1457)</f>
        <v/>
      </c>
    </row>
    <row r="1458">
      <c r="C1458" s="539" t="n">
        <v>41563</v>
      </c>
      <c r="D1458" t="n">
        <v>123.5400009155273</v>
      </c>
      <c r="E1458" t="n">
        <v>295.3599853515625</v>
      </c>
      <c r="F1458" t="n">
        <v>22.11733245849609</v>
      </c>
      <c r="G1458" t="n">
        <v>73.11611175537109</v>
      </c>
      <c r="H1458">
        <f>AVERAGE(D1259:D1458)</f>
        <v/>
      </c>
      <c r="I1458">
        <f>AVERAGE(E1259:E1458)</f>
        <v/>
      </c>
      <c r="J1458">
        <f>AVERAGE(F1259:F1458)</f>
        <v/>
      </c>
    </row>
    <row r="1459">
      <c r="C1459" s="539" t="n">
        <v>41564</v>
      </c>
      <c r="D1459" t="n">
        <v>127.4199981689453</v>
      </c>
      <c r="E1459" t="n">
        <v>291.0400085449219</v>
      </c>
      <c r="F1459" t="n">
        <v>22.12592887878418</v>
      </c>
      <c r="G1459" t="n">
        <v>73.11611175537109</v>
      </c>
      <c r="H1459">
        <f>AVERAGE(D1260:D1459)</f>
        <v/>
      </c>
      <c r="I1459">
        <f>AVERAGE(E1260:E1459)</f>
        <v/>
      </c>
      <c r="J1459">
        <f>AVERAGE(F1260:F1459)</f>
        <v/>
      </c>
    </row>
    <row r="1460">
      <c r="C1460" s="539" t="n">
        <v>41565</v>
      </c>
      <c r="D1460" t="n">
        <v>126.8499984741211</v>
      </c>
      <c r="E1460" t="n">
        <v>291.6000061035156</v>
      </c>
      <c r="F1460" t="n">
        <v>22.08295249938965</v>
      </c>
      <c r="G1460" t="n">
        <v>73.13210296630859</v>
      </c>
      <c r="H1460">
        <f>AVERAGE(D1261:D1460)</f>
        <v/>
      </c>
      <c r="I1460">
        <f>AVERAGE(E1261:E1460)</f>
        <v/>
      </c>
      <c r="J1460">
        <f>AVERAGE(F1261:F1460)</f>
        <v/>
      </c>
    </row>
    <row r="1461">
      <c r="C1461" s="539" t="n">
        <v>41568</v>
      </c>
      <c r="D1461" t="n">
        <v>126.9800033569336</v>
      </c>
      <c r="E1461" t="n">
        <v>287.5199890136719</v>
      </c>
      <c r="F1461" t="n">
        <v>22.10014152526855</v>
      </c>
      <c r="G1461" t="n">
        <v>73.13210296630859</v>
      </c>
      <c r="H1461">
        <f>AVERAGE(D1262:D1461)</f>
        <v/>
      </c>
      <c r="I1461">
        <f>AVERAGE(E1262:E1461)</f>
        <v/>
      </c>
      <c r="J1461">
        <f>AVERAGE(F1262:F1461)</f>
        <v/>
      </c>
    </row>
    <row r="1462">
      <c r="C1462" s="539" t="n">
        <v>41569</v>
      </c>
      <c r="D1462" t="n">
        <v>129.3399963378906</v>
      </c>
      <c r="E1462" t="n">
        <v>283.2799987792969</v>
      </c>
      <c r="F1462" t="n">
        <v>22.15171813964844</v>
      </c>
      <c r="G1462" t="n">
        <v>73.13210296630859</v>
      </c>
      <c r="H1462">
        <f>AVERAGE(D1263:D1462)</f>
        <v/>
      </c>
      <c r="I1462">
        <f>AVERAGE(E1263:E1462)</f>
        <v/>
      </c>
      <c r="J1462">
        <f>AVERAGE(F1263:F1462)</f>
        <v/>
      </c>
    </row>
    <row r="1463">
      <c r="C1463" s="539" t="n">
        <v>41570</v>
      </c>
      <c r="D1463" t="n">
        <v>128.6900024414062</v>
      </c>
      <c r="E1463" t="n">
        <v>279.6000061035156</v>
      </c>
      <c r="F1463" t="n">
        <v>22.02278137207031</v>
      </c>
      <c r="G1463" t="n">
        <v>73.13210296630859</v>
      </c>
      <c r="H1463">
        <f>AVERAGE(D1264:D1463)</f>
        <v/>
      </c>
      <c r="I1463">
        <f>AVERAGE(E1264:E1463)</f>
        <v/>
      </c>
      <c r="J1463">
        <f>AVERAGE(F1264:F1463)</f>
        <v/>
      </c>
    </row>
    <row r="1464">
      <c r="C1464" s="539" t="n">
        <v>41571</v>
      </c>
      <c r="D1464" t="n">
        <v>129.8999938964844</v>
      </c>
      <c r="E1464" t="n">
        <v>279.9200134277344</v>
      </c>
      <c r="F1464" t="n">
        <v>21.9454174041748</v>
      </c>
      <c r="G1464" t="n">
        <v>73.11611175537109</v>
      </c>
      <c r="H1464">
        <f>AVERAGE(D1265:D1464)</f>
        <v/>
      </c>
      <c r="I1464">
        <f>AVERAGE(E1265:E1464)</f>
        <v/>
      </c>
      <c r="J1464">
        <f>AVERAGE(F1265:F1464)</f>
        <v/>
      </c>
    </row>
    <row r="1465">
      <c r="C1465" s="539" t="n">
        <v>41572</v>
      </c>
      <c r="D1465" t="n">
        <v>130.4600067138672</v>
      </c>
      <c r="E1465" t="n">
        <v>282.5599975585938</v>
      </c>
      <c r="F1465" t="n">
        <v>21.96260833740234</v>
      </c>
      <c r="G1465" t="n">
        <v>73.13210296630859</v>
      </c>
      <c r="H1465">
        <f>AVERAGE(D1266:D1465)</f>
        <v/>
      </c>
      <c r="I1465">
        <f>AVERAGE(E1266:E1465)</f>
        <v/>
      </c>
      <c r="J1465">
        <f>AVERAGE(F1266:F1465)</f>
        <v/>
      </c>
    </row>
    <row r="1466">
      <c r="C1466" s="539" t="n">
        <v>41575</v>
      </c>
      <c r="D1466" t="n">
        <v>130.5599975585938</v>
      </c>
      <c r="E1466" t="n">
        <v>284.3999938964844</v>
      </c>
      <c r="F1466" t="n">
        <v>21.84226608276367</v>
      </c>
      <c r="G1466" t="n">
        <v>73.13210296630859</v>
      </c>
      <c r="H1466">
        <f>AVERAGE(D1267:D1466)</f>
        <v/>
      </c>
      <c r="I1466">
        <f>AVERAGE(E1267:E1466)</f>
        <v/>
      </c>
      <c r="J1466">
        <f>AVERAGE(F1267:F1466)</f>
        <v/>
      </c>
    </row>
    <row r="1467">
      <c r="C1467" s="539" t="n">
        <v>41576</v>
      </c>
      <c r="D1467" t="n">
        <v>129.7700042724609</v>
      </c>
      <c r="E1467" t="n">
        <v>283.2799987792969</v>
      </c>
      <c r="F1467" t="n">
        <v>21.76490211486816</v>
      </c>
      <c r="G1467" t="n">
        <v>73.11611175537109</v>
      </c>
      <c r="H1467">
        <f>AVERAGE(D1268:D1467)</f>
        <v/>
      </c>
      <c r="I1467">
        <f>AVERAGE(E1268:E1467)</f>
        <v/>
      </c>
      <c r="J1467">
        <f>AVERAGE(F1268:F1467)</f>
        <v/>
      </c>
    </row>
    <row r="1468">
      <c r="C1468" s="539" t="n">
        <v>41577</v>
      </c>
      <c r="D1468" t="n">
        <v>129.6000061035156</v>
      </c>
      <c r="E1468" t="n">
        <v>278.7999877929688</v>
      </c>
      <c r="F1468" t="n">
        <v>21.6617488861084</v>
      </c>
      <c r="G1468" t="n">
        <v>73.11611175537109</v>
      </c>
      <c r="H1468">
        <f>AVERAGE(D1269:D1468)</f>
        <v/>
      </c>
      <c r="I1468">
        <f>AVERAGE(E1269:E1468)</f>
        <v/>
      </c>
      <c r="J1468">
        <f>AVERAGE(F1269:F1468)</f>
        <v/>
      </c>
    </row>
    <row r="1469">
      <c r="C1469" s="539" t="n">
        <v>41578</v>
      </c>
      <c r="D1469" t="n">
        <v>127.7399978637695</v>
      </c>
      <c r="E1469" t="n">
        <v>277.5199890136719</v>
      </c>
      <c r="F1469" t="n">
        <v>21.53281021118164</v>
      </c>
      <c r="G1469" t="n">
        <v>73.11611175537109</v>
      </c>
      <c r="H1469">
        <f>AVERAGE(D1270:D1469)</f>
        <v/>
      </c>
      <c r="I1469">
        <f>AVERAGE(E1270:E1469)</f>
        <v/>
      </c>
      <c r="J1469">
        <f>AVERAGE(F1270:F1469)</f>
        <v/>
      </c>
    </row>
    <row r="1470">
      <c r="C1470" s="539" t="n">
        <v>41579</v>
      </c>
      <c r="D1470" t="n">
        <v>126.9499969482422</v>
      </c>
      <c r="E1470" t="n">
        <v>273.0400085449219</v>
      </c>
      <c r="F1470" t="n">
        <v>21.41246795654297</v>
      </c>
      <c r="G1470" t="n">
        <v>73.11611175537109</v>
      </c>
      <c r="H1470">
        <f>AVERAGE(D1271:D1470)</f>
        <v/>
      </c>
      <c r="I1470">
        <f>AVERAGE(E1271:E1470)</f>
        <v/>
      </c>
      <c r="J1470">
        <f>AVERAGE(F1271:F1470)</f>
        <v/>
      </c>
    </row>
    <row r="1471">
      <c r="C1471" s="539" t="n">
        <v>41582</v>
      </c>
      <c r="D1471" t="n">
        <v>126.8099975585938</v>
      </c>
      <c r="E1471" t="n">
        <v>272.3200073242188</v>
      </c>
      <c r="F1471" t="n">
        <v>21.40387344360352</v>
      </c>
      <c r="G1471" t="n">
        <v>73.11611175537109</v>
      </c>
      <c r="H1471">
        <f>AVERAGE(D1272:D1471)</f>
        <v/>
      </c>
      <c r="I1471">
        <f>AVERAGE(E1272:E1471)</f>
        <v/>
      </c>
      <c r="J1471">
        <f>AVERAGE(F1272:F1471)</f>
        <v/>
      </c>
    </row>
    <row r="1472">
      <c r="C1472" s="539" t="n">
        <v>41583</v>
      </c>
      <c r="D1472" t="n">
        <v>126.5599975585938</v>
      </c>
      <c r="E1472" t="n">
        <v>269.3599853515625</v>
      </c>
      <c r="F1472" t="n">
        <v>21.46404266357422</v>
      </c>
      <c r="G1472" t="n">
        <v>73.11611175537109</v>
      </c>
      <c r="H1472">
        <f>AVERAGE(D1273:D1472)</f>
        <v/>
      </c>
      <c r="I1472">
        <f>AVERAGE(E1273:E1472)</f>
        <v/>
      </c>
      <c r="J1472">
        <f>AVERAGE(F1273:F1472)</f>
        <v/>
      </c>
    </row>
    <row r="1473">
      <c r="C1473" s="539" t="n">
        <v>41584</v>
      </c>
      <c r="D1473" t="n">
        <v>127.1999969482422</v>
      </c>
      <c r="E1473" t="n">
        <v>273.5199890136719</v>
      </c>
      <c r="F1473" t="n">
        <v>21.35229682922363</v>
      </c>
      <c r="G1473" t="n">
        <v>73.13210296630859</v>
      </c>
      <c r="H1473">
        <f>AVERAGE(D1274:D1473)</f>
        <v/>
      </c>
      <c r="I1473">
        <f>AVERAGE(E1274:E1473)</f>
        <v/>
      </c>
      <c r="J1473">
        <f>AVERAGE(F1274:F1473)</f>
        <v/>
      </c>
    </row>
    <row r="1474">
      <c r="C1474" s="539" t="n">
        <v>41585</v>
      </c>
      <c r="D1474" t="n">
        <v>126.1600036621094</v>
      </c>
      <c r="E1474" t="n">
        <v>271.760009765625</v>
      </c>
      <c r="F1474" t="n">
        <v>21.31791114807129</v>
      </c>
      <c r="G1474" t="n">
        <v>73.11611175537109</v>
      </c>
      <c r="H1474">
        <f>AVERAGE(D1275:D1474)</f>
        <v/>
      </c>
      <c r="I1474">
        <f>AVERAGE(E1275:E1474)</f>
        <v/>
      </c>
      <c r="J1474">
        <f>AVERAGE(F1275:F1474)</f>
        <v/>
      </c>
    </row>
    <row r="1475">
      <c r="C1475" s="539" t="n">
        <v>41586</v>
      </c>
      <c r="D1475" t="n">
        <v>124.2799987792969</v>
      </c>
      <c r="E1475" t="n">
        <v>272.0799865722656</v>
      </c>
      <c r="F1475" t="n">
        <v>21.38667869567871</v>
      </c>
      <c r="G1475" t="n">
        <v>73.11611175537109</v>
      </c>
      <c r="H1475">
        <f>AVERAGE(D1276:D1475)</f>
        <v/>
      </c>
      <c r="I1475">
        <f>AVERAGE(E1276:E1475)</f>
        <v/>
      </c>
      <c r="J1475">
        <f>AVERAGE(F1276:F1475)</f>
        <v/>
      </c>
    </row>
    <row r="1476">
      <c r="C1476" s="539" t="n">
        <v>41589</v>
      </c>
      <c r="D1476" t="n">
        <v>123.870002746582</v>
      </c>
      <c r="E1476" t="n">
        <v>274.0799865722656</v>
      </c>
      <c r="F1476" t="n">
        <v>21.35229682922363</v>
      </c>
      <c r="G1476" t="n">
        <v>73.13210296630859</v>
      </c>
      <c r="H1476">
        <f>AVERAGE(D1277:D1476)</f>
        <v/>
      </c>
      <c r="I1476">
        <f>AVERAGE(E1277:E1476)</f>
        <v/>
      </c>
      <c r="J1476">
        <f>AVERAGE(F1277:F1476)</f>
        <v/>
      </c>
    </row>
    <row r="1477">
      <c r="C1477" s="539" t="n">
        <v>41590</v>
      </c>
      <c r="D1477" t="n">
        <v>122.4499969482422</v>
      </c>
      <c r="E1477" t="n">
        <v>269.1199951171875</v>
      </c>
      <c r="F1477" t="n">
        <v>21.35229682922363</v>
      </c>
      <c r="G1477" t="n">
        <v>73.13210296630859</v>
      </c>
      <c r="H1477">
        <f>AVERAGE(D1278:D1477)</f>
        <v/>
      </c>
      <c r="I1477">
        <f>AVERAGE(E1278:E1477)</f>
        <v/>
      </c>
      <c r="J1477">
        <f>AVERAGE(F1278:F1477)</f>
        <v/>
      </c>
    </row>
    <row r="1478">
      <c r="C1478" s="539" t="n">
        <v>41591</v>
      </c>
      <c r="D1478" t="n">
        <v>122.8499984741211</v>
      </c>
      <c r="E1478" t="n">
        <v>271.2000122070312</v>
      </c>
      <c r="F1478" t="n">
        <v>21.30931854248047</v>
      </c>
      <c r="G1478" t="n">
        <v>73.13210296630859</v>
      </c>
      <c r="H1478">
        <f>AVERAGE(D1279:D1478)</f>
        <v/>
      </c>
      <c r="I1478">
        <f>AVERAGE(E1279:E1478)</f>
        <v/>
      </c>
      <c r="J1478">
        <f>AVERAGE(F1279:F1478)</f>
        <v/>
      </c>
    </row>
    <row r="1479">
      <c r="C1479" s="539" t="n">
        <v>41592</v>
      </c>
      <c r="D1479" t="n">
        <v>124.2699966430664</v>
      </c>
      <c r="E1479" t="n">
        <v>271.4400024414062</v>
      </c>
      <c r="F1479" t="n">
        <v>21.25774002075195</v>
      </c>
      <c r="G1479" t="n">
        <v>73.11611175537109</v>
      </c>
      <c r="H1479">
        <f>AVERAGE(D1280:D1479)</f>
        <v/>
      </c>
      <c r="I1479">
        <f>AVERAGE(E1280:E1479)</f>
        <v/>
      </c>
      <c r="J1479">
        <f>AVERAGE(F1280:F1479)</f>
        <v/>
      </c>
    </row>
    <row r="1480">
      <c r="C1480" s="539" t="n">
        <v>41593</v>
      </c>
      <c r="D1480" t="n">
        <v>124.3199996948242</v>
      </c>
      <c r="E1480" t="n">
        <v>271.0400085449219</v>
      </c>
      <c r="F1480" t="n">
        <v>21.27493476867676</v>
      </c>
      <c r="G1480" t="n">
        <v>73.11611175537109</v>
      </c>
      <c r="H1480">
        <f>AVERAGE(D1281:D1480)</f>
        <v/>
      </c>
      <c r="I1480">
        <f>AVERAGE(E1281:E1480)</f>
        <v/>
      </c>
      <c r="J1480">
        <f>AVERAGE(F1281:F1480)</f>
        <v/>
      </c>
    </row>
    <row r="1481">
      <c r="C1481" s="539" t="n">
        <v>41596</v>
      </c>
      <c r="D1481" t="n">
        <v>122.9000015258789</v>
      </c>
      <c r="E1481" t="n">
        <v>268.9599914550781</v>
      </c>
      <c r="F1481" t="n">
        <v>21.21476364135742</v>
      </c>
      <c r="G1481" t="n">
        <v>73.11611175537109</v>
      </c>
      <c r="H1481">
        <f>AVERAGE(D1282:D1481)</f>
        <v/>
      </c>
      <c r="I1481">
        <f>AVERAGE(E1282:E1481)</f>
        <v/>
      </c>
      <c r="J1481">
        <f>AVERAGE(F1282:F1481)</f>
        <v/>
      </c>
    </row>
    <row r="1482">
      <c r="C1482" s="539" t="n">
        <v>41597</v>
      </c>
      <c r="D1482" t="n">
        <v>122.9499969482422</v>
      </c>
      <c r="E1482" t="n">
        <v>269.760009765625</v>
      </c>
      <c r="F1482" t="n">
        <v>21.23195457458496</v>
      </c>
      <c r="G1482" t="n">
        <v>73.11611175537109</v>
      </c>
      <c r="H1482">
        <f>AVERAGE(D1283:D1482)</f>
        <v/>
      </c>
      <c r="I1482">
        <f>AVERAGE(E1283:E1482)</f>
        <v/>
      </c>
      <c r="J1482">
        <f>AVERAGE(F1283:F1482)</f>
        <v/>
      </c>
    </row>
    <row r="1483">
      <c r="C1483" s="539" t="n">
        <v>41598</v>
      </c>
      <c r="D1483" t="n">
        <v>120.120002746582</v>
      </c>
      <c r="E1483" t="n">
        <v>269.0400085449219</v>
      </c>
      <c r="F1483" t="n">
        <v>21.27493476867676</v>
      </c>
      <c r="G1483" t="n">
        <v>73.11611175537109</v>
      </c>
      <c r="H1483">
        <f>AVERAGE(D1284:D1483)</f>
        <v/>
      </c>
      <c r="I1483">
        <f>AVERAGE(E1284:E1483)</f>
        <v/>
      </c>
      <c r="J1483">
        <f>AVERAGE(F1284:F1483)</f>
        <v/>
      </c>
    </row>
    <row r="1484">
      <c r="C1484" s="539" t="n">
        <v>41599</v>
      </c>
      <c r="D1484" t="n">
        <v>119.9400024414062</v>
      </c>
      <c r="E1484" t="n">
        <v>273.3599853515625</v>
      </c>
      <c r="F1484" t="n">
        <v>21.35229682922363</v>
      </c>
      <c r="G1484" t="n">
        <v>73.13210296630859</v>
      </c>
      <c r="H1484">
        <f>AVERAGE(D1285:D1484)</f>
        <v/>
      </c>
      <c r="I1484">
        <f>AVERAGE(E1285:E1484)</f>
        <v/>
      </c>
      <c r="J1484">
        <f>AVERAGE(F1285:F1484)</f>
        <v/>
      </c>
    </row>
    <row r="1485">
      <c r="C1485" s="539" t="n">
        <v>41600</v>
      </c>
      <c r="D1485" t="n">
        <v>119.9199981689453</v>
      </c>
      <c r="E1485" t="n">
        <v>272.3200073242188</v>
      </c>
      <c r="F1485" t="n">
        <v>21.25774002075195</v>
      </c>
      <c r="G1485" t="n">
        <v>73.11611175537109</v>
      </c>
      <c r="H1485">
        <f>AVERAGE(D1286:D1485)</f>
        <v/>
      </c>
      <c r="I1485">
        <f>AVERAGE(E1286:E1485)</f>
        <v/>
      </c>
      <c r="J1485">
        <f>AVERAGE(F1286:F1485)</f>
        <v/>
      </c>
    </row>
    <row r="1486">
      <c r="C1486" s="539" t="n">
        <v>41603</v>
      </c>
      <c r="D1486" t="n">
        <v>120.4599990844727</v>
      </c>
      <c r="E1486" t="n">
        <v>270.5599975585938</v>
      </c>
      <c r="F1486" t="n">
        <v>21.28353118896484</v>
      </c>
      <c r="G1486" t="n">
        <v>73.11611175537109</v>
      </c>
      <c r="H1486">
        <f>AVERAGE(D1287:D1486)</f>
        <v/>
      </c>
      <c r="I1486">
        <f>AVERAGE(E1287:E1486)</f>
        <v/>
      </c>
      <c r="J1486">
        <f>AVERAGE(F1287:F1486)</f>
        <v/>
      </c>
    </row>
    <row r="1487">
      <c r="C1487" s="539" t="n">
        <v>41604</v>
      </c>
      <c r="D1487" t="n">
        <v>119.8199996948242</v>
      </c>
      <c r="E1487" t="n">
        <v>269.5199890136719</v>
      </c>
      <c r="F1487" t="n">
        <v>21.25774002075195</v>
      </c>
      <c r="G1487" t="n">
        <v>73.11611175537109</v>
      </c>
      <c r="H1487">
        <f>AVERAGE(D1288:D1487)</f>
        <v/>
      </c>
      <c r="I1487">
        <f>AVERAGE(E1288:E1487)</f>
        <v/>
      </c>
      <c r="J1487">
        <f>AVERAGE(F1288:F1487)</f>
        <v/>
      </c>
    </row>
    <row r="1488">
      <c r="C1488" s="539" t="n">
        <v>41605</v>
      </c>
      <c r="D1488" t="n">
        <v>119.4599990844727</v>
      </c>
      <c r="E1488" t="n">
        <v>265.5199890136719</v>
      </c>
      <c r="F1488" t="n">
        <v>21.26633834838867</v>
      </c>
      <c r="G1488" t="n">
        <v>73.13210296630859</v>
      </c>
      <c r="H1488">
        <f>AVERAGE(D1289:D1488)</f>
        <v/>
      </c>
      <c r="I1488">
        <f>AVERAGE(E1289:E1488)</f>
        <v/>
      </c>
      <c r="J1488">
        <f>AVERAGE(F1289:F1488)</f>
        <v/>
      </c>
    </row>
    <row r="1489">
      <c r="C1489" s="539" t="n">
        <v>41607</v>
      </c>
      <c r="D1489" t="n">
        <v>120.6999969482422</v>
      </c>
      <c r="E1489" t="n">
        <v>267.6799926757812</v>
      </c>
      <c r="F1489" t="n">
        <v>21.35229682922363</v>
      </c>
      <c r="G1489" t="n">
        <v>73.10016632080078</v>
      </c>
      <c r="H1489">
        <f>AVERAGE(D1290:D1489)</f>
        <v/>
      </c>
      <c r="I1489">
        <f>AVERAGE(E1290:E1489)</f>
        <v/>
      </c>
      <c r="J1489">
        <f>AVERAGE(F1290:F1489)</f>
        <v/>
      </c>
    </row>
    <row r="1490">
      <c r="C1490" s="539" t="n">
        <v>41610</v>
      </c>
      <c r="D1490" t="n">
        <v>117.5800018310547</v>
      </c>
      <c r="E1490" t="n">
        <v>269.4400024414062</v>
      </c>
      <c r="F1490" t="n">
        <v>21.30931854248047</v>
      </c>
      <c r="G1490" t="n">
        <v>73.11611175537109</v>
      </c>
      <c r="H1490">
        <f>AVERAGE(D1291:D1490)</f>
        <v/>
      </c>
      <c r="I1490">
        <f>AVERAGE(E1291:E1490)</f>
        <v/>
      </c>
      <c r="J1490">
        <f>AVERAGE(F1291:F1490)</f>
        <v/>
      </c>
    </row>
    <row r="1491">
      <c r="C1491" s="539" t="n">
        <v>41611</v>
      </c>
      <c r="D1491" t="n">
        <v>117.9599990844727</v>
      </c>
      <c r="E1491" t="n">
        <v>276.0799865722656</v>
      </c>
      <c r="F1491" t="n">
        <v>21.33510208129883</v>
      </c>
      <c r="G1491" t="n">
        <v>73.13210296630859</v>
      </c>
      <c r="H1491">
        <f>AVERAGE(D1292:D1491)</f>
        <v/>
      </c>
      <c r="I1491">
        <f>AVERAGE(E1292:E1491)</f>
        <v/>
      </c>
      <c r="J1491">
        <f>AVERAGE(F1292:F1491)</f>
        <v/>
      </c>
    </row>
    <row r="1492">
      <c r="C1492" s="539" t="n">
        <v>41612</v>
      </c>
      <c r="D1492" t="n">
        <v>119.9599990844727</v>
      </c>
      <c r="E1492" t="n">
        <v>279.0400085449219</v>
      </c>
      <c r="F1492" t="n">
        <v>21.26633834838867</v>
      </c>
      <c r="G1492" t="n">
        <v>73.13210296630859</v>
      </c>
      <c r="H1492">
        <f>AVERAGE(D1293:D1492)</f>
        <v/>
      </c>
      <c r="I1492">
        <f>AVERAGE(E1293:E1492)</f>
        <v/>
      </c>
      <c r="J1492">
        <f>AVERAGE(F1293:F1492)</f>
        <v/>
      </c>
    </row>
    <row r="1493">
      <c r="C1493" s="539" t="n">
        <v>41613</v>
      </c>
      <c r="D1493" t="n">
        <v>118.3000030517578</v>
      </c>
      <c r="E1493" t="n">
        <v>279.4400024414062</v>
      </c>
      <c r="F1493" t="n">
        <v>21.11160850524902</v>
      </c>
      <c r="G1493" t="n">
        <v>73.13210296630859</v>
      </c>
      <c r="H1493">
        <f>AVERAGE(D1294:D1493)</f>
        <v/>
      </c>
      <c r="I1493">
        <f>AVERAGE(E1294:E1493)</f>
        <v/>
      </c>
      <c r="J1493">
        <f>AVERAGE(F1294:F1493)</f>
        <v/>
      </c>
    </row>
    <row r="1494">
      <c r="C1494" s="539" t="n">
        <v>41614</v>
      </c>
      <c r="D1494" t="n">
        <v>118.5500030517578</v>
      </c>
      <c r="E1494" t="n">
        <v>280.3999938964844</v>
      </c>
      <c r="F1494" t="n">
        <v>21.18897247314453</v>
      </c>
      <c r="G1494" t="n">
        <v>73.13210296630859</v>
      </c>
      <c r="H1494">
        <f>AVERAGE(D1295:D1494)</f>
        <v/>
      </c>
      <c r="I1494">
        <f>AVERAGE(E1295:E1494)</f>
        <v/>
      </c>
      <c r="J1494">
        <f>AVERAGE(F1295:F1494)</f>
        <v/>
      </c>
    </row>
    <row r="1495">
      <c r="C1495" s="539" t="n">
        <v>41617</v>
      </c>
      <c r="D1495" t="n">
        <v>119.7200012207031</v>
      </c>
      <c r="E1495" t="n">
        <v>279.2799987792969</v>
      </c>
      <c r="F1495" t="n">
        <v>21.18037605285645</v>
      </c>
      <c r="G1495" t="n">
        <v>73.13210296630859</v>
      </c>
      <c r="H1495">
        <f>AVERAGE(D1296:D1495)</f>
        <v/>
      </c>
      <c r="I1495">
        <f>AVERAGE(E1296:E1495)</f>
        <v/>
      </c>
      <c r="J1495">
        <f>AVERAGE(F1296:F1495)</f>
        <v/>
      </c>
    </row>
    <row r="1496">
      <c r="C1496" s="539" t="n">
        <v>41618</v>
      </c>
      <c r="D1496" t="n">
        <v>121.8199996948242</v>
      </c>
      <c r="E1496" t="n">
        <v>282.4800109863281</v>
      </c>
      <c r="F1496" t="n">
        <v>21.19757080078125</v>
      </c>
      <c r="G1496" t="n">
        <v>73.11611175537109</v>
      </c>
      <c r="H1496">
        <f>AVERAGE(D1297:D1496)</f>
        <v/>
      </c>
      <c r="I1496">
        <f>AVERAGE(E1297:E1496)</f>
        <v/>
      </c>
      <c r="J1496">
        <f>AVERAGE(F1297:F1496)</f>
        <v/>
      </c>
    </row>
    <row r="1497">
      <c r="C1497" s="539" t="n">
        <v>41619</v>
      </c>
      <c r="D1497" t="n">
        <v>120.8600006103516</v>
      </c>
      <c r="E1497" t="n">
        <v>279.8399963378906</v>
      </c>
      <c r="F1497" t="n">
        <v>21.19757080078125</v>
      </c>
      <c r="G1497" t="n">
        <v>73.13210296630859</v>
      </c>
      <c r="H1497">
        <f>AVERAGE(D1298:D1497)</f>
        <v/>
      </c>
      <c r="I1497">
        <f>AVERAGE(E1298:E1497)</f>
        <v/>
      </c>
      <c r="J1497">
        <f>AVERAGE(F1298:F1497)</f>
        <v/>
      </c>
    </row>
    <row r="1498">
      <c r="C1498" s="539" t="n">
        <v>41620</v>
      </c>
      <c r="D1498" t="n">
        <v>118.2900009155273</v>
      </c>
      <c r="E1498" t="n">
        <v>279.760009765625</v>
      </c>
      <c r="F1498" t="n">
        <v>21.18037605285645</v>
      </c>
      <c r="G1498" t="n">
        <v>73.13210296630859</v>
      </c>
      <c r="H1498">
        <f>AVERAGE(D1299:D1498)</f>
        <v/>
      </c>
      <c r="I1498">
        <f>AVERAGE(E1299:E1498)</f>
        <v/>
      </c>
      <c r="J1498">
        <f>AVERAGE(F1299:F1498)</f>
        <v/>
      </c>
    </row>
    <row r="1499">
      <c r="C1499" s="539" t="n">
        <v>41621</v>
      </c>
      <c r="D1499" t="n">
        <v>119.379997253418</v>
      </c>
      <c r="E1499" t="n">
        <v>277.1199951171875</v>
      </c>
      <c r="F1499" t="n">
        <v>21.15458869934082</v>
      </c>
      <c r="G1499" t="n">
        <v>73.13210296630859</v>
      </c>
      <c r="H1499">
        <f>AVERAGE(D1300:D1499)</f>
        <v/>
      </c>
      <c r="I1499">
        <f>AVERAGE(E1300:E1499)</f>
        <v/>
      </c>
      <c r="J1499">
        <f>AVERAGE(F1300:F1499)</f>
        <v/>
      </c>
    </row>
    <row r="1500">
      <c r="C1500" s="539" t="n">
        <v>41624</v>
      </c>
      <c r="D1500" t="n">
        <v>119.6900024414062</v>
      </c>
      <c r="E1500" t="n">
        <v>279.5199890136719</v>
      </c>
      <c r="F1500" t="n">
        <v>21.1288013458252</v>
      </c>
      <c r="G1500" t="n">
        <v>73.11611175537109</v>
      </c>
      <c r="H1500">
        <f>AVERAGE(D1301:D1500)</f>
        <v/>
      </c>
      <c r="I1500">
        <f>AVERAGE(E1301:E1500)</f>
        <v/>
      </c>
      <c r="J1500">
        <f>AVERAGE(F1301:F1500)</f>
        <v/>
      </c>
    </row>
    <row r="1501">
      <c r="C1501" s="539" t="n">
        <v>41625</v>
      </c>
      <c r="D1501" t="n">
        <v>118.6500015258789</v>
      </c>
      <c r="E1501" t="n">
        <v>278.9599914550781</v>
      </c>
      <c r="F1501" t="n">
        <v>21.03424644470215</v>
      </c>
      <c r="G1501" t="n">
        <v>73.11611175537109</v>
      </c>
      <c r="H1501">
        <f>AVERAGE(D1302:D1501)</f>
        <v/>
      </c>
      <c r="I1501">
        <f>AVERAGE(E1302:E1501)</f>
        <v/>
      </c>
      <c r="J1501">
        <f>AVERAGE(F1302:F1501)</f>
        <v/>
      </c>
    </row>
    <row r="1502">
      <c r="C1502" s="539" t="n">
        <v>41626</v>
      </c>
      <c r="D1502" t="n">
        <v>117.6100006103516</v>
      </c>
      <c r="E1502" t="n">
        <v>280.239990234375</v>
      </c>
      <c r="F1502" t="n">
        <v>21.02565002441406</v>
      </c>
      <c r="G1502" t="n">
        <v>73.13210296630859</v>
      </c>
      <c r="H1502">
        <f>AVERAGE(D1303:D1502)</f>
        <v/>
      </c>
      <c r="I1502">
        <f>AVERAGE(E1303:E1502)</f>
        <v/>
      </c>
      <c r="J1502">
        <f>AVERAGE(F1303:F1502)</f>
        <v/>
      </c>
    </row>
    <row r="1503">
      <c r="C1503" s="539" t="n">
        <v>41627</v>
      </c>
      <c r="D1503" t="n">
        <v>114.8199996948242</v>
      </c>
      <c r="E1503" t="n">
        <v>282.5599975585938</v>
      </c>
      <c r="F1503" t="n">
        <v>21.04284286499023</v>
      </c>
      <c r="G1503" t="n">
        <v>73.13210296630859</v>
      </c>
      <c r="H1503">
        <f>AVERAGE(D1304:D1503)</f>
        <v/>
      </c>
      <c r="I1503">
        <f>AVERAGE(E1304:E1503)</f>
        <v/>
      </c>
      <c r="J1503">
        <f>AVERAGE(F1304:F1503)</f>
        <v/>
      </c>
    </row>
    <row r="1504">
      <c r="C1504" s="539" t="n">
        <v>41628</v>
      </c>
      <c r="D1504" t="n">
        <v>115.9400024414062</v>
      </c>
      <c r="E1504" t="n">
        <v>283.8399963378906</v>
      </c>
      <c r="F1504" t="n">
        <v>21.19757080078125</v>
      </c>
      <c r="G1504" t="n">
        <v>73.11611175537109</v>
      </c>
      <c r="H1504">
        <f>AVERAGE(D1305:D1504)</f>
        <v/>
      </c>
      <c r="I1504">
        <f>AVERAGE(E1305:E1504)</f>
        <v/>
      </c>
      <c r="J1504">
        <f>AVERAGE(F1305:F1504)</f>
        <v/>
      </c>
    </row>
    <row r="1505">
      <c r="C1505" s="539" t="n">
        <v>41631</v>
      </c>
      <c r="D1505" t="n">
        <v>115.5699996948242</v>
      </c>
      <c r="E1505" t="n">
        <v>282.8800048828125</v>
      </c>
      <c r="F1505" t="n">
        <v>21.18897247314453</v>
      </c>
      <c r="G1505" t="n">
        <v>73.11611175537109</v>
      </c>
      <c r="H1505">
        <f>AVERAGE(D1306:D1505)</f>
        <v/>
      </c>
      <c r="I1505">
        <f>AVERAGE(E1306:E1505)</f>
        <v/>
      </c>
      <c r="J1505">
        <f>AVERAGE(F1306:F1505)</f>
        <v/>
      </c>
    </row>
    <row r="1506">
      <c r="C1506" s="539" t="n">
        <v>41632</v>
      </c>
      <c r="D1506" t="n">
        <v>116.0999984741211</v>
      </c>
      <c r="E1506" t="n">
        <v>283.9200134277344</v>
      </c>
      <c r="F1506" t="n">
        <v>21.14599418640137</v>
      </c>
      <c r="G1506" t="n">
        <v>73.11611175537109</v>
      </c>
      <c r="H1506">
        <f>AVERAGE(D1307:D1506)</f>
        <v/>
      </c>
      <c r="I1506">
        <f>AVERAGE(E1307:E1506)</f>
        <v/>
      </c>
      <c r="J1506">
        <f>AVERAGE(F1307:F1506)</f>
        <v/>
      </c>
    </row>
    <row r="1507">
      <c r="C1507" s="539" t="n">
        <v>41634</v>
      </c>
      <c r="D1507" t="n">
        <v>116.7399978637695</v>
      </c>
      <c r="E1507" t="n">
        <v>285.2000122070312</v>
      </c>
      <c r="F1507" t="n">
        <v>21.06863021850586</v>
      </c>
      <c r="G1507" t="n">
        <v>73.11611175537109</v>
      </c>
      <c r="H1507">
        <f>AVERAGE(D1308:D1507)</f>
        <v/>
      </c>
      <c r="I1507">
        <f>AVERAGE(E1308:E1507)</f>
        <v/>
      </c>
      <c r="J1507">
        <f>AVERAGE(F1308:F1507)</f>
        <v/>
      </c>
    </row>
    <row r="1508">
      <c r="C1508" s="539" t="n">
        <v>41635</v>
      </c>
      <c r="D1508" t="n">
        <v>117.120002746582</v>
      </c>
      <c r="E1508" t="n">
        <v>286.7200012207031</v>
      </c>
      <c r="F1508" t="n">
        <v>21.12020683288574</v>
      </c>
      <c r="G1508" t="n">
        <v>73.13210296630859</v>
      </c>
      <c r="H1508">
        <f>AVERAGE(D1309:D1508)</f>
        <v/>
      </c>
      <c r="I1508">
        <f>AVERAGE(E1309:E1508)</f>
        <v/>
      </c>
      <c r="J1508">
        <f>AVERAGE(F1309:F1508)</f>
        <v/>
      </c>
    </row>
    <row r="1509">
      <c r="C1509" s="539" t="n">
        <v>41638</v>
      </c>
      <c r="D1509" t="n">
        <v>115.3899993896484</v>
      </c>
      <c r="E1509" t="n">
        <v>284.239990234375</v>
      </c>
      <c r="F1509" t="n">
        <v>20.94828796386719</v>
      </c>
      <c r="G1509" t="n">
        <v>73.13210296630859</v>
      </c>
      <c r="H1509">
        <f>AVERAGE(D1310:D1509)</f>
        <v/>
      </c>
      <c r="I1509">
        <f>AVERAGE(E1310:E1509)</f>
        <v/>
      </c>
      <c r="J1509">
        <f>AVERAGE(F1310:F1509)</f>
        <v/>
      </c>
    </row>
    <row r="1510">
      <c r="C1510" s="539" t="n">
        <v>41639</v>
      </c>
      <c r="D1510" t="n">
        <v>116.120002746582</v>
      </c>
      <c r="E1510" t="n">
        <v>282.5599975585938</v>
      </c>
      <c r="F1510" t="n">
        <v>20.84513664245605</v>
      </c>
      <c r="G1510" t="n">
        <v>73.10016632080078</v>
      </c>
      <c r="H1510">
        <f>AVERAGE(D1311:D1510)</f>
        <v/>
      </c>
      <c r="I1510">
        <f>AVERAGE(E1311:E1510)</f>
        <v/>
      </c>
      <c r="J1510">
        <f>AVERAGE(F1311:F1510)</f>
        <v/>
      </c>
    </row>
    <row r="1511">
      <c r="C1511" s="539" t="n">
        <v>41641</v>
      </c>
      <c r="D1511" t="n">
        <v>118</v>
      </c>
      <c r="E1511" t="n">
        <v>273.8399963378906</v>
      </c>
      <c r="F1511" t="n">
        <v>20.77636909484863</v>
      </c>
      <c r="G1511" t="n">
        <v>73.10016632080078</v>
      </c>
      <c r="H1511">
        <f>AVERAGE(D1312:D1511)</f>
        <v/>
      </c>
      <c r="I1511">
        <f>AVERAGE(E1312:E1511)</f>
        <v/>
      </c>
      <c r="J1511">
        <f>AVERAGE(F1312:F1511)</f>
        <v/>
      </c>
    </row>
    <row r="1512">
      <c r="C1512" s="539" t="n">
        <v>41642</v>
      </c>
      <c r="D1512" t="n">
        <v>119.2900009155273</v>
      </c>
      <c r="E1512" t="n">
        <v>270</v>
      </c>
      <c r="F1512" t="n">
        <v>21.00845718383789</v>
      </c>
      <c r="G1512" t="n">
        <v>73.11611175537109</v>
      </c>
      <c r="H1512">
        <f>AVERAGE(D1313:D1512)</f>
        <v/>
      </c>
      <c r="I1512">
        <f>AVERAGE(E1313:E1512)</f>
        <v/>
      </c>
      <c r="J1512">
        <f>AVERAGE(F1313:F1512)</f>
        <v/>
      </c>
    </row>
    <row r="1513">
      <c r="C1513" s="539" t="n">
        <v>41645</v>
      </c>
      <c r="D1513" t="n">
        <v>119.5</v>
      </c>
      <c r="E1513" t="n">
        <v>268.5599975585938</v>
      </c>
      <c r="F1513" t="n">
        <v>21.10301399230957</v>
      </c>
      <c r="G1513" t="n">
        <v>73.10016632080078</v>
      </c>
      <c r="H1513">
        <f>AVERAGE(D1314:D1513)</f>
        <v/>
      </c>
      <c r="I1513">
        <f>AVERAGE(E1314:E1513)</f>
        <v/>
      </c>
      <c r="J1513">
        <f>AVERAGE(F1314:F1513)</f>
        <v/>
      </c>
    </row>
    <row r="1514">
      <c r="C1514" s="539" t="n">
        <v>41646</v>
      </c>
      <c r="D1514" t="n">
        <v>118.8199996948242</v>
      </c>
      <c r="E1514" t="n">
        <v>268.6400146484375</v>
      </c>
      <c r="F1514" t="n">
        <v>20.97407722473145</v>
      </c>
      <c r="G1514" t="n">
        <v>73.11611175537109</v>
      </c>
      <c r="H1514">
        <f>AVERAGE(D1315:D1514)</f>
        <v/>
      </c>
      <c r="I1514">
        <f>AVERAGE(E1315:E1514)</f>
        <v/>
      </c>
      <c r="J1514">
        <f>AVERAGE(F1315:F1514)</f>
        <v/>
      </c>
    </row>
    <row r="1515">
      <c r="C1515" s="539" t="n">
        <v>41647</v>
      </c>
      <c r="D1515" t="n">
        <v>118.120002746582</v>
      </c>
      <c r="E1515" t="n">
        <v>265.2799987792969</v>
      </c>
      <c r="F1515" t="n">
        <v>20.90530776977539</v>
      </c>
      <c r="G1515" t="n">
        <v>73.11611175537109</v>
      </c>
      <c r="H1515">
        <f>AVERAGE(D1316:D1515)</f>
        <v/>
      </c>
      <c r="I1515">
        <f>AVERAGE(E1316:E1515)</f>
        <v/>
      </c>
      <c r="J1515">
        <f>AVERAGE(F1316:F1515)</f>
        <v/>
      </c>
    </row>
    <row r="1516">
      <c r="C1516" s="539" t="n">
        <v>41648</v>
      </c>
      <c r="D1516" t="n">
        <v>118.4599990844727</v>
      </c>
      <c r="E1516" t="n">
        <v>264.6400146484375</v>
      </c>
      <c r="F1516" t="n">
        <v>20.73338890075684</v>
      </c>
      <c r="G1516" t="n">
        <v>73.10016632080078</v>
      </c>
      <c r="H1516">
        <f>AVERAGE(D1317:D1516)</f>
        <v/>
      </c>
      <c r="I1516">
        <f>AVERAGE(E1317:E1516)</f>
        <v/>
      </c>
      <c r="J1516">
        <f>AVERAGE(F1317:F1516)</f>
        <v/>
      </c>
    </row>
    <row r="1517">
      <c r="C1517" s="539" t="n">
        <v>41649</v>
      </c>
      <c r="D1517" t="n">
        <v>120.2600021362305</v>
      </c>
      <c r="E1517" t="n">
        <v>265.5199890136719</v>
      </c>
      <c r="F1517" t="n">
        <v>20.83654022216797</v>
      </c>
      <c r="G1517" t="n">
        <v>73.11611175537109</v>
      </c>
      <c r="H1517">
        <f>AVERAGE(D1318:D1517)</f>
        <v/>
      </c>
      <c r="I1517">
        <f>AVERAGE(E1318:E1517)</f>
        <v/>
      </c>
      <c r="J1517">
        <f>AVERAGE(F1318:F1517)</f>
        <v/>
      </c>
    </row>
    <row r="1518">
      <c r="C1518" s="539" t="n">
        <v>41652</v>
      </c>
      <c r="D1518" t="n">
        <v>121.0199966430664</v>
      </c>
      <c r="E1518" t="n">
        <v>262.4800109863281</v>
      </c>
      <c r="F1518" t="n">
        <v>20.85373115539551</v>
      </c>
      <c r="G1518" t="n">
        <v>73.11611175537109</v>
      </c>
      <c r="H1518">
        <f>AVERAGE(D1319:D1518)</f>
        <v/>
      </c>
      <c r="I1518">
        <f>AVERAGE(E1319:E1518)</f>
        <v/>
      </c>
      <c r="J1518">
        <f>AVERAGE(F1319:F1518)</f>
        <v/>
      </c>
    </row>
    <row r="1519">
      <c r="C1519" s="539" t="n">
        <v>41653</v>
      </c>
      <c r="D1519" t="n">
        <v>119.8899993896484</v>
      </c>
      <c r="E1519" t="n">
        <v>264.3200073242188</v>
      </c>
      <c r="F1519" t="n">
        <v>20.91390419006348</v>
      </c>
      <c r="G1519" t="n">
        <v>73.11611175537109</v>
      </c>
      <c r="H1519">
        <f>AVERAGE(D1320:D1519)</f>
        <v/>
      </c>
      <c r="I1519">
        <f>AVERAGE(E1320:E1519)</f>
        <v/>
      </c>
      <c r="J1519">
        <f>AVERAGE(F1320:F1519)</f>
        <v/>
      </c>
    </row>
    <row r="1520">
      <c r="C1520" s="539" t="n">
        <v>41654</v>
      </c>
      <c r="D1520" t="n">
        <v>119.6600036621094</v>
      </c>
      <c r="E1520" t="n">
        <v>270.1600036621094</v>
      </c>
      <c r="F1520" t="n">
        <v>20.83654022216797</v>
      </c>
      <c r="G1520" t="n">
        <v>73.11611175537109</v>
      </c>
      <c r="H1520">
        <f>AVERAGE(D1321:D1520)</f>
        <v/>
      </c>
      <c r="I1520">
        <f>AVERAGE(E1321:E1520)</f>
        <v/>
      </c>
      <c r="J1520">
        <f>AVERAGE(F1321:F1520)</f>
        <v/>
      </c>
    </row>
    <row r="1521">
      <c r="C1521" s="539" t="n">
        <v>41655</v>
      </c>
      <c r="D1521" t="n">
        <v>119.7900009155273</v>
      </c>
      <c r="E1521" t="n">
        <v>269.2000122070312</v>
      </c>
      <c r="F1521" t="n">
        <v>20.93109512329102</v>
      </c>
      <c r="G1521" t="n">
        <v>73.11611175537109</v>
      </c>
      <c r="H1521">
        <f>AVERAGE(D1322:D1521)</f>
        <v/>
      </c>
      <c r="I1521">
        <f>AVERAGE(E1322:E1521)</f>
        <v/>
      </c>
      <c r="J1521">
        <f>AVERAGE(F1322:F1521)</f>
        <v/>
      </c>
    </row>
    <row r="1522">
      <c r="C1522" s="539" t="n">
        <v>41656</v>
      </c>
      <c r="D1522" t="n">
        <v>120.9300003051758</v>
      </c>
      <c r="E1522" t="n">
        <v>269.5199890136719</v>
      </c>
      <c r="F1522" t="n">
        <v>20.76777267456055</v>
      </c>
      <c r="G1522" t="n">
        <v>73.10016632080078</v>
      </c>
      <c r="H1522">
        <f>AVERAGE(D1323:D1522)</f>
        <v/>
      </c>
      <c r="I1522">
        <f>AVERAGE(E1323:E1522)</f>
        <v/>
      </c>
      <c r="J1522">
        <f>AVERAGE(F1323:F1522)</f>
        <v/>
      </c>
    </row>
    <row r="1523">
      <c r="C1523" s="539" t="n">
        <v>41660</v>
      </c>
      <c r="D1523" t="n">
        <v>119.6999969482422</v>
      </c>
      <c r="E1523" t="n">
        <v>271.9200134277344</v>
      </c>
      <c r="F1523" t="n">
        <v>20.73338890075684</v>
      </c>
      <c r="G1523" t="n">
        <v>73.11611175537109</v>
      </c>
      <c r="H1523">
        <f>AVERAGE(D1324:D1523)</f>
        <v/>
      </c>
      <c r="I1523">
        <f>AVERAGE(E1324:E1523)</f>
        <v/>
      </c>
      <c r="J1523">
        <f>AVERAGE(F1324:F1523)</f>
        <v/>
      </c>
    </row>
    <row r="1524">
      <c r="C1524" s="539" t="n">
        <v>41661</v>
      </c>
      <c r="D1524" t="n">
        <v>119.1900024414062</v>
      </c>
      <c r="E1524" t="n">
        <v>276.4800109863281</v>
      </c>
      <c r="F1524" t="n">
        <v>20.78496551513672</v>
      </c>
      <c r="G1524" t="n">
        <v>73.11611175537109</v>
      </c>
      <c r="H1524">
        <f>AVERAGE(D1325:D1524)</f>
        <v/>
      </c>
      <c r="I1524">
        <f>AVERAGE(E1325:E1524)</f>
        <v/>
      </c>
      <c r="J1524">
        <f>AVERAGE(F1325:F1524)</f>
        <v/>
      </c>
    </row>
    <row r="1525">
      <c r="C1525" s="539" t="n">
        <v>41662</v>
      </c>
      <c r="D1525" t="n">
        <v>121.7900009155273</v>
      </c>
      <c r="E1525" t="n">
        <v>277.760009765625</v>
      </c>
      <c r="F1525" t="n">
        <v>20.86232566833496</v>
      </c>
      <c r="G1525" t="n">
        <v>73.11611175537109</v>
      </c>
      <c r="H1525">
        <f>AVERAGE(D1326:D1525)</f>
        <v/>
      </c>
      <c r="I1525">
        <f>AVERAGE(E1326:E1525)</f>
        <v/>
      </c>
      <c r="J1525">
        <f>AVERAGE(F1326:F1525)</f>
        <v/>
      </c>
    </row>
    <row r="1526">
      <c r="C1526" s="539" t="n">
        <v>41663</v>
      </c>
      <c r="D1526" t="n">
        <v>122.2900009155273</v>
      </c>
      <c r="E1526" t="n">
        <v>276.6400146484375</v>
      </c>
      <c r="F1526" t="n">
        <v>20.84513664245605</v>
      </c>
      <c r="G1526" t="n">
        <v>73.10016632080078</v>
      </c>
      <c r="H1526">
        <f>AVERAGE(D1327:D1526)</f>
        <v/>
      </c>
      <c r="I1526">
        <f>AVERAGE(E1327:E1526)</f>
        <v/>
      </c>
      <c r="J1526">
        <f>AVERAGE(F1327:F1526)</f>
        <v/>
      </c>
    </row>
    <row r="1527">
      <c r="C1527" s="539" t="n">
        <v>41666</v>
      </c>
      <c r="D1527" t="n">
        <v>120.9599990844727</v>
      </c>
      <c r="E1527" t="n">
        <v>273.8399963378906</v>
      </c>
      <c r="F1527" t="n">
        <v>20.87092590332031</v>
      </c>
      <c r="G1527" t="n">
        <v>73.10016632080078</v>
      </c>
      <c r="H1527">
        <f>AVERAGE(D1328:D1527)</f>
        <v/>
      </c>
      <c r="I1527">
        <f>AVERAGE(E1328:E1527)</f>
        <v/>
      </c>
      <c r="J1527">
        <f>AVERAGE(F1328:F1527)</f>
        <v/>
      </c>
    </row>
    <row r="1528">
      <c r="C1528" s="539" t="n">
        <v>41667</v>
      </c>
      <c r="D1528" t="n">
        <v>120.9499969482422</v>
      </c>
      <c r="E1528" t="n">
        <v>277.5199890136719</v>
      </c>
      <c r="F1528" t="n">
        <v>20.90530776977539</v>
      </c>
      <c r="G1528" t="n">
        <v>73.10016632080078</v>
      </c>
      <c r="H1528">
        <f>AVERAGE(D1329:D1528)</f>
        <v/>
      </c>
      <c r="I1528">
        <f>AVERAGE(E1329:E1528)</f>
        <v/>
      </c>
      <c r="J1528">
        <f>AVERAGE(F1329:F1528)</f>
        <v/>
      </c>
    </row>
    <row r="1529">
      <c r="C1529" s="539" t="n">
        <v>41668</v>
      </c>
      <c r="D1529" t="n">
        <v>122.4700012207031</v>
      </c>
      <c r="E1529" t="n">
        <v>277.8399963378906</v>
      </c>
      <c r="F1529" t="n">
        <v>20.86232566833496</v>
      </c>
      <c r="G1529" t="n">
        <v>73.11611175537109</v>
      </c>
      <c r="H1529">
        <f>AVERAGE(D1330:D1529)</f>
        <v/>
      </c>
      <c r="I1529">
        <f>AVERAGE(E1330:E1529)</f>
        <v/>
      </c>
      <c r="J1529">
        <f>AVERAGE(F1330:F1529)</f>
        <v/>
      </c>
    </row>
    <row r="1530">
      <c r="C1530" s="539" t="n">
        <v>41669</v>
      </c>
      <c r="D1530" t="n">
        <v>119.7699966430664</v>
      </c>
      <c r="E1530" t="n">
        <v>279.6000061035156</v>
      </c>
      <c r="F1530" t="n">
        <v>20.95688247680664</v>
      </c>
      <c r="G1530" t="n">
        <v>73.11611175537109</v>
      </c>
      <c r="H1530">
        <f>AVERAGE(D1331:D1530)</f>
        <v/>
      </c>
      <c r="I1530">
        <f>AVERAGE(E1331:E1530)</f>
        <v/>
      </c>
      <c r="J1530">
        <f>AVERAGE(F1331:F1530)</f>
        <v/>
      </c>
    </row>
    <row r="1531">
      <c r="C1531" s="539" t="n">
        <v>41670</v>
      </c>
      <c r="D1531" t="n">
        <v>120.0899963378906</v>
      </c>
      <c r="E1531" t="n">
        <v>278.3999938964844</v>
      </c>
      <c r="F1531" t="n">
        <v>21.18897247314453</v>
      </c>
      <c r="G1531" t="n">
        <v>73.10016632080078</v>
      </c>
      <c r="H1531">
        <f>AVERAGE(D1332:D1531)</f>
        <v/>
      </c>
      <c r="I1531">
        <f>AVERAGE(E1332:E1531)</f>
        <v/>
      </c>
      <c r="J1531">
        <f>AVERAGE(F1332:F1531)</f>
        <v/>
      </c>
    </row>
    <row r="1532">
      <c r="C1532" s="539" t="n">
        <v>41673</v>
      </c>
      <c r="D1532" t="n">
        <v>121.3199996948242</v>
      </c>
      <c r="E1532" t="n">
        <v>276.1600036621094</v>
      </c>
      <c r="F1532" t="n">
        <v>21.45544815063477</v>
      </c>
      <c r="G1532" t="n">
        <v>73.10016632080078</v>
      </c>
      <c r="H1532">
        <f>AVERAGE(D1333:D1532)</f>
        <v/>
      </c>
      <c r="I1532">
        <f>AVERAGE(E1333:E1532)</f>
        <v/>
      </c>
      <c r="J1532">
        <f>AVERAGE(F1333:F1532)</f>
        <v/>
      </c>
    </row>
    <row r="1533">
      <c r="C1533" s="539" t="n">
        <v>41674</v>
      </c>
      <c r="D1533" t="n">
        <v>120.9899978637695</v>
      </c>
      <c r="E1533" t="n">
        <v>277.9200134277344</v>
      </c>
      <c r="F1533" t="n">
        <v>21.61877059936523</v>
      </c>
      <c r="G1533" t="n">
        <v>73.11611175537109</v>
      </c>
      <c r="H1533">
        <f>AVERAGE(D1334:D1533)</f>
        <v/>
      </c>
      <c r="I1533">
        <f>AVERAGE(E1334:E1533)</f>
        <v/>
      </c>
      <c r="J1533">
        <f>AVERAGE(F1334:F1533)</f>
        <v/>
      </c>
    </row>
    <row r="1534">
      <c r="C1534" s="539" t="n">
        <v>41675</v>
      </c>
      <c r="D1534" t="n">
        <v>121.2900009155273</v>
      </c>
      <c r="E1534" t="n">
        <v>277.6799926757812</v>
      </c>
      <c r="F1534" t="n">
        <v>21.80788230895996</v>
      </c>
      <c r="G1534" t="n">
        <v>73.10016632080078</v>
      </c>
      <c r="H1534">
        <f>AVERAGE(D1335:D1534)</f>
        <v/>
      </c>
      <c r="I1534">
        <f>AVERAGE(E1335:E1534)</f>
        <v/>
      </c>
      <c r="J1534">
        <f>AVERAGE(F1335:F1534)</f>
        <v/>
      </c>
    </row>
    <row r="1535">
      <c r="C1535" s="539" t="n">
        <v>41676</v>
      </c>
      <c r="D1535" t="n">
        <v>121.2399978637695</v>
      </c>
      <c r="E1535" t="n">
        <v>279.2000122070312</v>
      </c>
      <c r="F1535" t="n">
        <v>21.57579231262207</v>
      </c>
      <c r="G1535" t="n">
        <v>73.10016632080078</v>
      </c>
      <c r="H1535">
        <f>AVERAGE(D1336:D1535)</f>
        <v/>
      </c>
      <c r="I1535">
        <f>AVERAGE(E1336:E1535)</f>
        <v/>
      </c>
      <c r="J1535">
        <f>AVERAGE(F1336:F1535)</f>
        <v/>
      </c>
    </row>
    <row r="1536">
      <c r="C1536" s="539" t="n">
        <v>41677</v>
      </c>
      <c r="D1536" t="n">
        <v>122.1699981689453</v>
      </c>
      <c r="E1536" t="n">
        <v>285.1199951171875</v>
      </c>
      <c r="F1536" t="n">
        <v>21.67893981933594</v>
      </c>
      <c r="G1536" t="n">
        <v>73.11611175537109</v>
      </c>
      <c r="H1536">
        <f>AVERAGE(D1337:D1536)</f>
        <v/>
      </c>
      <c r="I1536">
        <f>AVERAGE(E1337:E1536)</f>
        <v/>
      </c>
      <c r="J1536">
        <f>AVERAGE(F1337:F1536)</f>
        <v/>
      </c>
    </row>
    <row r="1537">
      <c r="C1537" s="539" t="n">
        <v>41680</v>
      </c>
      <c r="D1537" t="n">
        <v>122.9199981689453</v>
      </c>
      <c r="E1537" t="n">
        <v>285.0400085449219</v>
      </c>
      <c r="F1537" t="n">
        <v>21.69613456726074</v>
      </c>
      <c r="G1537" t="n">
        <v>73.10016632080078</v>
      </c>
      <c r="H1537">
        <f>AVERAGE(D1338:D1537)</f>
        <v/>
      </c>
      <c r="I1537">
        <f>AVERAGE(E1338:E1537)</f>
        <v/>
      </c>
      <c r="J1537">
        <f>AVERAGE(F1338:F1537)</f>
        <v/>
      </c>
    </row>
    <row r="1538">
      <c r="C1538" s="539" t="n">
        <v>41681</v>
      </c>
      <c r="D1538" t="n">
        <v>124.3600006103516</v>
      </c>
      <c r="E1538" t="n">
        <v>285.1199951171875</v>
      </c>
      <c r="F1538" t="n">
        <v>21.72192001342773</v>
      </c>
      <c r="G1538" t="n">
        <v>73.10016632080078</v>
      </c>
      <c r="H1538">
        <f>AVERAGE(D1339:D1538)</f>
        <v/>
      </c>
      <c r="I1538">
        <f>AVERAGE(E1339:E1538)</f>
        <v/>
      </c>
      <c r="J1538">
        <f>AVERAGE(F1339:F1538)</f>
        <v/>
      </c>
    </row>
    <row r="1539">
      <c r="C1539" s="539" t="n">
        <v>41682</v>
      </c>
      <c r="D1539" t="n">
        <v>124.4300003051758</v>
      </c>
      <c r="E1539" t="n">
        <v>286.3999938964844</v>
      </c>
      <c r="F1539" t="n">
        <v>21.91103172302246</v>
      </c>
      <c r="G1539" t="n">
        <v>73.11611175537109</v>
      </c>
      <c r="H1539">
        <f>AVERAGE(D1340:D1539)</f>
        <v/>
      </c>
      <c r="I1539">
        <f>AVERAGE(E1340:E1539)</f>
        <v/>
      </c>
      <c r="J1539">
        <f>AVERAGE(F1340:F1539)</f>
        <v/>
      </c>
    </row>
    <row r="1540">
      <c r="C1540" s="539" t="n">
        <v>41683</v>
      </c>
      <c r="D1540" t="n">
        <v>125.4899978637695</v>
      </c>
      <c r="E1540" t="n">
        <v>286.9599914550781</v>
      </c>
      <c r="F1540" t="n">
        <v>21.91103172302246</v>
      </c>
      <c r="G1540" t="n">
        <v>73.11611175537109</v>
      </c>
      <c r="H1540">
        <f>AVERAGE(D1341:D1540)</f>
        <v/>
      </c>
      <c r="I1540">
        <f>AVERAGE(E1341:E1540)</f>
        <v/>
      </c>
      <c r="J1540">
        <f>AVERAGE(F1341:F1540)</f>
        <v/>
      </c>
    </row>
    <row r="1541">
      <c r="C1541" s="539" t="n">
        <v>41684</v>
      </c>
      <c r="D1541" t="n">
        <v>127.1500015258789</v>
      </c>
      <c r="E1541" t="n">
        <v>287.2799987792969</v>
      </c>
      <c r="F1541" t="n">
        <v>21.95401191711426</v>
      </c>
      <c r="G1541" t="n">
        <v>73.11611175537109</v>
      </c>
      <c r="H1541">
        <f>AVERAGE(D1342:D1541)</f>
        <v/>
      </c>
      <c r="I1541">
        <f>AVERAGE(E1342:E1541)</f>
        <v/>
      </c>
      <c r="J1541">
        <f>AVERAGE(F1342:F1541)</f>
        <v/>
      </c>
    </row>
    <row r="1542">
      <c r="C1542" s="539" t="n">
        <v>41688</v>
      </c>
      <c r="D1542" t="n">
        <v>127.4000015258789</v>
      </c>
      <c r="E1542" t="n">
        <v>293.2799987792969</v>
      </c>
      <c r="F1542" t="n">
        <v>22.4611701965332</v>
      </c>
      <c r="G1542" t="n">
        <v>73.10016632080078</v>
      </c>
      <c r="H1542">
        <f>AVERAGE(D1343:D1542)</f>
        <v/>
      </c>
      <c r="I1542">
        <f>AVERAGE(E1343:E1542)</f>
        <v/>
      </c>
      <c r="J1542">
        <f>AVERAGE(F1343:F1542)</f>
        <v/>
      </c>
    </row>
    <row r="1543">
      <c r="C1543" s="539" t="n">
        <v>41689</v>
      </c>
      <c r="D1543" t="n">
        <v>126.2699966430664</v>
      </c>
      <c r="E1543" t="n">
        <v>295.2000122070312</v>
      </c>
      <c r="F1543" t="n">
        <v>22.86517906188965</v>
      </c>
      <c r="G1543" t="n">
        <v>73.11611175537109</v>
      </c>
      <c r="H1543">
        <f>AVERAGE(D1344:D1543)</f>
        <v/>
      </c>
      <c r="I1543">
        <f>AVERAGE(E1344:E1543)</f>
        <v/>
      </c>
      <c r="J1543">
        <f>AVERAGE(F1344:F1543)</f>
        <v/>
      </c>
    </row>
    <row r="1544">
      <c r="C1544" s="539" t="n">
        <v>41690</v>
      </c>
      <c r="D1544" t="n">
        <v>127.5999984741211</v>
      </c>
      <c r="E1544" t="n">
        <v>295.0400085449219</v>
      </c>
      <c r="F1544" t="n">
        <v>22.89096641540527</v>
      </c>
      <c r="G1544" t="n">
        <v>73.11611175537109</v>
      </c>
      <c r="H1544">
        <f>AVERAGE(D1345:D1544)</f>
        <v/>
      </c>
      <c r="I1544">
        <f>AVERAGE(E1345:E1544)</f>
        <v/>
      </c>
      <c r="J1544">
        <f>AVERAGE(F1345:F1544)</f>
        <v/>
      </c>
    </row>
    <row r="1545">
      <c r="C1545" s="539" t="n">
        <v>41691</v>
      </c>
      <c r="D1545" t="n">
        <v>127.5800018310547</v>
      </c>
      <c r="E1545" t="n">
        <v>293.5199890136719</v>
      </c>
      <c r="F1545" t="n">
        <v>22.89956092834473</v>
      </c>
      <c r="G1545" t="n">
        <v>73.10016632080078</v>
      </c>
      <c r="H1545">
        <f>AVERAGE(D1346:D1545)</f>
        <v/>
      </c>
      <c r="I1545">
        <f>AVERAGE(E1346:E1545)</f>
        <v/>
      </c>
      <c r="J1545">
        <f>AVERAGE(F1346:F1545)</f>
        <v/>
      </c>
    </row>
    <row r="1546">
      <c r="C1546" s="539" t="n">
        <v>41694</v>
      </c>
      <c r="D1546" t="n">
        <v>128.9900054931641</v>
      </c>
      <c r="E1546" t="n">
        <v>294.3200073242188</v>
      </c>
      <c r="F1546" t="n">
        <v>23.18322944641113</v>
      </c>
      <c r="G1546" t="n">
        <v>73.11611175537109</v>
      </c>
      <c r="H1546">
        <f>AVERAGE(D1347:D1546)</f>
        <v/>
      </c>
      <c r="I1546">
        <f>AVERAGE(E1347:E1546)</f>
        <v/>
      </c>
      <c r="J1546">
        <f>AVERAGE(F1347:F1546)</f>
        <v/>
      </c>
    </row>
    <row r="1547">
      <c r="C1547" s="539" t="n">
        <v>41695</v>
      </c>
      <c r="D1547" t="n">
        <v>129.2100067138672</v>
      </c>
      <c r="E1547" t="n">
        <v>292.7200012207031</v>
      </c>
      <c r="F1547" t="n">
        <v>23.27778434753418</v>
      </c>
      <c r="G1547" t="n">
        <v>73.11611175537109</v>
      </c>
      <c r="H1547">
        <f>AVERAGE(D1348:D1547)</f>
        <v/>
      </c>
      <c r="I1547">
        <f>AVERAGE(E1348:E1547)</f>
        <v/>
      </c>
      <c r="J1547">
        <f>AVERAGE(F1348:F1547)</f>
        <v/>
      </c>
    </row>
    <row r="1548">
      <c r="C1548" s="539" t="n">
        <v>41696</v>
      </c>
      <c r="D1548" t="n">
        <v>128.1100006103516</v>
      </c>
      <c r="E1548" t="n">
        <v>294</v>
      </c>
      <c r="F1548" t="n">
        <v>23.3035717010498</v>
      </c>
      <c r="G1548" t="n">
        <v>73.11611175537109</v>
      </c>
      <c r="H1548">
        <f>AVERAGE(D1349:D1548)</f>
        <v/>
      </c>
      <c r="I1548">
        <f>AVERAGE(E1349:E1548)</f>
        <v/>
      </c>
      <c r="J1548">
        <f>AVERAGE(F1349:F1548)</f>
        <v/>
      </c>
    </row>
    <row r="1549">
      <c r="C1549" s="539" t="n">
        <v>41697</v>
      </c>
      <c r="D1549" t="n">
        <v>128.1999969482422</v>
      </c>
      <c r="E1549" t="n">
        <v>293.5199890136719</v>
      </c>
      <c r="F1549" t="n">
        <v>23.33795356750488</v>
      </c>
      <c r="G1549" t="n">
        <v>73.10016632080078</v>
      </c>
      <c r="H1549">
        <f>AVERAGE(D1350:D1549)</f>
        <v/>
      </c>
      <c r="I1549">
        <f>AVERAGE(E1350:E1549)</f>
        <v/>
      </c>
      <c r="J1549">
        <f>AVERAGE(F1350:F1549)</f>
        <v/>
      </c>
    </row>
    <row r="1550">
      <c r="C1550" s="539" t="n">
        <v>41698</v>
      </c>
      <c r="D1550" t="n">
        <v>127.620002746582</v>
      </c>
      <c r="E1550" t="n">
        <v>293.9200134277344</v>
      </c>
      <c r="F1550" t="n">
        <v>23.52706718444824</v>
      </c>
      <c r="G1550" t="n">
        <v>73.11611175537109</v>
      </c>
      <c r="H1550">
        <f>AVERAGE(D1351:D1550)</f>
        <v/>
      </c>
      <c r="I1550">
        <f>AVERAGE(E1351:E1550)</f>
        <v/>
      </c>
      <c r="J1550">
        <f>AVERAGE(F1351:F1550)</f>
        <v/>
      </c>
    </row>
    <row r="1551">
      <c r="C1551" s="539" t="n">
        <v>41701</v>
      </c>
      <c r="D1551" t="n">
        <v>130.2899932861328</v>
      </c>
      <c r="E1551" t="n">
        <v>300.1600036621094</v>
      </c>
      <c r="F1551" t="n">
        <v>24.12018585205078</v>
      </c>
      <c r="G1551" t="n">
        <v>73.11611175537109</v>
      </c>
      <c r="H1551">
        <f>AVERAGE(D1352:D1551)</f>
        <v/>
      </c>
      <c r="I1551">
        <f>AVERAGE(E1352:E1551)</f>
        <v/>
      </c>
      <c r="J1551">
        <f>AVERAGE(F1352:F1551)</f>
        <v/>
      </c>
    </row>
    <row r="1552">
      <c r="C1552" s="539" t="n">
        <v>41702</v>
      </c>
      <c r="D1552" t="n">
        <v>128.6799926757812</v>
      </c>
      <c r="E1552" t="n">
        <v>296.4800109863281</v>
      </c>
      <c r="F1552" t="n">
        <v>24.03422737121582</v>
      </c>
      <c r="G1552" t="n">
        <v>73.10016632080078</v>
      </c>
      <c r="H1552">
        <f>AVERAGE(D1353:D1552)</f>
        <v/>
      </c>
      <c r="I1552">
        <f>AVERAGE(E1353:E1552)</f>
        <v/>
      </c>
      <c r="J1552">
        <f>AVERAGE(F1353:F1552)</f>
        <v/>
      </c>
    </row>
    <row r="1553">
      <c r="C1553" s="539" t="n">
        <v>41703</v>
      </c>
      <c r="D1553" t="n">
        <v>128.8899993896484</v>
      </c>
      <c r="E1553" t="n">
        <v>289.9200134277344</v>
      </c>
      <c r="F1553" t="n">
        <v>24.37806510925293</v>
      </c>
      <c r="G1553" t="n">
        <v>73.11611175537109</v>
      </c>
      <c r="H1553">
        <f>AVERAGE(D1354:D1553)</f>
        <v/>
      </c>
      <c r="I1553">
        <f>AVERAGE(E1354:E1553)</f>
        <v/>
      </c>
      <c r="J1553">
        <f>AVERAGE(F1354:F1553)</f>
        <v/>
      </c>
    </row>
    <row r="1554">
      <c r="C1554" s="539" t="n">
        <v>41704</v>
      </c>
      <c r="D1554" t="n">
        <v>130.1699981689453</v>
      </c>
      <c r="E1554" t="n">
        <v>292.5599975585938</v>
      </c>
      <c r="F1554" t="n">
        <v>24.34367942810059</v>
      </c>
      <c r="G1554" t="n">
        <v>73.11611175537109</v>
      </c>
      <c r="H1554">
        <f>AVERAGE(D1355:D1554)</f>
        <v/>
      </c>
      <c r="I1554">
        <f>AVERAGE(E1355:E1554)</f>
        <v/>
      </c>
      <c r="J1554">
        <f>AVERAGE(F1355:F1554)</f>
        <v/>
      </c>
    </row>
    <row r="1555">
      <c r="C1555" s="539" t="n">
        <v>41705</v>
      </c>
      <c r="D1555" t="n">
        <v>129.0899963378906</v>
      </c>
      <c r="E1555" t="n">
        <v>294.239990234375</v>
      </c>
      <c r="F1555" t="n">
        <v>24.39525413513184</v>
      </c>
      <c r="G1555" t="n">
        <v>73.10016632080078</v>
      </c>
      <c r="H1555">
        <f>AVERAGE(D1356:D1555)</f>
        <v/>
      </c>
      <c r="I1555">
        <f>AVERAGE(E1356:E1555)</f>
        <v/>
      </c>
      <c r="J1555">
        <f>AVERAGE(F1356:F1555)</f>
        <v/>
      </c>
    </row>
    <row r="1556">
      <c r="C1556" s="539" t="n">
        <v>41708</v>
      </c>
      <c r="D1556" t="n">
        <v>129.1300048828125</v>
      </c>
      <c r="E1556" t="n">
        <v>290.3999938964844</v>
      </c>
      <c r="F1556" t="n">
        <v>24.50700378417969</v>
      </c>
      <c r="G1556" t="n">
        <v>73.10016632080078</v>
      </c>
      <c r="H1556">
        <f>AVERAGE(D1357:D1556)</f>
        <v/>
      </c>
      <c r="I1556">
        <f>AVERAGE(E1357:E1556)</f>
        <v/>
      </c>
      <c r="J1556">
        <f>AVERAGE(F1357:F1556)</f>
        <v/>
      </c>
    </row>
    <row r="1557">
      <c r="C1557" s="539" t="n">
        <v>41709</v>
      </c>
      <c r="D1557" t="n">
        <v>129.8600006103516</v>
      </c>
      <c r="E1557" t="n">
        <v>286.4800109863281</v>
      </c>
      <c r="F1557" t="n">
        <v>24.72190284729004</v>
      </c>
      <c r="G1557" t="n">
        <v>73.10016632080078</v>
      </c>
      <c r="H1557">
        <f>AVERAGE(D1358:D1557)</f>
        <v/>
      </c>
      <c r="I1557">
        <f>AVERAGE(E1358:E1557)</f>
        <v/>
      </c>
      <c r="J1557">
        <f>AVERAGE(F1358:F1557)</f>
        <v/>
      </c>
    </row>
    <row r="1558">
      <c r="C1558" s="539" t="n">
        <v>41710</v>
      </c>
      <c r="D1558" t="n">
        <v>131.7599945068359</v>
      </c>
      <c r="E1558" t="n">
        <v>282.7999877929688</v>
      </c>
      <c r="F1558" t="n">
        <v>24.70470809936523</v>
      </c>
      <c r="G1558" t="n">
        <v>73.10016632080078</v>
      </c>
      <c r="H1558">
        <f>AVERAGE(D1359:D1558)</f>
        <v/>
      </c>
      <c r="I1558">
        <f>AVERAGE(E1359:E1558)</f>
        <v/>
      </c>
      <c r="J1558">
        <f>AVERAGE(F1359:F1558)</f>
        <v/>
      </c>
    </row>
    <row r="1559">
      <c r="C1559" s="539" t="n">
        <v>41711</v>
      </c>
      <c r="D1559" t="n">
        <v>132.2100067138672</v>
      </c>
      <c r="E1559" t="n">
        <v>282.7200012207031</v>
      </c>
      <c r="F1559" t="n">
        <v>24.73909378051758</v>
      </c>
      <c r="G1559" t="n">
        <v>73.10016632080078</v>
      </c>
      <c r="H1559">
        <f>AVERAGE(D1360:D1559)</f>
        <v/>
      </c>
      <c r="I1559">
        <f>AVERAGE(E1360:E1559)</f>
        <v/>
      </c>
      <c r="J1559">
        <f>AVERAGE(F1360:F1559)</f>
        <v/>
      </c>
    </row>
    <row r="1560">
      <c r="C1560" s="539" t="n">
        <v>41712</v>
      </c>
      <c r="D1560" t="n">
        <v>133.1000061035156</v>
      </c>
      <c r="E1560" t="n">
        <v>284.239990234375</v>
      </c>
      <c r="F1560" t="n">
        <v>24.5843677520752</v>
      </c>
      <c r="G1560" t="n">
        <v>73.10016632080078</v>
      </c>
      <c r="H1560">
        <f>AVERAGE(D1361:D1560)</f>
        <v/>
      </c>
      <c r="I1560">
        <f>AVERAGE(E1361:E1560)</f>
        <v/>
      </c>
      <c r="J1560">
        <f>AVERAGE(F1361:F1560)</f>
        <v/>
      </c>
    </row>
    <row r="1561">
      <c r="C1561" s="539" t="n">
        <v>41715</v>
      </c>
      <c r="D1561" t="n">
        <v>131.6399993896484</v>
      </c>
      <c r="E1561" t="n">
        <v>281.2000122070312</v>
      </c>
      <c r="F1561" t="n">
        <v>24.44683074951172</v>
      </c>
      <c r="G1561" t="n">
        <v>73.10016632080078</v>
      </c>
      <c r="H1561">
        <f>AVERAGE(D1362:D1561)</f>
        <v/>
      </c>
      <c r="I1561">
        <f>AVERAGE(E1362:E1561)</f>
        <v/>
      </c>
      <c r="J1561">
        <f>AVERAGE(F1362:F1561)</f>
        <v/>
      </c>
    </row>
    <row r="1562">
      <c r="C1562" s="539" t="n">
        <v>41716</v>
      </c>
      <c r="D1562" t="n">
        <v>130.6199951171875</v>
      </c>
      <c r="E1562" t="n">
        <v>284.6400146484375</v>
      </c>
      <c r="F1562" t="n">
        <v>24.6875171661377</v>
      </c>
      <c r="G1562" t="n">
        <v>73.10016632080078</v>
      </c>
      <c r="H1562">
        <f>AVERAGE(D1363:D1562)</f>
        <v/>
      </c>
      <c r="I1562">
        <f>AVERAGE(E1363:E1562)</f>
        <v/>
      </c>
      <c r="J1562">
        <f>AVERAGE(F1363:F1562)</f>
        <v/>
      </c>
    </row>
    <row r="1563">
      <c r="C1563" s="539" t="n">
        <v>41717</v>
      </c>
      <c r="D1563" t="n">
        <v>128.0899963378906</v>
      </c>
      <c r="E1563" t="n">
        <v>285.6799926757812</v>
      </c>
      <c r="F1563" t="n">
        <v>24.63594245910645</v>
      </c>
      <c r="G1563" t="n">
        <v>73.11611175537109</v>
      </c>
      <c r="H1563">
        <f>AVERAGE(D1364:D1563)</f>
        <v/>
      </c>
      <c r="I1563">
        <f>AVERAGE(E1364:E1563)</f>
        <v/>
      </c>
      <c r="J1563">
        <f>AVERAGE(F1364:F1563)</f>
        <v/>
      </c>
    </row>
    <row r="1564">
      <c r="C1564" s="539" t="n">
        <v>41718</v>
      </c>
      <c r="D1564" t="n">
        <v>127.8600006103516</v>
      </c>
      <c r="E1564" t="n">
        <v>284.6400146484375</v>
      </c>
      <c r="F1564" t="n">
        <v>24.16316795349121</v>
      </c>
      <c r="G1564" t="n">
        <v>73.10016632080078</v>
      </c>
      <c r="H1564">
        <f>AVERAGE(D1365:D1564)</f>
        <v/>
      </c>
      <c r="I1564">
        <f>AVERAGE(E1365:E1564)</f>
        <v/>
      </c>
      <c r="J1564">
        <f>AVERAGE(F1365:F1564)</f>
        <v/>
      </c>
    </row>
    <row r="1565">
      <c r="C1565" s="539" t="n">
        <v>41719</v>
      </c>
      <c r="D1565" t="n">
        <v>128.4700012207031</v>
      </c>
      <c r="E1565" t="n">
        <v>286.7200012207031</v>
      </c>
      <c r="F1565" t="n">
        <v>23.93967056274414</v>
      </c>
      <c r="G1565" t="n">
        <v>73.11611175537109</v>
      </c>
      <c r="H1565">
        <f>AVERAGE(D1366:D1565)</f>
        <v/>
      </c>
      <c r="I1565">
        <f>AVERAGE(E1366:E1565)</f>
        <v/>
      </c>
      <c r="J1565">
        <f>AVERAGE(F1366:F1565)</f>
        <v/>
      </c>
    </row>
    <row r="1566">
      <c r="C1566" s="539" t="n">
        <v>41722</v>
      </c>
      <c r="D1566" t="n">
        <v>126.1800003051758</v>
      </c>
      <c r="E1566" t="n">
        <v>286.5599975585938</v>
      </c>
      <c r="F1566" t="n">
        <v>24.10299491882324</v>
      </c>
      <c r="G1566" t="n">
        <v>73.11611175537109</v>
      </c>
      <c r="H1566">
        <f>AVERAGE(D1367:D1566)</f>
        <v/>
      </c>
      <c r="I1566">
        <f>AVERAGE(E1367:E1566)</f>
        <v/>
      </c>
      <c r="J1566">
        <f>AVERAGE(F1367:F1566)</f>
        <v/>
      </c>
    </row>
    <row r="1567">
      <c r="C1567" s="539" t="n">
        <v>41723</v>
      </c>
      <c r="D1567" t="n">
        <v>126.4100036621094</v>
      </c>
      <c r="E1567" t="n">
        <v>286.1600036621094</v>
      </c>
      <c r="F1567" t="n">
        <v>24.12018585205078</v>
      </c>
      <c r="G1567" t="n">
        <v>73.11611175537109</v>
      </c>
      <c r="H1567">
        <f>AVERAGE(D1368:D1567)</f>
        <v/>
      </c>
      <c r="I1567">
        <f>AVERAGE(E1368:E1567)</f>
        <v/>
      </c>
      <c r="J1567">
        <f>AVERAGE(F1368:F1567)</f>
        <v/>
      </c>
    </row>
    <row r="1568">
      <c r="C1568" s="539" t="n">
        <v>41724</v>
      </c>
      <c r="D1568" t="n">
        <v>125.4100036621094</v>
      </c>
      <c r="E1568" t="n">
        <v>288.7200012207031</v>
      </c>
      <c r="F1568" t="n">
        <v>24.18035888671875</v>
      </c>
      <c r="G1568" t="n">
        <v>73.10016632080078</v>
      </c>
      <c r="H1568">
        <f>AVERAGE(D1369:D1568)</f>
        <v/>
      </c>
      <c r="I1568">
        <f>AVERAGE(E1369:E1568)</f>
        <v/>
      </c>
      <c r="J1568">
        <f>AVERAGE(F1369:F1568)</f>
        <v/>
      </c>
    </row>
    <row r="1569">
      <c r="C1569" s="539" t="n">
        <v>41725</v>
      </c>
      <c r="D1569" t="n">
        <v>124.5899963378906</v>
      </c>
      <c r="E1569" t="n">
        <v>292</v>
      </c>
      <c r="F1569" t="n">
        <v>24.45542907714844</v>
      </c>
      <c r="G1569" t="n">
        <v>73.10016632080078</v>
      </c>
      <c r="H1569">
        <f>AVERAGE(D1370:D1569)</f>
        <v/>
      </c>
      <c r="I1569">
        <f>AVERAGE(E1370:E1569)</f>
        <v/>
      </c>
      <c r="J1569">
        <f>AVERAGE(F1370:F1569)</f>
        <v/>
      </c>
    </row>
    <row r="1570">
      <c r="C1570" s="539" t="n">
        <v>41726</v>
      </c>
      <c r="D1570" t="n">
        <v>124.5599975585938</v>
      </c>
      <c r="E1570" t="n">
        <v>292.9599914550781</v>
      </c>
      <c r="F1570" t="n">
        <v>24.43823432922363</v>
      </c>
      <c r="G1570" t="n">
        <v>73.10016632080078</v>
      </c>
      <c r="H1570">
        <f>AVERAGE(D1371:D1570)</f>
        <v/>
      </c>
      <c r="I1570">
        <f>AVERAGE(E1371:E1570)</f>
        <v/>
      </c>
      <c r="J1570">
        <f>AVERAGE(F1371:F1570)</f>
        <v/>
      </c>
    </row>
    <row r="1571">
      <c r="C1571" s="539" t="n">
        <v>41729</v>
      </c>
      <c r="D1571" t="n">
        <v>123.6100006103516</v>
      </c>
      <c r="E1571" t="n">
        <v>292.7200012207031</v>
      </c>
      <c r="F1571" t="n">
        <v>24.35227584838867</v>
      </c>
      <c r="G1571" t="n">
        <v>73.10016632080078</v>
      </c>
      <c r="H1571">
        <f>AVERAGE(D1372:D1571)</f>
        <v/>
      </c>
      <c r="I1571">
        <f>AVERAGE(E1372:E1571)</f>
        <v/>
      </c>
      <c r="J1571">
        <f>AVERAGE(F1372:F1571)</f>
        <v/>
      </c>
    </row>
    <row r="1572">
      <c r="C1572" s="539" t="n">
        <v>41730</v>
      </c>
      <c r="D1572" t="n">
        <v>123.3899993896484</v>
      </c>
      <c r="E1572" t="n">
        <v>286.6400146484375</v>
      </c>
      <c r="F1572" t="n">
        <v>24.23193359375</v>
      </c>
      <c r="G1572" t="n">
        <v>73.10016632080078</v>
      </c>
      <c r="H1572">
        <f>AVERAGE(D1373:D1572)</f>
        <v/>
      </c>
      <c r="I1572">
        <f>AVERAGE(E1373:E1572)</f>
        <v/>
      </c>
      <c r="J1572">
        <f>AVERAGE(F1373:F1572)</f>
        <v/>
      </c>
    </row>
    <row r="1573">
      <c r="C1573" s="539" t="n">
        <v>41731</v>
      </c>
      <c r="D1573" t="n">
        <v>124.3199996948242</v>
      </c>
      <c r="E1573" t="n">
        <v>286.3999938964844</v>
      </c>
      <c r="F1573" t="n">
        <v>23.92247772216797</v>
      </c>
      <c r="G1573" t="n">
        <v>73.10016632080078</v>
      </c>
      <c r="H1573">
        <f>AVERAGE(D1374:D1573)</f>
        <v/>
      </c>
      <c r="I1573">
        <f>AVERAGE(E1374:E1573)</f>
        <v/>
      </c>
      <c r="J1573">
        <f>AVERAGE(F1374:F1573)</f>
        <v/>
      </c>
    </row>
    <row r="1574">
      <c r="C1574" s="539" t="n">
        <v>41732</v>
      </c>
      <c r="D1574" t="n">
        <v>123.9199981689453</v>
      </c>
      <c r="E1574" t="n">
        <v>289.1199951171875</v>
      </c>
      <c r="F1574" t="n">
        <v>24.0686092376709</v>
      </c>
      <c r="G1574" t="n">
        <v>73.11611175537109</v>
      </c>
      <c r="H1574">
        <f>AVERAGE(D1375:D1574)</f>
        <v/>
      </c>
      <c r="I1574">
        <f>AVERAGE(E1375:E1574)</f>
        <v/>
      </c>
      <c r="J1574">
        <f>AVERAGE(F1375:F1574)</f>
        <v/>
      </c>
    </row>
    <row r="1575">
      <c r="C1575" s="539" t="n">
        <v>41733</v>
      </c>
      <c r="D1575" t="n">
        <v>125.5699996948242</v>
      </c>
      <c r="E1575" t="n">
        <v>291.4400024414062</v>
      </c>
      <c r="F1575" t="n">
        <v>24.30070114135742</v>
      </c>
      <c r="G1575" t="n">
        <v>73.10016632080078</v>
      </c>
      <c r="H1575">
        <f>AVERAGE(D1376:D1575)</f>
        <v/>
      </c>
      <c r="I1575">
        <f>AVERAGE(E1376:E1575)</f>
        <v/>
      </c>
      <c r="J1575">
        <f>AVERAGE(F1376:F1575)</f>
        <v/>
      </c>
    </row>
    <row r="1576">
      <c r="C1576" s="539" t="n">
        <v>41736</v>
      </c>
      <c r="D1576" t="n">
        <v>124.9100036621094</v>
      </c>
      <c r="E1576" t="n">
        <v>290.239990234375</v>
      </c>
      <c r="F1576" t="n">
        <v>24.48121452331543</v>
      </c>
      <c r="G1576" t="n">
        <v>73.10016632080078</v>
      </c>
      <c r="H1576">
        <f>AVERAGE(D1377:D1576)</f>
        <v/>
      </c>
      <c r="I1576">
        <f>AVERAGE(E1377:E1576)</f>
        <v/>
      </c>
      <c r="J1576">
        <f>AVERAGE(F1377:F1576)</f>
        <v/>
      </c>
    </row>
    <row r="1577">
      <c r="C1577" s="539" t="n">
        <v>41737</v>
      </c>
      <c r="D1577" t="n">
        <v>126.0899963378906</v>
      </c>
      <c r="E1577" t="n">
        <v>295.2000122070312</v>
      </c>
      <c r="F1577" t="n">
        <v>24.60156059265137</v>
      </c>
      <c r="G1577" t="n">
        <v>73.10016632080078</v>
      </c>
      <c r="H1577">
        <f>AVERAGE(D1378:D1577)</f>
        <v/>
      </c>
      <c r="I1577">
        <f>AVERAGE(E1378:E1577)</f>
        <v/>
      </c>
      <c r="J1577">
        <f>AVERAGE(F1378:F1577)</f>
        <v/>
      </c>
    </row>
    <row r="1578">
      <c r="C1578" s="539" t="n">
        <v>41738</v>
      </c>
      <c r="D1578" t="n">
        <v>126.3199996948242</v>
      </c>
      <c r="E1578" t="n">
        <v>297.760009765625</v>
      </c>
      <c r="F1578" t="n">
        <v>24.70470809936523</v>
      </c>
      <c r="G1578" t="n">
        <v>73.10016632080078</v>
      </c>
      <c r="H1578">
        <f>AVERAGE(D1379:D1578)</f>
        <v/>
      </c>
      <c r="I1578">
        <f>AVERAGE(E1379:E1578)</f>
        <v/>
      </c>
      <c r="J1578">
        <f>AVERAGE(F1379:F1578)</f>
        <v/>
      </c>
    </row>
    <row r="1579">
      <c r="C1579" s="539" t="n">
        <v>41739</v>
      </c>
      <c r="D1579" t="n">
        <v>127.0100021362305</v>
      </c>
      <c r="E1579" t="n">
        <v>297.6000061035156</v>
      </c>
      <c r="F1579" t="n">
        <v>24.73909378051758</v>
      </c>
      <c r="G1579" t="n">
        <v>73.10016632080078</v>
      </c>
      <c r="H1579">
        <f>AVERAGE(D1380:D1579)</f>
        <v/>
      </c>
      <c r="I1579">
        <f>AVERAGE(E1380:E1579)</f>
        <v/>
      </c>
      <c r="J1579">
        <f>AVERAGE(F1380:F1579)</f>
        <v/>
      </c>
    </row>
    <row r="1580">
      <c r="C1580" s="539" t="n">
        <v>41740</v>
      </c>
      <c r="D1580" t="n">
        <v>126.9300003051758</v>
      </c>
      <c r="E1580" t="n">
        <v>297.4400024414062</v>
      </c>
      <c r="F1580" t="n">
        <v>24.54998397827148</v>
      </c>
      <c r="G1580" t="n">
        <v>73.10016632080078</v>
      </c>
      <c r="H1580">
        <f>AVERAGE(D1381:D1580)</f>
        <v/>
      </c>
      <c r="I1580">
        <f>AVERAGE(E1381:E1580)</f>
        <v/>
      </c>
      <c r="J1580">
        <f>AVERAGE(F1381:F1580)</f>
        <v/>
      </c>
    </row>
    <row r="1581">
      <c r="C1581" s="539" t="n">
        <v>41743</v>
      </c>
      <c r="D1581" t="n">
        <v>127.8499984741211</v>
      </c>
      <c r="E1581" t="n">
        <v>299.0400085449219</v>
      </c>
      <c r="F1581" t="n">
        <v>24.81645965576172</v>
      </c>
      <c r="G1581" t="n">
        <v>73.10016632080078</v>
      </c>
      <c r="H1581">
        <f>AVERAGE(D1382:D1581)</f>
        <v/>
      </c>
      <c r="I1581">
        <f>AVERAGE(E1382:E1581)</f>
        <v/>
      </c>
      <c r="J1581">
        <f>AVERAGE(F1382:F1581)</f>
        <v/>
      </c>
    </row>
    <row r="1582">
      <c r="C1582" s="539" t="n">
        <v>41744</v>
      </c>
      <c r="D1582" t="n">
        <v>125.4899978637695</v>
      </c>
      <c r="E1582" t="n">
        <v>299.1199951171875</v>
      </c>
      <c r="F1582" t="n">
        <v>24.62734603881836</v>
      </c>
      <c r="G1582" t="n">
        <v>73.10016632080078</v>
      </c>
      <c r="H1582">
        <f>AVERAGE(D1383:D1582)</f>
        <v/>
      </c>
      <c r="I1582">
        <f>AVERAGE(E1383:E1582)</f>
        <v/>
      </c>
      <c r="J1582">
        <f>AVERAGE(F1383:F1582)</f>
        <v/>
      </c>
    </row>
    <row r="1583">
      <c r="C1583" s="539" t="n">
        <v>41745</v>
      </c>
      <c r="D1583" t="n">
        <v>125.5400009155273</v>
      </c>
      <c r="E1583" t="n">
        <v>299.8399963378906</v>
      </c>
      <c r="F1583" t="n">
        <v>24.51559829711914</v>
      </c>
      <c r="G1583" t="n">
        <v>73.10016632080078</v>
      </c>
      <c r="H1583">
        <f>AVERAGE(D1384:D1583)</f>
        <v/>
      </c>
      <c r="I1583">
        <f>AVERAGE(E1384:E1583)</f>
        <v/>
      </c>
      <c r="J1583">
        <f>AVERAGE(F1384:F1583)</f>
        <v/>
      </c>
    </row>
    <row r="1584">
      <c r="C1584" s="539" t="n">
        <v>41746</v>
      </c>
      <c r="D1584" t="n">
        <v>124.75</v>
      </c>
      <c r="E1584" t="n">
        <v>301.2799987792969</v>
      </c>
      <c r="F1584" t="n">
        <v>24.82505035400391</v>
      </c>
      <c r="G1584" t="n">
        <v>73.11611175537109</v>
      </c>
      <c r="H1584">
        <f>AVERAGE(D1385:D1584)</f>
        <v/>
      </c>
      <c r="I1584">
        <f>AVERAGE(E1385:E1584)</f>
        <v/>
      </c>
      <c r="J1584">
        <f>AVERAGE(F1385:F1584)</f>
        <v/>
      </c>
    </row>
    <row r="1585">
      <c r="C1585" s="539" t="n">
        <v>41750</v>
      </c>
      <c r="D1585" t="n">
        <v>124.2399978637695</v>
      </c>
      <c r="E1585" t="n">
        <v>301.1199951171875</v>
      </c>
      <c r="F1585" t="n">
        <v>24.48981285095215</v>
      </c>
      <c r="G1585" t="n">
        <v>73.10016632080078</v>
      </c>
      <c r="H1585">
        <f>AVERAGE(D1386:D1585)</f>
        <v/>
      </c>
      <c r="I1585">
        <f>AVERAGE(E1386:E1585)</f>
        <v/>
      </c>
      <c r="J1585">
        <f>AVERAGE(F1386:F1585)</f>
        <v/>
      </c>
    </row>
    <row r="1586">
      <c r="C1586" s="539" t="n">
        <v>41751</v>
      </c>
      <c r="D1586" t="n">
        <v>123.7799987792969</v>
      </c>
      <c r="E1586" t="n">
        <v>296</v>
      </c>
      <c r="F1586" t="n">
        <v>24.92820358276367</v>
      </c>
      <c r="G1586" t="n">
        <v>73.08416748046875</v>
      </c>
      <c r="H1586">
        <f>AVERAGE(D1387:D1586)</f>
        <v/>
      </c>
      <c r="I1586">
        <f>AVERAGE(E1387:E1586)</f>
        <v/>
      </c>
      <c r="J1586">
        <f>AVERAGE(F1387:F1586)</f>
        <v/>
      </c>
    </row>
    <row r="1587">
      <c r="C1587" s="539" t="n">
        <v>41752</v>
      </c>
      <c r="D1587" t="n">
        <v>123.7600021362305</v>
      </c>
      <c r="E1587" t="n">
        <v>295.2799987792969</v>
      </c>
      <c r="F1587" t="n">
        <v>25.10871887207031</v>
      </c>
      <c r="G1587" t="n">
        <v>73.10016632080078</v>
      </c>
      <c r="H1587">
        <f>AVERAGE(D1388:D1587)</f>
        <v/>
      </c>
      <c r="I1587">
        <f>AVERAGE(E1388:E1587)</f>
        <v/>
      </c>
      <c r="J1587">
        <f>AVERAGE(F1388:F1587)</f>
        <v/>
      </c>
    </row>
    <row r="1588">
      <c r="C1588" s="539" t="n">
        <v>41753</v>
      </c>
      <c r="D1588" t="n">
        <v>124.5599975585938</v>
      </c>
      <c r="E1588" t="n">
        <v>296.3999938964844</v>
      </c>
      <c r="F1588" t="n">
        <v>25.10871887207031</v>
      </c>
      <c r="G1588" t="n">
        <v>73.10016632080078</v>
      </c>
      <c r="H1588">
        <f>AVERAGE(D1389:D1588)</f>
        <v/>
      </c>
      <c r="I1588">
        <f>AVERAGE(E1389:E1588)</f>
        <v/>
      </c>
      <c r="J1588">
        <f>AVERAGE(F1389:F1588)</f>
        <v/>
      </c>
    </row>
    <row r="1589">
      <c r="C1589" s="539" t="n">
        <v>41754</v>
      </c>
      <c r="D1589" t="n">
        <v>125.4300003051758</v>
      </c>
      <c r="E1589" t="n">
        <v>292.7999877929688</v>
      </c>
      <c r="F1589" t="n">
        <v>25.02276039123535</v>
      </c>
      <c r="G1589" t="n">
        <v>73.10016632080078</v>
      </c>
      <c r="H1589">
        <f>AVERAGE(D1390:D1589)</f>
        <v/>
      </c>
      <c r="I1589">
        <f>AVERAGE(E1390:E1589)</f>
        <v/>
      </c>
      <c r="J1589">
        <f>AVERAGE(F1390:F1589)</f>
        <v/>
      </c>
    </row>
    <row r="1590">
      <c r="C1590" s="539" t="n">
        <v>41757</v>
      </c>
      <c r="D1590" t="n">
        <v>124.879997253418</v>
      </c>
      <c r="E1590" t="n">
        <v>293.6799926757812</v>
      </c>
      <c r="F1590" t="n">
        <v>24.92820358276367</v>
      </c>
      <c r="G1590" t="n">
        <v>73.10016632080078</v>
      </c>
      <c r="H1590">
        <f>AVERAGE(D1391:D1590)</f>
        <v/>
      </c>
      <c r="I1590">
        <f>AVERAGE(E1391:E1590)</f>
        <v/>
      </c>
      <c r="J1590">
        <f>AVERAGE(F1391:F1590)</f>
        <v/>
      </c>
    </row>
    <row r="1591">
      <c r="C1591" s="539" t="n">
        <v>41758</v>
      </c>
      <c r="D1591" t="n">
        <v>124.8600006103516</v>
      </c>
      <c r="E1591" t="n">
        <v>293.760009765625</v>
      </c>
      <c r="F1591" t="n">
        <v>25.25485038757324</v>
      </c>
      <c r="G1591" t="n">
        <v>73.10016632080078</v>
      </c>
      <c r="H1591">
        <f>AVERAGE(D1392:D1591)</f>
        <v/>
      </c>
      <c r="I1591">
        <f>AVERAGE(E1392:E1591)</f>
        <v/>
      </c>
      <c r="J1591">
        <f>AVERAGE(F1392:F1591)</f>
        <v/>
      </c>
    </row>
    <row r="1592">
      <c r="C1592" s="539" t="n">
        <v>41759</v>
      </c>
      <c r="D1592" t="n">
        <v>124.2200012207031</v>
      </c>
      <c r="E1592" t="n">
        <v>290.5599975585938</v>
      </c>
      <c r="F1592" t="n">
        <v>25.1602954864502</v>
      </c>
      <c r="G1592" t="n">
        <v>73.10016632080078</v>
      </c>
      <c r="H1592">
        <f>AVERAGE(D1393:D1592)</f>
        <v/>
      </c>
      <c r="I1592">
        <f>AVERAGE(E1393:E1592)</f>
        <v/>
      </c>
      <c r="J1592">
        <f>AVERAGE(F1393:F1592)</f>
        <v/>
      </c>
    </row>
    <row r="1593">
      <c r="C1593" s="539" t="n">
        <v>41760</v>
      </c>
      <c r="D1593" t="n">
        <v>123.8000030517578</v>
      </c>
      <c r="E1593" t="n">
        <v>289.2799987792969</v>
      </c>
      <c r="F1593" t="n">
        <v>25.03995132446289</v>
      </c>
      <c r="G1593" t="n">
        <v>73.08416748046875</v>
      </c>
      <c r="H1593">
        <f>AVERAGE(D1394:D1593)</f>
        <v/>
      </c>
      <c r="I1593">
        <f>AVERAGE(E1394:E1593)</f>
        <v/>
      </c>
      <c r="J1593">
        <f>AVERAGE(F1394:F1593)</f>
        <v/>
      </c>
    </row>
    <row r="1594">
      <c r="C1594" s="539" t="n">
        <v>41761</v>
      </c>
      <c r="D1594" t="n">
        <v>125.0599975585938</v>
      </c>
      <c r="E1594" t="n">
        <v>290.3200073242188</v>
      </c>
      <c r="F1594" t="n">
        <v>24.87662887573242</v>
      </c>
      <c r="G1594" t="n">
        <v>73.10016632080078</v>
      </c>
      <c r="H1594">
        <f>AVERAGE(D1395:D1594)</f>
        <v/>
      </c>
      <c r="I1594">
        <f>AVERAGE(E1395:E1594)</f>
        <v/>
      </c>
      <c r="J1594">
        <f>AVERAGE(F1395:F1594)</f>
        <v/>
      </c>
    </row>
    <row r="1595">
      <c r="C1595" s="539" t="n">
        <v>41764</v>
      </c>
      <c r="D1595" t="n">
        <v>126.2200012207031</v>
      </c>
      <c r="E1595" t="n">
        <v>289.1199951171875</v>
      </c>
      <c r="F1595" t="n">
        <v>25.03135681152344</v>
      </c>
      <c r="G1595" t="n">
        <v>73.10016632080078</v>
      </c>
      <c r="H1595">
        <f>AVERAGE(D1396:D1595)</f>
        <v/>
      </c>
      <c r="I1595">
        <f>AVERAGE(E1396:E1595)</f>
        <v/>
      </c>
      <c r="J1595">
        <f>AVERAGE(F1396:F1595)</f>
        <v/>
      </c>
    </row>
    <row r="1596">
      <c r="C1596" s="539" t="n">
        <v>41765</v>
      </c>
      <c r="D1596" t="n">
        <v>125.9800033569336</v>
      </c>
      <c r="E1596" t="n">
        <v>289.5199890136719</v>
      </c>
      <c r="F1596" t="n">
        <v>25.03995132446289</v>
      </c>
      <c r="G1596" t="n">
        <v>73.08416748046875</v>
      </c>
      <c r="H1596">
        <f>AVERAGE(D1397:D1596)</f>
        <v/>
      </c>
      <c r="I1596">
        <f>AVERAGE(E1397:E1596)</f>
        <v/>
      </c>
      <c r="J1596">
        <f>AVERAGE(F1397:F1596)</f>
        <v/>
      </c>
    </row>
    <row r="1597">
      <c r="C1597" s="539" t="n">
        <v>41766</v>
      </c>
      <c r="D1597" t="n">
        <v>124.1699981689453</v>
      </c>
      <c r="E1597" t="n">
        <v>292.7999877929688</v>
      </c>
      <c r="F1597" t="n">
        <v>24.9539909362793</v>
      </c>
      <c r="G1597" t="n">
        <v>73.08416748046875</v>
      </c>
      <c r="H1597">
        <f>AVERAGE(D1398:D1597)</f>
        <v/>
      </c>
      <c r="I1597">
        <f>AVERAGE(E1398:E1597)</f>
        <v/>
      </c>
      <c r="J1597">
        <f>AVERAGE(F1398:F1597)</f>
        <v/>
      </c>
    </row>
    <row r="1598">
      <c r="C1598" s="539" t="n">
        <v>41767</v>
      </c>
      <c r="D1598" t="n">
        <v>124.1699981689453</v>
      </c>
      <c r="E1598" t="n">
        <v>291.9200134277344</v>
      </c>
      <c r="F1598" t="n">
        <v>24.82505035400391</v>
      </c>
      <c r="G1598" t="n">
        <v>73.08416748046875</v>
      </c>
      <c r="H1598">
        <f>AVERAGE(D1399:D1598)</f>
        <v/>
      </c>
      <c r="I1598">
        <f>AVERAGE(E1399:E1598)</f>
        <v/>
      </c>
      <c r="J1598">
        <f>AVERAGE(F1399:F1598)</f>
        <v/>
      </c>
    </row>
    <row r="1599">
      <c r="C1599" s="539" t="n">
        <v>41768</v>
      </c>
      <c r="D1599" t="n">
        <v>124.0999984741211</v>
      </c>
      <c r="E1599" t="n">
        <v>291.2000122070312</v>
      </c>
      <c r="F1599" t="n">
        <v>24.48121452331543</v>
      </c>
      <c r="G1599" t="n">
        <v>73.10016632080078</v>
      </c>
      <c r="H1599">
        <f>AVERAGE(D1400:D1599)</f>
        <v/>
      </c>
      <c r="I1599">
        <f>AVERAGE(E1400:E1599)</f>
        <v/>
      </c>
      <c r="J1599">
        <f>AVERAGE(F1400:F1599)</f>
        <v/>
      </c>
    </row>
    <row r="1600">
      <c r="C1600" s="539" t="n">
        <v>41771</v>
      </c>
      <c r="D1600" t="n">
        <v>124.9400024414062</v>
      </c>
      <c r="E1600" t="n">
        <v>292.7200012207031</v>
      </c>
      <c r="F1600" t="n">
        <v>24.50700378417969</v>
      </c>
      <c r="G1600" t="n">
        <v>73.08416748046875</v>
      </c>
      <c r="H1600">
        <f>AVERAGE(D1401:D1600)</f>
        <v/>
      </c>
      <c r="I1600">
        <f>AVERAGE(E1401:E1600)</f>
        <v/>
      </c>
      <c r="J1600">
        <f>AVERAGE(F1401:F1600)</f>
        <v/>
      </c>
    </row>
    <row r="1601">
      <c r="C1601" s="539" t="n">
        <v>41772</v>
      </c>
      <c r="D1601" t="n">
        <v>124.5999984741211</v>
      </c>
      <c r="E1601" t="n">
        <v>296.3200073242188</v>
      </c>
      <c r="F1601" t="n">
        <v>24.57576942443848</v>
      </c>
      <c r="G1601" t="n">
        <v>73.10016632080078</v>
      </c>
      <c r="H1601">
        <f>AVERAGE(D1402:D1601)</f>
        <v/>
      </c>
      <c r="I1601">
        <f>AVERAGE(E1402:E1601)</f>
        <v/>
      </c>
      <c r="J1601">
        <f>AVERAGE(F1402:F1601)</f>
        <v/>
      </c>
    </row>
    <row r="1602">
      <c r="C1602" s="539" t="n">
        <v>41773</v>
      </c>
      <c r="D1602" t="n">
        <v>125.8099975585938</v>
      </c>
      <c r="E1602" t="n">
        <v>297.4400024414062</v>
      </c>
      <c r="F1602" t="n">
        <v>24.56717491149902</v>
      </c>
      <c r="G1602" t="n">
        <v>73.10016632080078</v>
      </c>
      <c r="H1602">
        <f>AVERAGE(D1403:D1602)</f>
        <v/>
      </c>
      <c r="I1602">
        <f>AVERAGE(E1403:E1602)</f>
        <v/>
      </c>
      <c r="J1602">
        <f>AVERAGE(F1403:F1602)</f>
        <v/>
      </c>
    </row>
    <row r="1603">
      <c r="C1603" s="539" t="n">
        <v>41774</v>
      </c>
      <c r="D1603" t="n">
        <v>124.7699966430664</v>
      </c>
      <c r="E1603" t="n">
        <v>296.3200073242188</v>
      </c>
      <c r="F1603" t="n">
        <v>24.59296226501465</v>
      </c>
      <c r="G1603" t="n">
        <v>73.10016632080078</v>
      </c>
      <c r="H1603">
        <f>AVERAGE(D1404:D1603)</f>
        <v/>
      </c>
      <c r="I1603">
        <f>AVERAGE(E1404:E1603)</f>
        <v/>
      </c>
      <c r="J1603">
        <f>AVERAGE(F1404:F1603)</f>
        <v/>
      </c>
    </row>
    <row r="1604">
      <c r="C1604" s="539" t="n">
        <v>41775</v>
      </c>
      <c r="D1604" t="n">
        <v>124.5</v>
      </c>
      <c r="E1604" t="n">
        <v>297.8399963378906</v>
      </c>
      <c r="F1604" t="n">
        <v>24.36946868896484</v>
      </c>
      <c r="G1604" t="n">
        <v>73.10016632080078</v>
      </c>
      <c r="H1604">
        <f>AVERAGE(D1405:D1604)</f>
        <v/>
      </c>
      <c r="I1604">
        <f>AVERAGE(E1405:E1604)</f>
        <v/>
      </c>
      <c r="J1604">
        <f>AVERAGE(F1405:F1604)</f>
        <v/>
      </c>
    </row>
    <row r="1605">
      <c r="C1605" s="539" t="n">
        <v>41778</v>
      </c>
      <c r="D1605" t="n">
        <v>124.5800018310547</v>
      </c>
      <c r="E1605" t="n">
        <v>299.0400085449219</v>
      </c>
      <c r="F1605" t="n">
        <v>24.36087417602539</v>
      </c>
      <c r="G1605" t="n">
        <v>73.10016632080078</v>
      </c>
      <c r="H1605">
        <f>AVERAGE(D1406:D1605)</f>
        <v/>
      </c>
      <c r="I1605">
        <f>AVERAGE(E1406:E1605)</f>
        <v/>
      </c>
      <c r="J1605">
        <f>AVERAGE(F1406:F1605)</f>
        <v/>
      </c>
    </row>
    <row r="1606">
      <c r="C1606" s="539" t="n">
        <v>41779</v>
      </c>
      <c r="D1606" t="n">
        <v>124.6900024414062</v>
      </c>
      <c r="E1606" t="n">
        <v>300.1600036621094</v>
      </c>
      <c r="F1606" t="n">
        <v>24.30929565429688</v>
      </c>
      <c r="G1606" t="n">
        <v>73.10016632080078</v>
      </c>
      <c r="H1606">
        <f>AVERAGE(D1407:D1606)</f>
        <v/>
      </c>
      <c r="I1606">
        <f>AVERAGE(E1407:E1606)</f>
        <v/>
      </c>
      <c r="J1606">
        <f>AVERAGE(F1407:F1606)</f>
        <v/>
      </c>
    </row>
    <row r="1607">
      <c r="C1607" s="539" t="n">
        <v>41780</v>
      </c>
      <c r="D1607" t="n">
        <v>124.3899993896484</v>
      </c>
      <c r="E1607" t="n">
        <v>303.8399963378906</v>
      </c>
      <c r="F1607" t="n">
        <v>24.30929565429688</v>
      </c>
      <c r="G1607" t="n">
        <v>73.08416748046875</v>
      </c>
      <c r="H1607">
        <f>AVERAGE(D1408:D1607)</f>
        <v/>
      </c>
      <c r="I1607">
        <f>AVERAGE(E1408:E1607)</f>
        <v/>
      </c>
      <c r="J1607">
        <f>AVERAGE(F1408:F1607)</f>
        <v/>
      </c>
    </row>
    <row r="1608">
      <c r="C1608" s="539" t="n">
        <v>41781</v>
      </c>
      <c r="D1608" t="n">
        <v>124.6699981689453</v>
      </c>
      <c r="E1608" t="n">
        <v>304.0799865722656</v>
      </c>
      <c r="F1608" t="n">
        <v>24.24912261962891</v>
      </c>
      <c r="G1608" t="n">
        <v>73.08416748046875</v>
      </c>
      <c r="H1608">
        <f>AVERAGE(D1409:D1608)</f>
        <v/>
      </c>
      <c r="I1608">
        <f>AVERAGE(E1409:E1608)</f>
        <v/>
      </c>
      <c r="J1608">
        <f>AVERAGE(F1409:F1608)</f>
        <v/>
      </c>
    </row>
    <row r="1609">
      <c r="C1609" s="539" t="n">
        <v>41782</v>
      </c>
      <c r="D1609" t="n">
        <v>124.5100021362305</v>
      </c>
      <c r="E1609" t="n">
        <v>305.4400024414062</v>
      </c>
      <c r="F1609" t="n">
        <v>24.17176055908203</v>
      </c>
      <c r="G1609" t="n">
        <v>73.10016632080078</v>
      </c>
      <c r="H1609">
        <f>AVERAGE(D1410:D1609)</f>
        <v/>
      </c>
      <c r="I1609">
        <f>AVERAGE(E1410:E1609)</f>
        <v/>
      </c>
      <c r="J1609">
        <f>AVERAGE(F1410:F1609)</f>
        <v/>
      </c>
    </row>
    <row r="1610">
      <c r="C1610" s="539" t="n">
        <v>41786</v>
      </c>
      <c r="D1610" t="n">
        <v>121.8499984741211</v>
      </c>
      <c r="E1610" t="n">
        <v>305.1199951171875</v>
      </c>
      <c r="F1610" t="n">
        <v>23.86230659484863</v>
      </c>
      <c r="G1610" t="n">
        <v>73.08416748046875</v>
      </c>
      <c r="H1610">
        <f>AVERAGE(D1411:D1610)</f>
        <v/>
      </c>
      <c r="I1610">
        <f>AVERAGE(E1411:E1610)</f>
        <v/>
      </c>
      <c r="J1610">
        <f>AVERAGE(F1411:F1610)</f>
        <v/>
      </c>
    </row>
    <row r="1611">
      <c r="C1611" s="539" t="n">
        <v>41787</v>
      </c>
      <c r="D1611" t="n">
        <v>121.1999969482422</v>
      </c>
      <c r="E1611" t="n">
        <v>301.4400024414062</v>
      </c>
      <c r="F1611" t="n">
        <v>23.85371398925781</v>
      </c>
      <c r="G1611" t="n">
        <v>73.10016632080078</v>
      </c>
      <c r="H1611">
        <f>AVERAGE(D1412:D1611)</f>
        <v/>
      </c>
      <c r="I1611">
        <f>AVERAGE(E1412:E1611)</f>
        <v/>
      </c>
      <c r="J1611">
        <f>AVERAGE(F1412:F1611)</f>
        <v/>
      </c>
    </row>
    <row r="1612">
      <c r="C1612" s="539" t="n">
        <v>41788</v>
      </c>
      <c r="D1612" t="n">
        <v>120.9400024414062</v>
      </c>
      <c r="E1612" t="n">
        <v>303.2799987792969</v>
      </c>
      <c r="F1612" t="n">
        <v>24.06001472473145</v>
      </c>
      <c r="G1612" t="n">
        <v>73.08416748046875</v>
      </c>
      <c r="H1612">
        <f>AVERAGE(D1413:D1612)</f>
        <v/>
      </c>
      <c r="I1612">
        <f>AVERAGE(E1413:E1612)</f>
        <v/>
      </c>
      <c r="J1612">
        <f>AVERAGE(F1413:F1612)</f>
        <v/>
      </c>
    </row>
    <row r="1613">
      <c r="C1613" s="539" t="n">
        <v>41789</v>
      </c>
      <c r="D1613" t="n">
        <v>120.4300003051758</v>
      </c>
      <c r="E1613" t="n">
        <v>301.4400024414062</v>
      </c>
      <c r="F1613" t="n">
        <v>23.81932640075684</v>
      </c>
      <c r="G1613" t="n">
        <v>73.10016632080078</v>
      </c>
      <c r="H1613">
        <f>AVERAGE(D1414:D1613)</f>
        <v/>
      </c>
      <c r="I1613">
        <f>AVERAGE(E1414:E1613)</f>
        <v/>
      </c>
      <c r="J1613">
        <f>AVERAGE(F1414:F1613)</f>
        <v/>
      </c>
    </row>
    <row r="1614">
      <c r="C1614" s="539" t="n">
        <v>41792</v>
      </c>
      <c r="D1614" t="n">
        <v>119.6999969482422</v>
      </c>
      <c r="E1614" t="n">
        <v>300.239990234375</v>
      </c>
      <c r="F1614" t="n">
        <v>23.656005859375</v>
      </c>
      <c r="G1614" t="n">
        <v>73.08416748046875</v>
      </c>
      <c r="H1614">
        <f>AVERAGE(D1415:D1614)</f>
        <v/>
      </c>
      <c r="I1614">
        <f>AVERAGE(E1415:E1614)</f>
        <v/>
      </c>
      <c r="J1614">
        <f>AVERAGE(F1415:F1614)</f>
        <v/>
      </c>
    </row>
    <row r="1615">
      <c r="C1615" s="539" t="n">
        <v>41793</v>
      </c>
      <c r="D1615" t="n">
        <v>120.0100021362305</v>
      </c>
      <c r="E1615" t="n">
        <v>301.1199951171875</v>
      </c>
      <c r="F1615" t="n">
        <v>23.61302375793457</v>
      </c>
      <c r="G1615" t="n">
        <v>73.08416748046875</v>
      </c>
      <c r="H1615">
        <f>AVERAGE(D1416:D1615)</f>
        <v/>
      </c>
      <c r="I1615">
        <f>AVERAGE(E1416:E1615)</f>
        <v/>
      </c>
      <c r="J1615">
        <f>AVERAGE(F1416:F1615)</f>
        <v/>
      </c>
    </row>
    <row r="1616">
      <c r="C1616" s="539" t="n">
        <v>41794</v>
      </c>
      <c r="D1616" t="n">
        <v>119.7600021362305</v>
      </c>
      <c r="E1616" t="n">
        <v>300.0799865722656</v>
      </c>
      <c r="F1616" t="n">
        <v>23.54426002502441</v>
      </c>
      <c r="G1616" t="n">
        <v>73.08416748046875</v>
      </c>
      <c r="H1616">
        <f>AVERAGE(D1417:D1616)</f>
        <v/>
      </c>
      <c r="I1616">
        <f>AVERAGE(E1417:E1616)</f>
        <v/>
      </c>
      <c r="J1616">
        <f>AVERAGE(F1417:F1616)</f>
        <v/>
      </c>
    </row>
    <row r="1617">
      <c r="C1617" s="539" t="n">
        <v>41795</v>
      </c>
      <c r="D1617" t="n">
        <v>120.6600036621094</v>
      </c>
      <c r="E1617" t="n">
        <v>300.3999938964844</v>
      </c>
      <c r="F1617" t="n">
        <v>23.50127983093262</v>
      </c>
      <c r="G1617" t="n">
        <v>73.08416748046875</v>
      </c>
      <c r="H1617">
        <f>AVERAGE(D1418:D1617)</f>
        <v/>
      </c>
      <c r="I1617">
        <f>AVERAGE(E1418:E1617)</f>
        <v/>
      </c>
      <c r="J1617">
        <f>AVERAGE(F1418:F1617)</f>
        <v/>
      </c>
    </row>
    <row r="1618">
      <c r="C1618" s="539" t="n">
        <v>41796</v>
      </c>
      <c r="D1618" t="n">
        <v>120.6100006103516</v>
      </c>
      <c r="E1618" t="n">
        <v>300.8800048828125</v>
      </c>
      <c r="F1618" t="n">
        <v>23.76775169372559</v>
      </c>
      <c r="G1618" t="n">
        <v>73.08416748046875</v>
      </c>
      <c r="H1618">
        <f>AVERAGE(D1419:D1618)</f>
        <v/>
      </c>
      <c r="I1618">
        <f>AVERAGE(E1419:E1618)</f>
        <v/>
      </c>
      <c r="J1618">
        <f>AVERAGE(F1419:F1618)</f>
        <v/>
      </c>
    </row>
    <row r="1619">
      <c r="C1619" s="539" t="n">
        <v>41799</v>
      </c>
      <c r="D1619" t="n">
        <v>120.6500015258789</v>
      </c>
      <c r="E1619" t="n">
        <v>305.4400024414062</v>
      </c>
      <c r="F1619" t="n">
        <v>23.656005859375</v>
      </c>
      <c r="G1619" t="n">
        <v>73.10016632080078</v>
      </c>
      <c r="H1619">
        <f>AVERAGE(D1420:D1619)</f>
        <v/>
      </c>
      <c r="I1619">
        <f>AVERAGE(E1420:E1619)</f>
        <v/>
      </c>
      <c r="J1619">
        <f>AVERAGE(F1420:F1619)</f>
        <v/>
      </c>
    </row>
    <row r="1620">
      <c r="C1620" s="539" t="n">
        <v>41800</v>
      </c>
      <c r="D1620" t="n">
        <v>121.3899993896484</v>
      </c>
      <c r="E1620" t="n">
        <v>306.239990234375</v>
      </c>
      <c r="F1620" t="n">
        <v>23.61302375793457</v>
      </c>
      <c r="G1620" t="n">
        <v>73.10016632080078</v>
      </c>
      <c r="H1620">
        <f>AVERAGE(D1421:D1620)</f>
        <v/>
      </c>
      <c r="I1620">
        <f>AVERAGE(E1421:E1620)</f>
        <v/>
      </c>
      <c r="J1620">
        <f>AVERAGE(F1421:F1620)</f>
        <v/>
      </c>
    </row>
    <row r="1621">
      <c r="C1621" s="539" t="n">
        <v>41801</v>
      </c>
      <c r="D1621" t="n">
        <v>121.4100036621094</v>
      </c>
      <c r="E1621" t="n">
        <v>306</v>
      </c>
      <c r="F1621" t="n">
        <v>23.59583473205566</v>
      </c>
      <c r="G1621" t="n">
        <v>73.08416748046875</v>
      </c>
      <c r="H1621">
        <f>AVERAGE(D1422:D1621)</f>
        <v/>
      </c>
      <c r="I1621">
        <f>AVERAGE(E1422:E1621)</f>
        <v/>
      </c>
      <c r="J1621">
        <f>AVERAGE(F1422:F1621)</f>
        <v/>
      </c>
    </row>
    <row r="1622">
      <c r="C1622" s="539" t="n">
        <v>41802</v>
      </c>
      <c r="D1622" t="n">
        <v>122.6399993896484</v>
      </c>
      <c r="E1622" t="n">
        <v>312.6400146484375</v>
      </c>
      <c r="F1622" t="n">
        <v>23.62162208557129</v>
      </c>
      <c r="G1622" t="n">
        <v>73.10016632080078</v>
      </c>
      <c r="H1622">
        <f>AVERAGE(D1423:D1622)</f>
        <v/>
      </c>
      <c r="I1622">
        <f>AVERAGE(E1423:E1622)</f>
        <v/>
      </c>
      <c r="J1622">
        <f>AVERAGE(F1423:F1622)</f>
        <v/>
      </c>
    </row>
    <row r="1623">
      <c r="C1623" s="539" t="n">
        <v>41803</v>
      </c>
      <c r="D1623" t="n">
        <v>122.9599990844727</v>
      </c>
      <c r="E1623" t="n">
        <v>312.9599914550781</v>
      </c>
      <c r="F1623" t="n">
        <v>23.83652114868164</v>
      </c>
      <c r="G1623" t="n">
        <v>73.08416748046875</v>
      </c>
      <c r="H1623">
        <f>AVERAGE(D1424:D1623)</f>
        <v/>
      </c>
      <c r="I1623">
        <f>AVERAGE(E1424:E1623)</f>
        <v/>
      </c>
      <c r="J1623">
        <f>AVERAGE(F1424:F1623)</f>
        <v/>
      </c>
    </row>
    <row r="1624">
      <c r="C1624" s="539" t="n">
        <v>41806</v>
      </c>
      <c r="D1624" t="n">
        <v>122.4199981689453</v>
      </c>
      <c r="E1624" t="n">
        <v>313.3599853515625</v>
      </c>
      <c r="F1624" t="n">
        <v>23.72477340698242</v>
      </c>
      <c r="G1624" t="n">
        <v>73.10016632080078</v>
      </c>
      <c r="H1624">
        <f>AVERAGE(D1425:D1624)</f>
        <v/>
      </c>
      <c r="I1624">
        <f>AVERAGE(E1425:E1624)</f>
        <v/>
      </c>
      <c r="J1624">
        <f>AVERAGE(F1425:F1624)</f>
        <v/>
      </c>
    </row>
    <row r="1625">
      <c r="C1625" s="539" t="n">
        <v>41807</v>
      </c>
      <c r="D1625" t="n">
        <v>122.2799987792969</v>
      </c>
      <c r="E1625" t="n">
        <v>311.9200134277344</v>
      </c>
      <c r="F1625" t="n">
        <v>23.57864189147949</v>
      </c>
      <c r="G1625" t="n">
        <v>73.08416748046875</v>
      </c>
      <c r="H1625">
        <f>AVERAGE(D1426:D1625)</f>
        <v/>
      </c>
      <c r="I1625">
        <f>AVERAGE(E1426:E1625)</f>
        <v/>
      </c>
      <c r="J1625">
        <f>AVERAGE(F1426:F1625)</f>
        <v/>
      </c>
    </row>
    <row r="1626">
      <c r="C1626" s="539" t="n">
        <v>41808</v>
      </c>
      <c r="D1626" t="n">
        <v>122.6699981689453</v>
      </c>
      <c r="E1626" t="n">
        <v>312.0799865722656</v>
      </c>
      <c r="F1626" t="n">
        <v>23.58723831176758</v>
      </c>
      <c r="G1626" t="n">
        <v>73.10016632080078</v>
      </c>
      <c r="H1626">
        <f>AVERAGE(D1427:D1626)</f>
        <v/>
      </c>
      <c r="I1626">
        <f>AVERAGE(E1427:E1626)</f>
        <v/>
      </c>
      <c r="J1626">
        <f>AVERAGE(F1427:F1626)</f>
        <v/>
      </c>
    </row>
    <row r="1627">
      <c r="C1627" s="539" t="n">
        <v>41809</v>
      </c>
      <c r="D1627" t="n">
        <v>126.9400024414062</v>
      </c>
      <c r="E1627" t="n">
        <v>313.0400085449219</v>
      </c>
      <c r="F1627" t="n">
        <v>23.85371398925781</v>
      </c>
      <c r="G1627" t="n">
        <v>73.10016632080078</v>
      </c>
      <c r="H1627">
        <f>AVERAGE(D1428:D1627)</f>
        <v/>
      </c>
      <c r="I1627">
        <f>AVERAGE(E1428:E1627)</f>
        <v/>
      </c>
      <c r="J1627">
        <f>AVERAGE(F1428:F1627)</f>
        <v/>
      </c>
    </row>
    <row r="1628">
      <c r="C1628" s="539" t="n">
        <v>41810</v>
      </c>
      <c r="D1628" t="n">
        <v>126.5</v>
      </c>
      <c r="E1628" t="n">
        <v>314.5599975585938</v>
      </c>
      <c r="F1628" t="n">
        <v>23.90528678894043</v>
      </c>
      <c r="G1628" t="n">
        <v>73.10016632080078</v>
      </c>
      <c r="H1628">
        <f>AVERAGE(D1429:D1628)</f>
        <v/>
      </c>
      <c r="I1628">
        <f>AVERAGE(E1429:E1628)</f>
        <v/>
      </c>
      <c r="J1628">
        <f>AVERAGE(F1429:F1628)</f>
        <v/>
      </c>
    </row>
    <row r="1629">
      <c r="C1629" s="539" t="n">
        <v>41813</v>
      </c>
      <c r="D1629" t="n">
        <v>126.8499984741211</v>
      </c>
      <c r="E1629" t="n">
        <v>313.2799987792969</v>
      </c>
      <c r="F1629" t="n">
        <v>23.89669227600098</v>
      </c>
      <c r="G1629" t="n">
        <v>73.10016632080078</v>
      </c>
      <c r="H1629">
        <f>AVERAGE(D1430:D1629)</f>
        <v/>
      </c>
      <c r="I1629">
        <f>AVERAGE(E1430:E1629)</f>
        <v/>
      </c>
      <c r="J1629">
        <f>AVERAGE(F1430:F1629)</f>
        <v/>
      </c>
    </row>
    <row r="1630">
      <c r="C1630" s="539" t="n">
        <v>41814</v>
      </c>
      <c r="D1630" t="n">
        <v>126.9800033569336</v>
      </c>
      <c r="E1630" t="n">
        <v>312.7200012207031</v>
      </c>
      <c r="F1630" t="n">
        <v>23.87949752807617</v>
      </c>
      <c r="G1630" t="n">
        <v>73.10016632080078</v>
      </c>
      <c r="H1630">
        <f>AVERAGE(D1431:D1630)</f>
        <v/>
      </c>
      <c r="I1630">
        <f>AVERAGE(E1431:E1630)</f>
        <v/>
      </c>
      <c r="J1630">
        <f>AVERAGE(F1431:F1630)</f>
        <v/>
      </c>
    </row>
    <row r="1631">
      <c r="C1631" s="539" t="n">
        <v>41815</v>
      </c>
      <c r="D1631" t="n">
        <v>126.9899978637695</v>
      </c>
      <c r="E1631" t="n">
        <v>314.3200073242188</v>
      </c>
      <c r="F1631" t="n">
        <v>24.02563095092773</v>
      </c>
      <c r="G1631" t="n">
        <v>73.08416748046875</v>
      </c>
      <c r="H1631">
        <f>AVERAGE(D1432:D1631)</f>
        <v/>
      </c>
      <c r="I1631">
        <f>AVERAGE(E1432:E1631)</f>
        <v/>
      </c>
      <c r="J1631">
        <f>AVERAGE(F1432:F1631)</f>
        <v/>
      </c>
    </row>
    <row r="1632">
      <c r="C1632" s="539" t="n">
        <v>41816</v>
      </c>
      <c r="D1632" t="n">
        <v>126.7300033569336</v>
      </c>
      <c r="E1632" t="n">
        <v>311.760009765625</v>
      </c>
      <c r="F1632" t="n">
        <v>24.1115894317627</v>
      </c>
      <c r="G1632" t="n">
        <v>73.08416748046875</v>
      </c>
      <c r="H1632">
        <f>AVERAGE(D1433:D1632)</f>
        <v/>
      </c>
      <c r="I1632">
        <f>AVERAGE(E1433:E1632)</f>
        <v/>
      </c>
      <c r="J1632">
        <f>AVERAGE(F1433:F1632)</f>
        <v/>
      </c>
    </row>
    <row r="1633">
      <c r="C1633" s="539" t="n">
        <v>41817</v>
      </c>
      <c r="D1633" t="n">
        <v>126.6600036621094</v>
      </c>
      <c r="E1633" t="n">
        <v>311.8399963378906</v>
      </c>
      <c r="F1633" t="n">
        <v>23.93107604980469</v>
      </c>
      <c r="G1633" t="n">
        <v>73.10016632080078</v>
      </c>
      <c r="H1633">
        <f>AVERAGE(D1434:D1633)</f>
        <v/>
      </c>
      <c r="I1633">
        <f>AVERAGE(E1434:E1633)</f>
        <v/>
      </c>
      <c r="J1633">
        <f>AVERAGE(F1434:F1633)</f>
        <v/>
      </c>
    </row>
    <row r="1634">
      <c r="C1634" s="539" t="n">
        <v>41820</v>
      </c>
      <c r="D1634" t="n">
        <v>128.0399932861328</v>
      </c>
      <c r="E1634" t="n">
        <v>311.0400085449219</v>
      </c>
      <c r="F1634" t="n">
        <v>23.60442924499512</v>
      </c>
      <c r="G1634" t="n">
        <v>73.08416748046875</v>
      </c>
      <c r="H1634">
        <f>AVERAGE(D1435:D1634)</f>
        <v/>
      </c>
      <c r="I1634">
        <f>AVERAGE(E1435:E1634)</f>
        <v/>
      </c>
      <c r="J1634">
        <f>AVERAGE(F1435:F1634)</f>
        <v/>
      </c>
    </row>
    <row r="1635">
      <c r="C1635" s="539" t="n">
        <v>41821</v>
      </c>
      <c r="D1635" t="n">
        <v>127.6999969482422</v>
      </c>
      <c r="E1635" t="n">
        <v>310.8800048828125</v>
      </c>
      <c r="F1635" t="n">
        <v>23.47548866271973</v>
      </c>
      <c r="G1635" t="n">
        <v>73.10016632080078</v>
      </c>
      <c r="H1635">
        <f>AVERAGE(D1436:D1635)</f>
        <v/>
      </c>
      <c r="I1635">
        <f>AVERAGE(E1436:E1635)</f>
        <v/>
      </c>
      <c r="J1635">
        <f>AVERAGE(F1436:F1635)</f>
        <v/>
      </c>
    </row>
    <row r="1636">
      <c r="C1636" s="539" t="n">
        <v>41822</v>
      </c>
      <c r="D1636" t="n">
        <v>127.6999969482422</v>
      </c>
      <c r="E1636" t="n">
        <v>307.2000122070312</v>
      </c>
      <c r="F1636" t="n">
        <v>23.61302375793457</v>
      </c>
      <c r="G1636" t="n">
        <v>73.10016632080078</v>
      </c>
      <c r="H1636">
        <f>AVERAGE(D1437:D1636)</f>
        <v/>
      </c>
      <c r="I1636">
        <f>AVERAGE(E1437:E1636)</f>
        <v/>
      </c>
      <c r="J1636">
        <f>AVERAGE(F1437:F1636)</f>
        <v/>
      </c>
    </row>
    <row r="1637">
      <c r="C1637" s="539" t="n">
        <v>41823</v>
      </c>
      <c r="D1637" t="n">
        <v>127.1600036621094</v>
      </c>
      <c r="E1637" t="n">
        <v>306</v>
      </c>
      <c r="F1637" t="n">
        <v>23.53565979003906</v>
      </c>
      <c r="G1637" t="n">
        <v>73.08416748046875</v>
      </c>
      <c r="H1637">
        <f>AVERAGE(D1438:D1637)</f>
        <v/>
      </c>
      <c r="I1637">
        <f>AVERAGE(E1438:E1637)</f>
        <v/>
      </c>
      <c r="J1637">
        <f>AVERAGE(F1438:F1637)</f>
        <v/>
      </c>
    </row>
    <row r="1638">
      <c r="C1638" s="539" t="n">
        <v>41827</v>
      </c>
      <c r="D1638" t="n">
        <v>127.0199966430664</v>
      </c>
      <c r="E1638" t="n">
        <v>305.3599853515625</v>
      </c>
      <c r="F1638" t="n">
        <v>23.36374473571777</v>
      </c>
      <c r="G1638" t="n">
        <v>73.10016632080078</v>
      </c>
      <c r="H1638">
        <f>AVERAGE(D1439:D1638)</f>
        <v/>
      </c>
      <c r="I1638">
        <f>AVERAGE(E1439:E1638)</f>
        <v/>
      </c>
      <c r="J1638">
        <f>AVERAGE(F1439:F1638)</f>
        <v/>
      </c>
    </row>
    <row r="1639">
      <c r="C1639" s="539" t="n">
        <v>41828</v>
      </c>
      <c r="D1639" t="n">
        <v>127.0699996948242</v>
      </c>
      <c r="E1639" t="n">
        <v>305.4400024414062</v>
      </c>
      <c r="F1639" t="n">
        <v>23.32076263427734</v>
      </c>
      <c r="G1639" t="n">
        <v>73.10016632080078</v>
      </c>
      <c r="H1639">
        <f>AVERAGE(D1440:D1639)</f>
        <v/>
      </c>
      <c r="I1639">
        <f>AVERAGE(E1440:E1639)</f>
        <v/>
      </c>
      <c r="J1639">
        <f>AVERAGE(F1440:F1639)</f>
        <v/>
      </c>
    </row>
    <row r="1640">
      <c r="C1640" s="539" t="n">
        <v>41829</v>
      </c>
      <c r="D1640" t="n">
        <v>127.8399963378906</v>
      </c>
      <c r="E1640" t="n">
        <v>301.5199890136719</v>
      </c>
      <c r="F1640" t="n">
        <v>23.08867263793945</v>
      </c>
      <c r="G1640" t="n">
        <v>73.08416748046875</v>
      </c>
      <c r="H1640">
        <f>AVERAGE(D1441:D1640)</f>
        <v/>
      </c>
      <c r="I1640">
        <f>AVERAGE(E1441:E1640)</f>
        <v/>
      </c>
      <c r="J1640">
        <f>AVERAGE(F1441:F1640)</f>
        <v/>
      </c>
    </row>
    <row r="1641">
      <c r="C1641" s="539" t="n">
        <v>41830</v>
      </c>
      <c r="D1641" t="n">
        <v>128.5399932861328</v>
      </c>
      <c r="E1641" t="n">
        <v>303.2000122070312</v>
      </c>
      <c r="F1641" t="n">
        <v>22.61589813232422</v>
      </c>
      <c r="G1641" t="n">
        <v>73.08416748046875</v>
      </c>
      <c r="H1641">
        <f>AVERAGE(D1442:D1641)</f>
        <v/>
      </c>
      <c r="I1641">
        <f>AVERAGE(E1442:E1641)</f>
        <v/>
      </c>
      <c r="J1641">
        <f>AVERAGE(F1442:F1641)</f>
        <v/>
      </c>
    </row>
    <row r="1642">
      <c r="C1642" s="539" t="n">
        <v>41831</v>
      </c>
      <c r="D1642" t="n">
        <v>128.7799987792969</v>
      </c>
      <c r="E1642" t="n">
        <v>297.2799987792969</v>
      </c>
      <c r="F1642" t="n">
        <v>22.45257759094238</v>
      </c>
      <c r="G1642" t="n">
        <v>73.08416748046875</v>
      </c>
      <c r="H1642">
        <f>AVERAGE(D1443:D1642)</f>
        <v/>
      </c>
      <c r="I1642">
        <f>AVERAGE(E1443:E1642)</f>
        <v/>
      </c>
      <c r="J1642">
        <f>AVERAGE(F1443:F1642)</f>
        <v/>
      </c>
    </row>
    <row r="1643">
      <c r="C1643" s="539" t="n">
        <v>41834</v>
      </c>
      <c r="D1643" t="n">
        <v>125.7200012207031</v>
      </c>
      <c r="E1643" t="n">
        <v>298.5599975585938</v>
      </c>
      <c r="F1643" t="n">
        <v>22.65028190612793</v>
      </c>
      <c r="G1643" t="n">
        <v>73.08416748046875</v>
      </c>
      <c r="H1643">
        <f>AVERAGE(D1444:D1643)</f>
        <v/>
      </c>
      <c r="I1643">
        <f>AVERAGE(E1444:E1643)</f>
        <v/>
      </c>
      <c r="J1643">
        <f>AVERAGE(F1444:F1643)</f>
        <v/>
      </c>
    </row>
    <row r="1644">
      <c r="C1644" s="539" t="n">
        <v>41835</v>
      </c>
      <c r="D1644" t="n">
        <v>124.5299987792969</v>
      </c>
      <c r="E1644" t="n">
        <v>295.0400085449219</v>
      </c>
      <c r="F1644" t="n">
        <v>22.55572509765625</v>
      </c>
      <c r="G1644" t="n">
        <v>73.08416748046875</v>
      </c>
      <c r="H1644">
        <f>AVERAGE(D1445:D1644)</f>
        <v/>
      </c>
      <c r="I1644">
        <f>AVERAGE(E1445:E1644)</f>
        <v/>
      </c>
      <c r="J1644">
        <f>AVERAGE(F1445:F1644)</f>
        <v/>
      </c>
    </row>
    <row r="1645">
      <c r="C1645" s="539" t="n">
        <v>41836</v>
      </c>
      <c r="D1645" t="n">
        <v>124.9700012207031</v>
      </c>
      <c r="E1645" t="n">
        <v>298.4800109863281</v>
      </c>
      <c r="F1645" t="n">
        <v>22.56432342529297</v>
      </c>
      <c r="G1645" t="n">
        <v>73.08416748046875</v>
      </c>
      <c r="H1645">
        <f>AVERAGE(D1446:D1645)</f>
        <v/>
      </c>
      <c r="I1645">
        <f>AVERAGE(E1446:E1645)</f>
        <v/>
      </c>
      <c r="J1645">
        <f>AVERAGE(F1446:F1645)</f>
        <v/>
      </c>
    </row>
    <row r="1646">
      <c r="C1646" s="539" t="n">
        <v>41837</v>
      </c>
      <c r="D1646" t="n">
        <v>127.0899963378906</v>
      </c>
      <c r="E1646" t="n">
        <v>302.6400146484375</v>
      </c>
      <c r="F1646" t="n">
        <v>22.58151626586914</v>
      </c>
      <c r="G1646" t="n">
        <v>73.08416748046875</v>
      </c>
      <c r="H1646">
        <f>AVERAGE(D1447:D1646)</f>
        <v/>
      </c>
      <c r="I1646">
        <f>AVERAGE(E1447:E1646)</f>
        <v/>
      </c>
      <c r="J1646">
        <f>AVERAGE(F1447:F1646)</f>
        <v/>
      </c>
    </row>
    <row r="1647">
      <c r="C1647" s="539" t="n">
        <v>41838</v>
      </c>
      <c r="D1647" t="n">
        <v>126.129997253418</v>
      </c>
      <c r="E1647" t="n">
        <v>301.760009765625</v>
      </c>
      <c r="F1647" t="n">
        <v>22.65887832641602</v>
      </c>
      <c r="G1647" t="n">
        <v>73.06820678710938</v>
      </c>
      <c r="H1647">
        <f>AVERAGE(D1448:D1647)</f>
        <v/>
      </c>
      <c r="I1647">
        <f>AVERAGE(E1448:E1647)</f>
        <v/>
      </c>
      <c r="J1647">
        <f>AVERAGE(F1448:F1647)</f>
        <v/>
      </c>
    </row>
    <row r="1648">
      <c r="C1648" s="539" t="n">
        <v>41841</v>
      </c>
      <c r="D1648" t="n">
        <v>126.3399963378906</v>
      </c>
      <c r="E1648" t="n">
        <v>304.7999877929688</v>
      </c>
      <c r="F1648" t="n">
        <v>22.69326210021973</v>
      </c>
      <c r="G1648" t="n">
        <v>73.08416748046875</v>
      </c>
      <c r="H1648">
        <f>AVERAGE(D1449:D1648)</f>
        <v/>
      </c>
      <c r="I1648">
        <f>AVERAGE(E1449:E1648)</f>
        <v/>
      </c>
      <c r="J1648">
        <f>AVERAGE(F1449:F1648)</f>
        <v/>
      </c>
    </row>
    <row r="1649">
      <c r="C1649" s="539" t="n">
        <v>41842</v>
      </c>
      <c r="D1649" t="n">
        <v>125.7399978637695</v>
      </c>
      <c r="E1649" t="n">
        <v>303.6000061035156</v>
      </c>
      <c r="F1649" t="n">
        <v>22.63309288024902</v>
      </c>
      <c r="G1649" t="n">
        <v>73.06820678710938</v>
      </c>
      <c r="H1649">
        <f>AVERAGE(D1450:D1649)</f>
        <v/>
      </c>
      <c r="I1649">
        <f>AVERAGE(E1450:E1649)</f>
        <v/>
      </c>
      <c r="J1649">
        <f>AVERAGE(F1450:F1649)</f>
        <v/>
      </c>
    </row>
    <row r="1650">
      <c r="C1650" s="539" t="n">
        <v>41843</v>
      </c>
      <c r="D1650" t="n">
        <v>125.620002746582</v>
      </c>
      <c r="E1650" t="n">
        <v>305.2799987792969</v>
      </c>
      <c r="F1650" t="n">
        <v>22.89096641540527</v>
      </c>
      <c r="G1650" t="n">
        <v>73.08416748046875</v>
      </c>
      <c r="H1650">
        <f>AVERAGE(D1451:D1650)</f>
        <v/>
      </c>
      <c r="I1650">
        <f>AVERAGE(E1451:E1650)</f>
        <v/>
      </c>
      <c r="J1650">
        <f>AVERAGE(F1451:F1650)</f>
        <v/>
      </c>
    </row>
    <row r="1651">
      <c r="C1651" s="539" t="n">
        <v>41844</v>
      </c>
      <c r="D1651" t="n">
        <v>124.3499984741211</v>
      </c>
      <c r="E1651" t="n">
        <v>302.5599975585938</v>
      </c>
      <c r="F1651" t="n">
        <v>22.90815734863281</v>
      </c>
      <c r="G1651" t="n">
        <v>73.08416748046875</v>
      </c>
      <c r="H1651">
        <f>AVERAGE(D1452:D1651)</f>
        <v/>
      </c>
      <c r="I1651">
        <f>AVERAGE(E1452:E1651)</f>
        <v/>
      </c>
      <c r="J1651">
        <f>AVERAGE(F1452:F1651)</f>
        <v/>
      </c>
    </row>
    <row r="1652">
      <c r="C1652" s="539" t="n">
        <v>41845</v>
      </c>
      <c r="D1652" t="n">
        <v>125.7900009155273</v>
      </c>
      <c r="E1652" t="n">
        <v>302.1600036621094</v>
      </c>
      <c r="F1652" t="n">
        <v>22.96833038330078</v>
      </c>
      <c r="G1652" t="n">
        <v>73.08416748046875</v>
      </c>
      <c r="H1652">
        <f>AVERAGE(D1453:D1652)</f>
        <v/>
      </c>
      <c r="I1652">
        <f>AVERAGE(E1453:E1652)</f>
        <v/>
      </c>
      <c r="J1652">
        <f>AVERAGE(F1453:F1652)</f>
        <v/>
      </c>
    </row>
    <row r="1653">
      <c r="C1653" s="539" t="n">
        <v>41848</v>
      </c>
      <c r="D1653" t="n">
        <v>125.5800018310547</v>
      </c>
      <c r="E1653" t="n">
        <v>301.1199951171875</v>
      </c>
      <c r="F1653" t="n">
        <v>23.07148361206055</v>
      </c>
      <c r="G1653" t="n">
        <v>73.08416748046875</v>
      </c>
      <c r="H1653">
        <f>AVERAGE(D1454:D1653)</f>
        <v/>
      </c>
      <c r="I1653">
        <f>AVERAGE(E1454:E1653)</f>
        <v/>
      </c>
      <c r="J1653">
        <f>AVERAGE(F1454:F1653)</f>
        <v/>
      </c>
    </row>
    <row r="1654">
      <c r="C1654" s="539" t="n">
        <v>41849</v>
      </c>
      <c r="D1654" t="n">
        <v>125.1999969482422</v>
      </c>
      <c r="E1654" t="n">
        <v>299.1199951171875</v>
      </c>
      <c r="F1654" t="n">
        <v>22.89956092834473</v>
      </c>
      <c r="G1654" t="n">
        <v>73.08416748046875</v>
      </c>
      <c r="H1654">
        <f>AVERAGE(D1455:D1654)</f>
        <v/>
      </c>
      <c r="I1654">
        <f>AVERAGE(E1455:E1654)</f>
        <v/>
      </c>
      <c r="J1654">
        <f>AVERAGE(F1455:F1654)</f>
        <v/>
      </c>
    </row>
    <row r="1655">
      <c r="C1655" s="539" t="n">
        <v>41850</v>
      </c>
      <c r="D1655" t="n">
        <v>124.8300018310547</v>
      </c>
      <c r="E1655" t="n">
        <v>295.3599853515625</v>
      </c>
      <c r="F1655" t="n">
        <v>22.9167537689209</v>
      </c>
      <c r="G1655" t="n">
        <v>73.08416748046875</v>
      </c>
      <c r="H1655">
        <f>AVERAGE(D1456:D1655)</f>
        <v/>
      </c>
      <c r="I1655">
        <f>AVERAGE(E1456:E1655)</f>
        <v/>
      </c>
      <c r="J1655">
        <f>AVERAGE(F1456:F1655)</f>
        <v/>
      </c>
    </row>
    <row r="1656">
      <c r="C1656" s="539" t="n">
        <v>41851</v>
      </c>
      <c r="D1656" t="n">
        <v>123.3899993896484</v>
      </c>
      <c r="E1656" t="n">
        <v>290.5599975585938</v>
      </c>
      <c r="F1656" t="n">
        <v>23.04569244384766</v>
      </c>
      <c r="G1656" t="n">
        <v>73.06820678710938</v>
      </c>
      <c r="H1656">
        <f>AVERAGE(D1457:D1656)</f>
        <v/>
      </c>
      <c r="I1656">
        <f>AVERAGE(E1457:E1656)</f>
        <v/>
      </c>
      <c r="J1656">
        <f>AVERAGE(F1457:F1656)</f>
        <v/>
      </c>
    </row>
    <row r="1657">
      <c r="C1657" s="539" t="n">
        <v>41852</v>
      </c>
      <c r="D1657" t="n">
        <v>124.379997253418</v>
      </c>
      <c r="E1657" t="n">
        <v>289.5199890136719</v>
      </c>
      <c r="F1657" t="n">
        <v>22.87377738952637</v>
      </c>
      <c r="G1657" t="n">
        <v>73.08416748046875</v>
      </c>
      <c r="H1657">
        <f>AVERAGE(D1458:D1657)</f>
        <v/>
      </c>
      <c r="I1657">
        <f>AVERAGE(E1458:E1657)</f>
        <v/>
      </c>
      <c r="J1657">
        <f>AVERAGE(F1458:F1657)</f>
        <v/>
      </c>
    </row>
    <row r="1658">
      <c r="C1658" s="539" t="n">
        <v>41855</v>
      </c>
      <c r="D1658" t="n">
        <v>123.9899978637695</v>
      </c>
      <c r="E1658" t="n">
        <v>291.8399963378906</v>
      </c>
      <c r="F1658" t="n">
        <v>22.97692680358887</v>
      </c>
      <c r="G1658" t="n">
        <v>73.08416748046875</v>
      </c>
      <c r="H1658">
        <f>AVERAGE(D1459:D1658)</f>
        <v/>
      </c>
      <c r="I1658">
        <f>AVERAGE(E1459:E1658)</f>
        <v/>
      </c>
      <c r="J1658">
        <f>AVERAGE(F1459:F1658)</f>
        <v/>
      </c>
    </row>
    <row r="1659">
      <c r="C1659" s="539" t="n">
        <v>41856</v>
      </c>
      <c r="D1659" t="n">
        <v>123.870002746582</v>
      </c>
      <c r="E1659" t="n">
        <v>289.2799987792969</v>
      </c>
      <c r="F1659" t="n">
        <v>22.87377738952637</v>
      </c>
      <c r="G1659" t="n">
        <v>73.06820678710938</v>
      </c>
      <c r="H1659">
        <f>AVERAGE(D1460:D1659)</f>
        <v/>
      </c>
      <c r="I1659">
        <f>AVERAGE(E1460:E1659)</f>
        <v/>
      </c>
      <c r="J1659">
        <f>AVERAGE(F1460:F1659)</f>
        <v/>
      </c>
    </row>
    <row r="1660">
      <c r="C1660" s="539" t="n">
        <v>41857</v>
      </c>
      <c r="D1660" t="n">
        <v>125.6699981689453</v>
      </c>
      <c r="E1660" t="n">
        <v>287.6000061035156</v>
      </c>
      <c r="F1660" t="n">
        <v>23.10586738586426</v>
      </c>
      <c r="G1660" t="n">
        <v>73.06820678710938</v>
      </c>
      <c r="H1660">
        <f>AVERAGE(D1461:D1660)</f>
        <v/>
      </c>
      <c r="I1660">
        <f>AVERAGE(E1461:E1660)</f>
        <v/>
      </c>
      <c r="J1660">
        <f>AVERAGE(F1461:F1660)</f>
        <v/>
      </c>
    </row>
    <row r="1661">
      <c r="C1661" s="539" t="n">
        <v>41858</v>
      </c>
      <c r="D1661" t="n">
        <v>126.1800003051758</v>
      </c>
      <c r="E1661" t="n">
        <v>289.2799987792969</v>
      </c>
      <c r="F1661" t="n">
        <v>22.7706241607666</v>
      </c>
      <c r="G1661" t="n">
        <v>73.08416748046875</v>
      </c>
      <c r="H1661">
        <f>AVERAGE(D1462:D1661)</f>
        <v/>
      </c>
      <c r="I1661">
        <f>AVERAGE(E1462:E1661)</f>
        <v/>
      </c>
      <c r="J1661">
        <f>AVERAGE(F1462:F1661)</f>
        <v/>
      </c>
    </row>
    <row r="1662">
      <c r="C1662" s="539" t="n">
        <v>41859</v>
      </c>
      <c r="D1662" t="n">
        <v>126.1900024414062</v>
      </c>
      <c r="E1662" t="n">
        <v>288.9599914550781</v>
      </c>
      <c r="F1662" t="n">
        <v>22.47836303710938</v>
      </c>
      <c r="G1662" t="n">
        <v>73.06820678710938</v>
      </c>
      <c r="H1662">
        <f>AVERAGE(D1463:D1662)</f>
        <v/>
      </c>
      <c r="I1662">
        <f>AVERAGE(E1463:E1662)</f>
        <v/>
      </c>
      <c r="J1662">
        <f>AVERAGE(F1463:F1662)</f>
        <v/>
      </c>
    </row>
    <row r="1663">
      <c r="C1663" s="539" t="n">
        <v>41862</v>
      </c>
      <c r="D1663" t="n">
        <v>125.9599990844727</v>
      </c>
      <c r="E1663" t="n">
        <v>289.760009765625</v>
      </c>
      <c r="F1663" t="n">
        <v>22.70185852050781</v>
      </c>
      <c r="G1663" t="n">
        <v>73.06820678710938</v>
      </c>
      <c r="H1663">
        <f>AVERAGE(D1464:D1663)</f>
        <v/>
      </c>
      <c r="I1663">
        <f>AVERAGE(E1464:E1663)</f>
        <v/>
      </c>
      <c r="J1663">
        <f>AVERAGE(F1464:F1663)</f>
        <v/>
      </c>
    </row>
    <row r="1664">
      <c r="C1664" s="539" t="n">
        <v>41863</v>
      </c>
      <c r="D1664" t="n">
        <v>125.9899978637695</v>
      </c>
      <c r="E1664" t="n">
        <v>287.9200134277344</v>
      </c>
      <c r="F1664" t="n">
        <v>22.38381004333496</v>
      </c>
      <c r="G1664" t="n">
        <v>73.06820678710938</v>
      </c>
      <c r="H1664">
        <f>AVERAGE(D1465:D1664)</f>
        <v/>
      </c>
      <c r="I1664">
        <f>AVERAGE(E1465:E1664)</f>
        <v/>
      </c>
      <c r="J1664">
        <f>AVERAGE(F1465:F1664)</f>
        <v/>
      </c>
    </row>
    <row r="1665">
      <c r="C1665" s="539" t="n">
        <v>41864</v>
      </c>
      <c r="D1665" t="n">
        <v>126.1999969482422</v>
      </c>
      <c r="E1665" t="n">
        <v>288.1600036621094</v>
      </c>
      <c r="F1665" t="n">
        <v>22.37521171569824</v>
      </c>
      <c r="G1665" t="n">
        <v>73.08416748046875</v>
      </c>
      <c r="H1665">
        <f>AVERAGE(D1466:D1665)</f>
        <v/>
      </c>
      <c r="I1665">
        <f>AVERAGE(E1466:E1665)</f>
        <v/>
      </c>
      <c r="J1665">
        <f>AVERAGE(F1466:F1665)</f>
        <v/>
      </c>
    </row>
    <row r="1666">
      <c r="C1666" s="539" t="n">
        <v>41865</v>
      </c>
      <c r="D1666" t="n">
        <v>126.3099975585938</v>
      </c>
      <c r="E1666" t="n">
        <v>280.8800048828125</v>
      </c>
      <c r="F1666" t="n">
        <v>22.39240455627441</v>
      </c>
      <c r="G1666" t="n">
        <v>73.06820678710938</v>
      </c>
      <c r="H1666">
        <f>AVERAGE(D1467:D1666)</f>
        <v/>
      </c>
      <c r="I1666">
        <f>AVERAGE(E1467:E1666)</f>
        <v/>
      </c>
      <c r="J1666">
        <f>AVERAGE(F1467:F1666)</f>
        <v/>
      </c>
    </row>
    <row r="1667">
      <c r="C1667" s="539" t="n">
        <v>41866</v>
      </c>
      <c r="D1667" t="n">
        <v>125.4800033569336</v>
      </c>
      <c r="E1667" t="n">
        <v>283.5199890136719</v>
      </c>
      <c r="F1667" t="n">
        <v>22.58151626586914</v>
      </c>
      <c r="G1667" t="n">
        <v>73.08416748046875</v>
      </c>
      <c r="H1667">
        <f>AVERAGE(D1468:D1667)</f>
        <v/>
      </c>
      <c r="I1667">
        <f>AVERAGE(E1468:E1667)</f>
        <v/>
      </c>
      <c r="J1667">
        <f>AVERAGE(F1468:F1667)</f>
        <v/>
      </c>
    </row>
    <row r="1668">
      <c r="C1668" s="539" t="n">
        <v>41869</v>
      </c>
      <c r="D1668" t="n">
        <v>124.9599990844727</v>
      </c>
      <c r="E1668" t="n">
        <v>280.4800109863281</v>
      </c>
      <c r="F1668" t="n">
        <v>22.52993774414062</v>
      </c>
      <c r="G1668" t="n">
        <v>73.06820678710938</v>
      </c>
      <c r="H1668">
        <f>AVERAGE(D1469:D1668)</f>
        <v/>
      </c>
      <c r="I1668">
        <f>AVERAGE(E1469:E1668)</f>
        <v/>
      </c>
      <c r="J1668">
        <f>AVERAGE(F1469:F1668)</f>
        <v/>
      </c>
    </row>
    <row r="1669">
      <c r="C1669" s="539" t="n">
        <v>41870</v>
      </c>
      <c r="D1669" t="n">
        <v>124.6800003051758</v>
      </c>
      <c r="E1669" t="n">
        <v>277.6799926757812</v>
      </c>
      <c r="F1669" t="n">
        <v>22.26346397399902</v>
      </c>
      <c r="G1669" t="n">
        <v>73.08416748046875</v>
      </c>
      <c r="H1669">
        <f>AVERAGE(D1470:D1669)</f>
        <v/>
      </c>
      <c r="I1669">
        <f>AVERAGE(E1470:E1669)</f>
        <v/>
      </c>
      <c r="J1669">
        <f>AVERAGE(F1470:F1669)</f>
        <v/>
      </c>
    </row>
    <row r="1670">
      <c r="C1670" s="539" t="n">
        <v>41871</v>
      </c>
      <c r="D1670" t="n">
        <v>124.2200012207031</v>
      </c>
      <c r="E1670" t="n">
        <v>278.8800048828125</v>
      </c>
      <c r="F1670" t="n">
        <v>22.21189117431641</v>
      </c>
      <c r="G1670" t="n">
        <v>73.06820678710938</v>
      </c>
      <c r="H1670">
        <f>AVERAGE(D1471:D1670)</f>
        <v/>
      </c>
      <c r="I1670">
        <f>AVERAGE(E1471:E1670)</f>
        <v/>
      </c>
      <c r="J1670">
        <f>AVERAGE(F1471:F1670)</f>
        <v/>
      </c>
    </row>
    <row r="1671">
      <c r="C1671" s="539" t="n">
        <v>41872</v>
      </c>
      <c r="D1671" t="n">
        <v>122.879997253418</v>
      </c>
      <c r="E1671" t="n">
        <v>280.7200012207031</v>
      </c>
      <c r="F1671" t="n">
        <v>22.24627304077148</v>
      </c>
      <c r="G1671" t="n">
        <v>73.08416748046875</v>
      </c>
      <c r="H1671">
        <f>AVERAGE(D1472:D1671)</f>
        <v/>
      </c>
      <c r="I1671">
        <f>AVERAGE(E1472:E1671)</f>
        <v/>
      </c>
      <c r="J1671">
        <f>AVERAGE(F1472:F1671)</f>
        <v/>
      </c>
    </row>
    <row r="1672">
      <c r="C1672" s="539" t="n">
        <v>41873</v>
      </c>
      <c r="D1672" t="n">
        <v>123.1900024414062</v>
      </c>
      <c r="E1672" t="n">
        <v>279.6799926757812</v>
      </c>
      <c r="F1672" t="n">
        <v>22.28925323486328</v>
      </c>
      <c r="G1672" t="n">
        <v>73.08416748046875</v>
      </c>
      <c r="H1672">
        <f>AVERAGE(D1473:D1672)</f>
        <v/>
      </c>
      <c r="I1672">
        <f>AVERAGE(E1473:E1672)</f>
        <v/>
      </c>
      <c r="J1672">
        <f>AVERAGE(F1473:F1672)</f>
        <v/>
      </c>
    </row>
    <row r="1673">
      <c r="C1673" s="539" t="n">
        <v>41876</v>
      </c>
      <c r="D1673" t="n">
        <v>122.7399978637695</v>
      </c>
      <c r="E1673" t="n">
        <v>278.9599914550781</v>
      </c>
      <c r="F1673" t="n">
        <v>22.21189117431641</v>
      </c>
      <c r="G1673" t="n">
        <v>73.08416748046875</v>
      </c>
      <c r="H1673">
        <f>AVERAGE(D1474:D1673)</f>
        <v/>
      </c>
      <c r="I1673">
        <f>AVERAGE(E1474:E1673)</f>
        <v/>
      </c>
      <c r="J1673">
        <f>AVERAGE(F1474:F1673)</f>
        <v/>
      </c>
    </row>
    <row r="1674">
      <c r="C1674" s="539" t="n">
        <v>41877</v>
      </c>
      <c r="D1674" t="n">
        <v>123.3499984741211</v>
      </c>
      <c r="E1674" t="n">
        <v>280.3200073242188</v>
      </c>
      <c r="F1674" t="n">
        <v>22.49555587768555</v>
      </c>
      <c r="G1674" t="n">
        <v>73.08416748046875</v>
      </c>
      <c r="H1674">
        <f>AVERAGE(D1475:D1674)</f>
        <v/>
      </c>
      <c r="I1674">
        <f>AVERAGE(E1475:E1674)</f>
        <v/>
      </c>
      <c r="J1674">
        <f>AVERAGE(F1475:F1674)</f>
        <v/>
      </c>
    </row>
    <row r="1675">
      <c r="C1675" s="539" t="n">
        <v>41878</v>
      </c>
      <c r="D1675" t="n">
        <v>123.3199996948242</v>
      </c>
      <c r="E1675" t="n">
        <v>280.239990234375</v>
      </c>
      <c r="F1675" t="n">
        <v>22.51274681091309</v>
      </c>
      <c r="G1675" t="n">
        <v>73.06820678710938</v>
      </c>
      <c r="H1675">
        <f>AVERAGE(D1476:D1675)</f>
        <v/>
      </c>
      <c r="I1675">
        <f>AVERAGE(E1476:E1675)</f>
        <v/>
      </c>
      <c r="J1675">
        <f>AVERAGE(F1476:F1675)</f>
        <v/>
      </c>
    </row>
    <row r="1676">
      <c r="C1676" s="539" t="n">
        <v>41879</v>
      </c>
      <c r="D1676" t="n">
        <v>124</v>
      </c>
      <c r="E1676" t="n">
        <v>282.5599975585938</v>
      </c>
      <c r="F1676" t="n">
        <v>22.69326210021973</v>
      </c>
      <c r="G1676" t="n">
        <v>73.08416748046875</v>
      </c>
      <c r="H1676">
        <f>AVERAGE(D1477:D1676)</f>
        <v/>
      </c>
      <c r="I1676">
        <f>AVERAGE(E1477:E1676)</f>
        <v/>
      </c>
      <c r="J1676">
        <f>AVERAGE(F1477:F1676)</f>
        <v/>
      </c>
    </row>
    <row r="1677">
      <c r="C1677" s="539" t="n">
        <v>41880</v>
      </c>
      <c r="D1677" t="n">
        <v>123.8600006103516</v>
      </c>
      <c r="E1677" t="n">
        <v>286.0799865722656</v>
      </c>
      <c r="F1677" t="n">
        <v>22.74483680725098</v>
      </c>
      <c r="G1677" t="n">
        <v>73.08416748046875</v>
      </c>
      <c r="H1677">
        <f>AVERAGE(D1478:D1677)</f>
        <v/>
      </c>
      <c r="I1677">
        <f>AVERAGE(E1478:E1677)</f>
        <v/>
      </c>
      <c r="J1677">
        <f>AVERAGE(F1478:F1677)</f>
        <v/>
      </c>
    </row>
    <row r="1678">
      <c r="C1678" s="539" t="n">
        <v>41884</v>
      </c>
      <c r="D1678" t="n">
        <v>121.6500015258789</v>
      </c>
      <c r="E1678" t="n">
        <v>278.3200073242188</v>
      </c>
      <c r="F1678" t="n">
        <v>22.9167537689209</v>
      </c>
      <c r="G1678" t="n">
        <v>73.06820678710938</v>
      </c>
      <c r="H1678">
        <f>AVERAGE(D1479:D1678)</f>
        <v/>
      </c>
      <c r="I1678">
        <f>AVERAGE(E1479:E1678)</f>
        <v/>
      </c>
      <c r="J1678">
        <f>AVERAGE(F1479:F1678)</f>
        <v/>
      </c>
    </row>
    <row r="1679">
      <c r="C1679" s="539" t="n">
        <v>41885</v>
      </c>
      <c r="D1679" t="n">
        <v>122.1500015258789</v>
      </c>
      <c r="E1679" t="n">
        <v>284.3999938964844</v>
      </c>
      <c r="F1679" t="n">
        <v>22.71905136108398</v>
      </c>
      <c r="G1679" t="n">
        <v>73.08416748046875</v>
      </c>
      <c r="H1679">
        <f>AVERAGE(D1480:D1679)</f>
        <v/>
      </c>
      <c r="I1679">
        <f>AVERAGE(E1480:E1679)</f>
        <v/>
      </c>
      <c r="J1679">
        <f>AVERAGE(F1480:F1679)</f>
        <v/>
      </c>
    </row>
    <row r="1680">
      <c r="C1680" s="539" t="n">
        <v>41886</v>
      </c>
      <c r="D1680" t="n">
        <v>121.4800033569336</v>
      </c>
      <c r="E1680" t="n">
        <v>282.3999938964844</v>
      </c>
      <c r="F1680" t="n">
        <v>22.67607116699219</v>
      </c>
      <c r="G1680" t="n">
        <v>73.06820678710938</v>
      </c>
      <c r="H1680">
        <f>AVERAGE(D1481:D1680)</f>
        <v/>
      </c>
      <c r="I1680">
        <f>AVERAGE(E1481:E1680)</f>
        <v/>
      </c>
      <c r="J1680">
        <f>AVERAGE(F1481:F1680)</f>
        <v/>
      </c>
    </row>
    <row r="1681">
      <c r="C1681" s="539" t="n">
        <v>41887</v>
      </c>
      <c r="D1681" t="n">
        <v>122.0599975585938</v>
      </c>
      <c r="E1681" t="n">
        <v>279.2000122070312</v>
      </c>
      <c r="F1681" t="n">
        <v>22.71905136108398</v>
      </c>
      <c r="G1681" t="n">
        <v>73.08416748046875</v>
      </c>
      <c r="H1681">
        <f>AVERAGE(D1482:D1681)</f>
        <v/>
      </c>
      <c r="I1681">
        <f>AVERAGE(E1482:E1681)</f>
        <v/>
      </c>
      <c r="J1681">
        <f>AVERAGE(F1482:F1681)</f>
        <v/>
      </c>
    </row>
    <row r="1682">
      <c r="C1682" s="539" t="n">
        <v>41890</v>
      </c>
      <c r="D1682" t="n">
        <v>120.7300033569336</v>
      </c>
      <c r="E1682" t="n">
        <v>277.6000061035156</v>
      </c>
      <c r="F1682" t="n">
        <v>22.49555587768555</v>
      </c>
      <c r="G1682" t="n">
        <v>73.06820678710938</v>
      </c>
      <c r="H1682">
        <f>AVERAGE(D1483:D1682)</f>
        <v/>
      </c>
      <c r="I1682">
        <f>AVERAGE(E1483:E1682)</f>
        <v/>
      </c>
      <c r="J1682">
        <f>AVERAGE(F1483:F1682)</f>
        <v/>
      </c>
    </row>
    <row r="1683">
      <c r="C1683" s="539" t="n">
        <v>41891</v>
      </c>
      <c r="D1683" t="n">
        <v>120.870002746582</v>
      </c>
      <c r="E1683" t="n">
        <v>276.9599914550781</v>
      </c>
      <c r="F1683" t="n">
        <v>22.46976661682129</v>
      </c>
      <c r="G1683" t="n">
        <v>73.06820678710938</v>
      </c>
      <c r="H1683">
        <f>AVERAGE(D1484:D1683)</f>
        <v/>
      </c>
      <c r="I1683">
        <f>AVERAGE(E1484:E1683)</f>
        <v/>
      </c>
      <c r="J1683">
        <f>AVERAGE(F1484:F1683)</f>
        <v/>
      </c>
    </row>
    <row r="1684">
      <c r="C1684" s="539" t="n">
        <v>41892</v>
      </c>
      <c r="D1684" t="n">
        <v>120.2600021362305</v>
      </c>
      <c r="E1684" t="n">
        <v>274.0799865722656</v>
      </c>
      <c r="F1684" t="n">
        <v>22.16031455993652</v>
      </c>
      <c r="G1684" t="n">
        <v>73.08416748046875</v>
      </c>
      <c r="H1684">
        <f>AVERAGE(D1485:D1684)</f>
        <v/>
      </c>
      <c r="I1684">
        <f>AVERAGE(E1485:E1684)</f>
        <v/>
      </c>
      <c r="J1684">
        <f>AVERAGE(F1485:F1684)</f>
        <v/>
      </c>
    </row>
    <row r="1685">
      <c r="C1685" s="539" t="n">
        <v>41893</v>
      </c>
      <c r="D1685" t="n">
        <v>119.4700012207031</v>
      </c>
      <c r="E1685" t="n">
        <v>277.5199890136719</v>
      </c>
      <c r="F1685" t="n">
        <v>22.06575965881348</v>
      </c>
      <c r="G1685" t="n">
        <v>73.06820678710938</v>
      </c>
      <c r="H1685">
        <f>AVERAGE(D1486:D1685)</f>
        <v/>
      </c>
      <c r="I1685">
        <f>AVERAGE(E1486:E1685)</f>
        <v/>
      </c>
      <c r="J1685">
        <f>AVERAGE(F1486:F1685)</f>
        <v/>
      </c>
    </row>
    <row r="1686">
      <c r="C1686" s="539" t="n">
        <v>41894</v>
      </c>
      <c r="D1686" t="n">
        <v>118.379997253418</v>
      </c>
      <c r="E1686" t="n">
        <v>275.0400085449219</v>
      </c>
      <c r="F1686" t="n">
        <v>21.91962623596191</v>
      </c>
      <c r="G1686" t="n">
        <v>73.06820678710938</v>
      </c>
      <c r="H1686">
        <f>AVERAGE(D1487:D1686)</f>
        <v/>
      </c>
      <c r="I1686">
        <f>AVERAGE(E1487:E1686)</f>
        <v/>
      </c>
      <c r="J1686">
        <f>AVERAGE(F1487:F1686)</f>
        <v/>
      </c>
    </row>
    <row r="1687">
      <c r="C1687" s="539" t="n">
        <v>41897</v>
      </c>
      <c r="D1687" t="n">
        <v>118.6399993896484</v>
      </c>
      <c r="E1687" t="n">
        <v>276.4800109863281</v>
      </c>
      <c r="F1687" t="n">
        <v>21.85086250305176</v>
      </c>
      <c r="G1687" t="n">
        <v>73.06820678710938</v>
      </c>
      <c r="H1687">
        <f>AVERAGE(D1488:D1687)</f>
        <v/>
      </c>
      <c r="I1687">
        <f>AVERAGE(E1488:E1687)</f>
        <v/>
      </c>
      <c r="J1687">
        <f>AVERAGE(F1488:F1687)</f>
        <v/>
      </c>
    </row>
    <row r="1688">
      <c r="C1688" s="539" t="n">
        <v>41898</v>
      </c>
      <c r="D1688" t="n">
        <v>118.8300018310547</v>
      </c>
      <c r="E1688" t="n">
        <v>282</v>
      </c>
      <c r="F1688" t="n">
        <v>21.89384078979492</v>
      </c>
      <c r="G1688" t="n">
        <v>73.06820678710938</v>
      </c>
      <c r="H1688">
        <f>AVERAGE(D1489:D1688)</f>
        <v/>
      </c>
      <c r="I1688">
        <f>AVERAGE(E1489:E1688)</f>
        <v/>
      </c>
      <c r="J1688">
        <f>AVERAGE(F1489:F1688)</f>
        <v/>
      </c>
    </row>
    <row r="1689">
      <c r="C1689" s="539" t="n">
        <v>41899</v>
      </c>
      <c r="D1689" t="n">
        <v>117.5400009155273</v>
      </c>
      <c r="E1689" t="n">
        <v>280.0799865722656</v>
      </c>
      <c r="F1689" t="n">
        <v>21.93681907653809</v>
      </c>
      <c r="G1689" t="n">
        <v>73.06820678710938</v>
      </c>
      <c r="H1689">
        <f>AVERAGE(D1490:D1689)</f>
        <v/>
      </c>
      <c r="I1689">
        <f>AVERAGE(E1490:E1689)</f>
        <v/>
      </c>
      <c r="J1689">
        <f>AVERAGE(F1490:F1689)</f>
        <v/>
      </c>
    </row>
    <row r="1690">
      <c r="C1690" s="539" t="n">
        <v>41900</v>
      </c>
      <c r="D1690" t="n">
        <v>117.7799987792969</v>
      </c>
      <c r="E1690" t="n">
        <v>276.9599914550781</v>
      </c>
      <c r="F1690" t="n">
        <v>21.73911285400391</v>
      </c>
      <c r="G1690" t="n">
        <v>73.08416748046875</v>
      </c>
      <c r="H1690">
        <f>AVERAGE(D1491:D1690)</f>
        <v/>
      </c>
      <c r="I1690">
        <f>AVERAGE(E1491:E1690)</f>
        <v/>
      </c>
      <c r="J1690">
        <f>AVERAGE(F1491:F1690)</f>
        <v/>
      </c>
    </row>
    <row r="1691">
      <c r="C1691" s="539" t="n">
        <v>41901</v>
      </c>
      <c r="D1691" t="n">
        <v>117.0899963378906</v>
      </c>
      <c r="E1691" t="n">
        <v>276.5599975585938</v>
      </c>
      <c r="F1691" t="n">
        <v>21.62736511230469</v>
      </c>
      <c r="G1691" t="n">
        <v>73.08416748046875</v>
      </c>
      <c r="H1691">
        <f>AVERAGE(D1492:D1691)</f>
        <v/>
      </c>
      <c r="I1691">
        <f>AVERAGE(E1492:E1691)</f>
        <v/>
      </c>
      <c r="J1691">
        <f>AVERAGE(F1492:F1691)</f>
        <v/>
      </c>
    </row>
    <row r="1692">
      <c r="C1692" s="539" t="n">
        <v>41904</v>
      </c>
      <c r="D1692" t="n">
        <v>116.8499984741211</v>
      </c>
      <c r="E1692" t="n">
        <v>273.5199890136719</v>
      </c>
      <c r="F1692" t="n">
        <v>21.62736511230469</v>
      </c>
      <c r="G1692" t="n">
        <v>73.08416748046875</v>
      </c>
      <c r="H1692">
        <f>AVERAGE(D1493:D1692)</f>
        <v/>
      </c>
      <c r="I1692">
        <f>AVERAGE(E1493:E1692)</f>
        <v/>
      </c>
      <c r="J1692">
        <f>AVERAGE(F1493:F1692)</f>
        <v/>
      </c>
    </row>
    <row r="1693">
      <c r="C1693" s="539" t="n">
        <v>41905</v>
      </c>
      <c r="D1693" t="n">
        <v>117.5999984741211</v>
      </c>
      <c r="E1693" t="n">
        <v>275.5199890136719</v>
      </c>
      <c r="F1693" t="n">
        <v>21.58438873291016</v>
      </c>
      <c r="G1693" t="n">
        <v>73.08416748046875</v>
      </c>
      <c r="H1693">
        <f>AVERAGE(D1494:D1693)</f>
        <v/>
      </c>
      <c r="I1693">
        <f>AVERAGE(E1494:E1693)</f>
        <v/>
      </c>
      <c r="J1693">
        <f>AVERAGE(F1494:F1693)</f>
        <v/>
      </c>
    </row>
    <row r="1694">
      <c r="C1694" s="539" t="n">
        <v>41906</v>
      </c>
      <c r="D1694" t="n">
        <v>117.0500030517578</v>
      </c>
      <c r="E1694" t="n">
        <v>280</v>
      </c>
      <c r="F1694" t="n">
        <v>21.88524436950684</v>
      </c>
      <c r="G1694" t="n">
        <v>73.08416748046875</v>
      </c>
      <c r="H1694">
        <f>AVERAGE(D1495:D1694)</f>
        <v/>
      </c>
      <c r="I1694">
        <f>AVERAGE(E1495:E1694)</f>
        <v/>
      </c>
      <c r="J1694">
        <f>AVERAGE(F1495:F1694)</f>
        <v/>
      </c>
    </row>
    <row r="1695">
      <c r="C1695" s="539" t="n">
        <v>41907</v>
      </c>
      <c r="D1695" t="n">
        <v>117.3899993896484</v>
      </c>
      <c r="E1695" t="n">
        <v>278.6400146484375</v>
      </c>
      <c r="F1695" t="n">
        <v>21.61017227172852</v>
      </c>
      <c r="G1695" t="n">
        <v>73.08416748046875</v>
      </c>
      <c r="H1695">
        <f>AVERAGE(D1496:D1695)</f>
        <v/>
      </c>
      <c r="I1695">
        <f>AVERAGE(E1496:E1695)</f>
        <v/>
      </c>
      <c r="J1695">
        <f>AVERAGE(F1496:F1695)</f>
        <v/>
      </c>
    </row>
    <row r="1696">
      <c r="C1696" s="539" t="n">
        <v>41908</v>
      </c>
      <c r="D1696" t="n">
        <v>117.0599975585938</v>
      </c>
      <c r="E1696" t="n">
        <v>281.2799987792969</v>
      </c>
      <c r="F1696" t="n">
        <v>21.76490211486816</v>
      </c>
      <c r="G1696" t="n">
        <v>73.08416748046875</v>
      </c>
      <c r="H1696">
        <f>AVERAGE(D1497:D1696)</f>
        <v/>
      </c>
      <c r="I1696">
        <f>AVERAGE(E1497:E1696)</f>
        <v/>
      </c>
      <c r="J1696">
        <f>AVERAGE(F1497:F1696)</f>
        <v/>
      </c>
    </row>
    <row r="1697">
      <c r="C1697" s="539" t="n">
        <v>41911</v>
      </c>
      <c r="D1697" t="n">
        <v>117.0299987792969</v>
      </c>
      <c r="E1697" t="n">
        <v>284.1600036621094</v>
      </c>
      <c r="F1697" t="n">
        <v>22.0915470123291</v>
      </c>
      <c r="G1697" t="n">
        <v>73.06820678710938</v>
      </c>
      <c r="H1697">
        <f>AVERAGE(D1498:D1697)</f>
        <v/>
      </c>
      <c r="I1697">
        <f>AVERAGE(E1498:E1697)</f>
        <v/>
      </c>
      <c r="J1697">
        <f>AVERAGE(F1498:F1697)</f>
        <v/>
      </c>
    </row>
    <row r="1698">
      <c r="C1698" s="539" t="n">
        <v>41912</v>
      </c>
      <c r="D1698" t="n">
        <v>116.2099990844727</v>
      </c>
      <c r="E1698" t="n">
        <v>275.2799987792969</v>
      </c>
      <c r="F1698" t="n">
        <v>21.96260833740234</v>
      </c>
      <c r="G1698" t="n">
        <v>73.08416748046875</v>
      </c>
      <c r="H1698">
        <f>AVERAGE(D1499:D1698)</f>
        <v/>
      </c>
      <c r="I1698">
        <f>AVERAGE(E1499:E1698)</f>
        <v/>
      </c>
      <c r="J1698">
        <f>AVERAGE(F1499:F1698)</f>
        <v/>
      </c>
    </row>
    <row r="1699">
      <c r="C1699" s="539" t="n">
        <v>41913</v>
      </c>
      <c r="D1699" t="n">
        <v>116.7699966430664</v>
      </c>
      <c r="E1699" t="n">
        <v>273.2000122070312</v>
      </c>
      <c r="F1699" t="n">
        <v>22.0313720703125</v>
      </c>
      <c r="G1699" t="n">
        <v>73.08416748046875</v>
      </c>
      <c r="H1699">
        <f>AVERAGE(D1500:D1699)</f>
        <v/>
      </c>
      <c r="I1699">
        <f>AVERAGE(E1500:E1699)</f>
        <v/>
      </c>
      <c r="J1699">
        <f>AVERAGE(F1500:F1699)</f>
        <v/>
      </c>
    </row>
    <row r="1700">
      <c r="C1700" s="539" t="n">
        <v>41914</v>
      </c>
      <c r="D1700" t="n">
        <v>116.7399978637695</v>
      </c>
      <c r="E1700" t="n">
        <v>274.9599914550781</v>
      </c>
      <c r="F1700" t="n">
        <v>22.19470024108887</v>
      </c>
      <c r="G1700" t="n">
        <v>73.08416748046875</v>
      </c>
      <c r="H1700">
        <f>AVERAGE(D1501:D1700)</f>
        <v/>
      </c>
      <c r="I1700">
        <f>AVERAGE(E1501:E1700)</f>
        <v/>
      </c>
      <c r="J1700">
        <f>AVERAGE(F1501:F1700)</f>
        <v/>
      </c>
    </row>
    <row r="1701">
      <c r="C1701" s="539" t="n">
        <v>41915</v>
      </c>
      <c r="D1701" t="n">
        <v>114.6100006103516</v>
      </c>
      <c r="E1701" t="n">
        <v>270.1600036621094</v>
      </c>
      <c r="F1701" t="n">
        <v>22.11733245849609</v>
      </c>
      <c r="G1701" t="n">
        <v>73.05223083496094</v>
      </c>
      <c r="H1701">
        <f>AVERAGE(D1502:D1701)</f>
        <v/>
      </c>
      <c r="I1701">
        <f>AVERAGE(E1502:E1701)</f>
        <v/>
      </c>
      <c r="J1701">
        <f>AVERAGE(F1502:F1701)</f>
        <v/>
      </c>
    </row>
    <row r="1702">
      <c r="C1702" s="539" t="n">
        <v>41918</v>
      </c>
      <c r="D1702" t="n">
        <v>116.0299987792969</v>
      </c>
      <c r="E1702" t="n">
        <v>272.3200073242188</v>
      </c>
      <c r="F1702" t="n">
        <v>22.72764587402344</v>
      </c>
      <c r="G1702" t="n">
        <v>73.05223083496094</v>
      </c>
      <c r="H1702">
        <f>AVERAGE(D1503:D1702)</f>
        <v/>
      </c>
      <c r="I1702">
        <f>AVERAGE(E1503:E1702)</f>
        <v/>
      </c>
      <c r="J1702">
        <f>AVERAGE(F1503:F1702)</f>
        <v/>
      </c>
    </row>
    <row r="1703">
      <c r="C1703" s="539" t="n">
        <v>41919</v>
      </c>
      <c r="D1703" t="n">
        <v>116.3600006103516</v>
      </c>
      <c r="E1703" t="n">
        <v>267.5199890136719</v>
      </c>
      <c r="F1703" t="n">
        <v>22.70185852050781</v>
      </c>
      <c r="G1703" t="n">
        <v>73.06820678710938</v>
      </c>
      <c r="H1703">
        <f>AVERAGE(D1504:D1703)</f>
        <v/>
      </c>
      <c r="I1703">
        <f>AVERAGE(E1504:E1703)</f>
        <v/>
      </c>
      <c r="J1703">
        <f>AVERAGE(F1504:F1703)</f>
        <v/>
      </c>
    </row>
    <row r="1704">
      <c r="C1704" s="539" t="n">
        <v>41920</v>
      </c>
      <c r="D1704" t="n">
        <v>117.4700012207031</v>
      </c>
      <c r="E1704" t="n">
        <v>264</v>
      </c>
      <c r="F1704" t="n">
        <v>22.69326210021973</v>
      </c>
      <c r="G1704" t="n">
        <v>73.06820678710938</v>
      </c>
      <c r="H1704">
        <f>AVERAGE(D1505:D1704)</f>
        <v/>
      </c>
      <c r="I1704">
        <f>AVERAGE(E1505:E1704)</f>
        <v/>
      </c>
      <c r="J1704">
        <f>AVERAGE(F1505:F1704)</f>
        <v/>
      </c>
    </row>
    <row r="1705">
      <c r="C1705" s="539" t="n">
        <v>41921</v>
      </c>
      <c r="D1705" t="n">
        <v>117.6399993896484</v>
      </c>
      <c r="E1705" t="n">
        <v>256.8800048828125</v>
      </c>
      <c r="F1705" t="n">
        <v>22.75343322753906</v>
      </c>
      <c r="G1705" t="n">
        <v>73.06820678710938</v>
      </c>
      <c r="H1705">
        <f>AVERAGE(D1506:D1705)</f>
        <v/>
      </c>
      <c r="I1705">
        <f>AVERAGE(E1506:E1705)</f>
        <v/>
      </c>
      <c r="J1705">
        <f>AVERAGE(F1506:F1705)</f>
        <v/>
      </c>
    </row>
    <row r="1706">
      <c r="C1706" s="539" t="n">
        <v>41922</v>
      </c>
      <c r="D1706" t="n">
        <v>117.5899963378906</v>
      </c>
      <c r="E1706" t="n">
        <v>257.4400024414062</v>
      </c>
      <c r="F1706" t="n">
        <v>22.72764587402344</v>
      </c>
      <c r="G1706" t="n">
        <v>73.06820678710938</v>
      </c>
      <c r="H1706">
        <f>AVERAGE(D1507:D1706)</f>
        <v/>
      </c>
      <c r="I1706">
        <f>AVERAGE(E1507:E1706)</f>
        <v/>
      </c>
      <c r="J1706">
        <f>AVERAGE(F1507:F1706)</f>
        <v/>
      </c>
    </row>
    <row r="1707">
      <c r="C1707" s="539" t="n">
        <v>41925</v>
      </c>
      <c r="D1707" t="n">
        <v>118.5199966430664</v>
      </c>
      <c r="E1707" t="n">
        <v>255.9199981689453</v>
      </c>
      <c r="F1707" t="n">
        <v>22.72764587402344</v>
      </c>
      <c r="G1707" t="n">
        <v>73.06820678710938</v>
      </c>
      <c r="H1707">
        <f>AVERAGE(D1508:D1707)</f>
        <v/>
      </c>
      <c r="I1707">
        <f>AVERAGE(E1508:E1707)</f>
        <v/>
      </c>
      <c r="J1707">
        <f>AVERAGE(F1508:F1707)</f>
        <v/>
      </c>
    </row>
    <row r="1708">
      <c r="C1708" s="539" t="n">
        <v>41926</v>
      </c>
      <c r="D1708" t="n">
        <v>118.5899963378906</v>
      </c>
      <c r="E1708" t="n">
        <v>246.8000030517578</v>
      </c>
      <c r="F1708" t="n">
        <v>22.9339485168457</v>
      </c>
      <c r="G1708" t="n">
        <v>73.05223083496094</v>
      </c>
      <c r="H1708">
        <f>AVERAGE(D1509:D1708)</f>
        <v/>
      </c>
      <c r="I1708">
        <f>AVERAGE(E1509:E1708)</f>
        <v/>
      </c>
      <c r="J1708">
        <f>AVERAGE(F1509:F1708)</f>
        <v/>
      </c>
    </row>
    <row r="1709">
      <c r="C1709" s="539" t="n">
        <v>41927</v>
      </c>
      <c r="D1709" t="n">
        <v>118.9899978637695</v>
      </c>
      <c r="E1709" t="n">
        <v>245.3600006103516</v>
      </c>
      <c r="F1709" t="n">
        <v>22.59011077880859</v>
      </c>
      <c r="G1709" t="n">
        <v>73.05223083496094</v>
      </c>
      <c r="H1709">
        <f>AVERAGE(D1510:D1709)</f>
        <v/>
      </c>
      <c r="I1709">
        <f>AVERAGE(E1510:E1709)</f>
        <v/>
      </c>
      <c r="J1709">
        <f>AVERAGE(F1510:F1709)</f>
        <v/>
      </c>
    </row>
    <row r="1710">
      <c r="C1710" s="539" t="n">
        <v>41928</v>
      </c>
      <c r="D1710" t="n">
        <v>119.2200012207031</v>
      </c>
      <c r="E1710" t="n">
        <v>248.8000030517578</v>
      </c>
      <c r="F1710" t="n">
        <v>22.69326210021973</v>
      </c>
      <c r="G1710" t="n">
        <v>73.06820678710938</v>
      </c>
      <c r="H1710">
        <f>AVERAGE(D1511:D1710)</f>
        <v/>
      </c>
      <c r="I1710">
        <f>AVERAGE(E1511:E1710)</f>
        <v/>
      </c>
      <c r="J1710">
        <f>AVERAGE(F1511:F1710)</f>
        <v/>
      </c>
    </row>
    <row r="1711">
      <c r="C1711" s="539" t="n">
        <v>41929</v>
      </c>
      <c r="D1711" t="n">
        <v>118.9899978637695</v>
      </c>
      <c r="E1711" t="n">
        <v>250</v>
      </c>
      <c r="F1711" t="n">
        <v>22.46976661682129</v>
      </c>
      <c r="G1711" t="n">
        <v>73.06820678710938</v>
      </c>
      <c r="H1711">
        <f>AVERAGE(D1512:D1711)</f>
        <v/>
      </c>
      <c r="I1711">
        <f>AVERAGE(E1512:E1711)</f>
        <v/>
      </c>
      <c r="J1711">
        <f>AVERAGE(F1512:F1711)</f>
        <v/>
      </c>
    </row>
    <row r="1712">
      <c r="C1712" s="539" t="n">
        <v>41932</v>
      </c>
      <c r="D1712" t="n">
        <v>119.8000030517578</v>
      </c>
      <c r="E1712" t="n">
        <v>249.1199951171875</v>
      </c>
      <c r="F1712" t="n">
        <v>22.23768043518066</v>
      </c>
      <c r="G1712" t="n">
        <v>73.06820678710938</v>
      </c>
      <c r="H1712">
        <f>AVERAGE(D1513:D1712)</f>
        <v/>
      </c>
      <c r="I1712">
        <f>AVERAGE(E1513:E1712)</f>
        <v/>
      </c>
      <c r="J1712">
        <f>AVERAGE(F1513:F1712)</f>
        <v/>
      </c>
    </row>
    <row r="1713">
      <c r="C1713" s="539" t="n">
        <v>41933</v>
      </c>
      <c r="D1713" t="n">
        <v>120.0199966430664</v>
      </c>
      <c r="E1713" t="n">
        <v>250.3999938964844</v>
      </c>
      <c r="F1713" t="n">
        <v>22.33223533630371</v>
      </c>
      <c r="G1713" t="n">
        <v>73.05223083496094</v>
      </c>
      <c r="H1713">
        <f>AVERAGE(D1514:D1713)</f>
        <v/>
      </c>
      <c r="I1713">
        <f>AVERAGE(E1514:E1713)</f>
        <v/>
      </c>
      <c r="J1713">
        <f>AVERAGE(F1514:F1713)</f>
        <v/>
      </c>
    </row>
    <row r="1714">
      <c r="C1714" s="539" t="n">
        <v>41934</v>
      </c>
      <c r="D1714" t="n">
        <v>119.3399963378906</v>
      </c>
      <c r="E1714" t="n">
        <v>244.3999938964844</v>
      </c>
      <c r="F1714" t="n">
        <v>22.17750549316406</v>
      </c>
      <c r="G1714" t="n">
        <v>73.06820678710938</v>
      </c>
      <c r="H1714">
        <f>AVERAGE(D1515:D1714)</f>
        <v/>
      </c>
      <c r="I1714">
        <f>AVERAGE(E1515:E1714)</f>
        <v/>
      </c>
      <c r="J1714">
        <f>AVERAGE(F1515:F1714)</f>
        <v/>
      </c>
    </row>
    <row r="1715">
      <c r="C1715" s="539" t="n">
        <v>41935</v>
      </c>
      <c r="D1715" t="n">
        <v>118.5199966430664</v>
      </c>
      <c r="E1715" t="n">
        <v>248.4799957275391</v>
      </c>
      <c r="F1715" t="n">
        <v>22.2806568145752</v>
      </c>
      <c r="G1715" t="n">
        <v>73.05223083496094</v>
      </c>
      <c r="H1715">
        <f>AVERAGE(D1516:D1715)</f>
        <v/>
      </c>
      <c r="I1715">
        <f>AVERAGE(E1516:E1715)</f>
        <v/>
      </c>
      <c r="J1715">
        <f>AVERAGE(F1516:F1715)</f>
        <v/>
      </c>
    </row>
    <row r="1716">
      <c r="C1716" s="539" t="n">
        <v>41936</v>
      </c>
      <c r="D1716" t="n">
        <v>118.3499984741211</v>
      </c>
      <c r="E1716" t="n">
        <v>247.0399932861328</v>
      </c>
      <c r="F1716" t="n">
        <v>22.10014152526855</v>
      </c>
      <c r="G1716" t="n">
        <v>73.05223083496094</v>
      </c>
      <c r="H1716">
        <f>AVERAGE(D1517:D1716)</f>
        <v/>
      </c>
      <c r="I1716">
        <f>AVERAGE(E1517:E1716)</f>
        <v/>
      </c>
      <c r="J1716">
        <f>AVERAGE(F1517:F1716)</f>
        <v/>
      </c>
    </row>
    <row r="1717">
      <c r="C1717" s="539" t="n">
        <v>41939</v>
      </c>
      <c r="D1717" t="n">
        <v>118.0599975585938</v>
      </c>
      <c r="E1717" t="n">
        <v>245.1199951171875</v>
      </c>
      <c r="F1717" t="n">
        <v>22.10873794555664</v>
      </c>
      <c r="G1717" t="n">
        <v>73.05223083496094</v>
      </c>
      <c r="H1717">
        <f>AVERAGE(D1518:D1717)</f>
        <v/>
      </c>
      <c r="I1717">
        <f>AVERAGE(E1518:E1717)</f>
        <v/>
      </c>
      <c r="J1717">
        <f>AVERAGE(F1518:F1717)</f>
        <v/>
      </c>
    </row>
    <row r="1718">
      <c r="C1718" s="539" t="n">
        <v>41940</v>
      </c>
      <c r="D1718" t="n">
        <v>118.0999984741211</v>
      </c>
      <c r="E1718" t="n">
        <v>246.5599975585938</v>
      </c>
      <c r="F1718" t="n">
        <v>22.12592887878418</v>
      </c>
      <c r="G1718" t="n">
        <v>73.05223083496094</v>
      </c>
      <c r="H1718">
        <f>AVERAGE(D1519:D1718)</f>
        <v/>
      </c>
      <c r="I1718">
        <f>AVERAGE(E1519:E1718)</f>
        <v/>
      </c>
      <c r="J1718">
        <f>AVERAGE(F1519:F1718)</f>
        <v/>
      </c>
    </row>
    <row r="1719">
      <c r="C1719" s="539" t="n">
        <v>41941</v>
      </c>
      <c r="D1719" t="n">
        <v>116.4100036621094</v>
      </c>
      <c r="E1719" t="n">
        <v>249.8399963378906</v>
      </c>
      <c r="F1719" t="n">
        <v>22.24627304077148</v>
      </c>
      <c r="G1719" t="n">
        <v>73.06820678710938</v>
      </c>
      <c r="H1719">
        <f>AVERAGE(D1520:D1719)</f>
        <v/>
      </c>
      <c r="I1719">
        <f>AVERAGE(E1520:E1719)</f>
        <v/>
      </c>
      <c r="J1719">
        <f>AVERAGE(F1520:F1719)</f>
        <v/>
      </c>
    </row>
    <row r="1720">
      <c r="C1720" s="539" t="n">
        <v>41942</v>
      </c>
      <c r="D1720" t="n">
        <v>115.1900024414062</v>
      </c>
      <c r="E1720" t="n">
        <v>246.0800018310547</v>
      </c>
      <c r="F1720" t="n">
        <v>22.10873794555664</v>
      </c>
      <c r="G1720" t="n">
        <v>73.05223083496094</v>
      </c>
      <c r="H1720">
        <f>AVERAGE(D1521:D1720)</f>
        <v/>
      </c>
      <c r="I1720">
        <f>AVERAGE(E1521:E1720)</f>
        <v/>
      </c>
      <c r="J1720">
        <f>AVERAGE(F1521:F1720)</f>
        <v/>
      </c>
    </row>
    <row r="1721">
      <c r="C1721" s="539" t="n">
        <v>41943</v>
      </c>
      <c r="D1721" t="n">
        <v>112.6600036621094</v>
      </c>
      <c r="E1721" t="n">
        <v>245.0399932861328</v>
      </c>
      <c r="F1721" t="n">
        <v>22.05716323852539</v>
      </c>
      <c r="G1721" t="n">
        <v>73.06820678710938</v>
      </c>
      <c r="H1721">
        <f>AVERAGE(D1522:D1721)</f>
        <v/>
      </c>
      <c r="I1721">
        <f>AVERAGE(E1522:E1721)</f>
        <v/>
      </c>
      <c r="J1721">
        <f>AVERAGE(F1522:F1721)</f>
        <v/>
      </c>
    </row>
    <row r="1722">
      <c r="C1722" s="539" t="n">
        <v>41946</v>
      </c>
      <c r="D1722" t="n">
        <v>112.1500015258789</v>
      </c>
      <c r="E1722" t="n">
        <v>238.0800018310547</v>
      </c>
      <c r="F1722" t="n">
        <v>22.02278137207031</v>
      </c>
      <c r="G1722" t="n">
        <v>73.05223083496094</v>
      </c>
      <c r="H1722">
        <f>AVERAGE(D1523:D1722)</f>
        <v/>
      </c>
      <c r="I1722">
        <f>AVERAGE(E1523:E1722)</f>
        <v/>
      </c>
      <c r="J1722">
        <f>AVERAGE(F1523:F1722)</f>
        <v/>
      </c>
    </row>
    <row r="1723">
      <c r="C1723" s="539" t="n">
        <v>41947</v>
      </c>
      <c r="D1723" t="n">
        <v>112.2200012207031</v>
      </c>
      <c r="E1723" t="n">
        <v>234.3999938964844</v>
      </c>
      <c r="F1723" t="n">
        <v>21.91103172302246</v>
      </c>
      <c r="G1723" t="n">
        <v>73.06820678710938</v>
      </c>
      <c r="H1723">
        <f>AVERAGE(D1524:D1723)</f>
        <v/>
      </c>
      <c r="I1723">
        <f>AVERAGE(E1524:E1723)</f>
        <v/>
      </c>
      <c r="J1723">
        <f>AVERAGE(F1524:F1723)</f>
        <v/>
      </c>
    </row>
    <row r="1724">
      <c r="C1724" s="539" t="n">
        <v>41948</v>
      </c>
      <c r="D1724" t="n">
        <v>109.7900009155273</v>
      </c>
      <c r="E1724" t="n">
        <v>239.6000061035156</v>
      </c>
      <c r="F1724" t="n">
        <v>21.79068946838379</v>
      </c>
      <c r="G1724" t="n">
        <v>73.05223083496094</v>
      </c>
      <c r="H1724">
        <f>AVERAGE(D1525:D1724)</f>
        <v/>
      </c>
      <c r="I1724">
        <f>AVERAGE(E1525:E1724)</f>
        <v/>
      </c>
      <c r="J1724">
        <f>AVERAGE(F1525:F1724)</f>
        <v/>
      </c>
    </row>
    <row r="1725">
      <c r="C1725" s="539" t="n">
        <v>41949</v>
      </c>
      <c r="D1725" t="n">
        <v>109.879997253418</v>
      </c>
      <c r="E1725" t="n">
        <v>236.8000030517578</v>
      </c>
      <c r="F1725" t="n">
        <v>21.74770927429199</v>
      </c>
      <c r="G1725" t="n">
        <v>73.06820678710938</v>
      </c>
      <c r="H1725">
        <f>AVERAGE(D1526:D1725)</f>
        <v/>
      </c>
      <c r="I1725">
        <f>AVERAGE(E1526:E1725)</f>
        <v/>
      </c>
      <c r="J1725">
        <f>AVERAGE(F1526:F1725)</f>
        <v/>
      </c>
    </row>
    <row r="1726">
      <c r="C1726" s="539" t="n">
        <v>41950</v>
      </c>
      <c r="D1726" t="n">
        <v>112.9700012207031</v>
      </c>
      <c r="E1726" t="n">
        <v>238.0800018310547</v>
      </c>
      <c r="F1726" t="n">
        <v>21.82507133483887</v>
      </c>
      <c r="G1726" t="n">
        <v>73.05223083496094</v>
      </c>
      <c r="H1726">
        <f>AVERAGE(D1527:D1726)</f>
        <v/>
      </c>
      <c r="I1726">
        <f>AVERAGE(E1527:E1726)</f>
        <v/>
      </c>
      <c r="J1726">
        <f>AVERAGE(F1527:F1726)</f>
        <v/>
      </c>
    </row>
    <row r="1727">
      <c r="C1727" s="539" t="n">
        <v>41953</v>
      </c>
      <c r="D1727" t="n">
        <v>110.4599990844727</v>
      </c>
      <c r="E1727" t="n">
        <v>234.7200012207031</v>
      </c>
      <c r="F1727" t="n">
        <v>21.81647491455078</v>
      </c>
      <c r="G1727" t="n">
        <v>73.06820678710938</v>
      </c>
      <c r="H1727">
        <f>AVERAGE(D1528:D1727)</f>
        <v/>
      </c>
      <c r="I1727">
        <f>AVERAGE(E1528:E1727)</f>
        <v/>
      </c>
      <c r="J1727">
        <f>AVERAGE(F1528:F1727)</f>
        <v/>
      </c>
    </row>
    <row r="1728">
      <c r="C1728" s="539" t="n">
        <v>41954</v>
      </c>
      <c r="D1728" t="n">
        <v>112.0400009155273</v>
      </c>
      <c r="E1728" t="n">
        <v>235.3600006103516</v>
      </c>
      <c r="F1728" t="n">
        <v>22.03997039794922</v>
      </c>
      <c r="G1728" t="n">
        <v>73.06820678710938</v>
      </c>
      <c r="H1728">
        <f>AVERAGE(D1529:D1728)</f>
        <v/>
      </c>
      <c r="I1728">
        <f>AVERAGE(E1529:E1728)</f>
        <v/>
      </c>
      <c r="J1728">
        <f>AVERAGE(F1529:F1728)</f>
        <v/>
      </c>
    </row>
    <row r="1729">
      <c r="C1729" s="539" t="n">
        <v>41955</v>
      </c>
      <c r="D1729" t="n">
        <v>111.5</v>
      </c>
      <c r="E1729" t="n">
        <v>233.1199951171875</v>
      </c>
      <c r="F1729" t="n">
        <v>22.12592887878418</v>
      </c>
      <c r="G1729" t="n">
        <v>73.06820678710938</v>
      </c>
      <c r="H1729">
        <f>AVERAGE(D1530:D1729)</f>
        <v/>
      </c>
      <c r="I1729">
        <f>AVERAGE(E1530:E1729)</f>
        <v/>
      </c>
      <c r="J1729">
        <f>AVERAGE(F1530:F1729)</f>
        <v/>
      </c>
    </row>
    <row r="1730">
      <c r="C1730" s="539" t="n">
        <v>41956</v>
      </c>
      <c r="D1730" t="n">
        <v>111.6699981689453</v>
      </c>
      <c r="E1730" t="n">
        <v>226.3200073242188</v>
      </c>
      <c r="F1730" t="n">
        <v>22.26346397399902</v>
      </c>
      <c r="G1730" t="n">
        <v>73.05223083496094</v>
      </c>
      <c r="H1730">
        <f>AVERAGE(D1531:D1730)</f>
        <v/>
      </c>
      <c r="I1730">
        <f>AVERAGE(E1531:E1730)</f>
        <v/>
      </c>
      <c r="J1730">
        <f>AVERAGE(F1531:F1730)</f>
        <v/>
      </c>
    </row>
    <row r="1731">
      <c r="C1731" s="539" t="n">
        <v>41957</v>
      </c>
      <c r="D1731" t="n">
        <v>114.4700012207031</v>
      </c>
      <c r="E1731" t="n">
        <v>230.6399993896484</v>
      </c>
      <c r="F1731" t="n">
        <v>22.23768043518066</v>
      </c>
      <c r="G1731" t="n">
        <v>73.05223083496094</v>
      </c>
      <c r="H1731">
        <f>AVERAGE(D1532:D1731)</f>
        <v/>
      </c>
      <c r="I1731">
        <f>AVERAGE(E1532:E1731)</f>
        <v/>
      </c>
      <c r="J1731">
        <f>AVERAGE(F1532:F1731)</f>
        <v/>
      </c>
    </row>
    <row r="1732">
      <c r="C1732" s="539" t="n">
        <v>41960</v>
      </c>
      <c r="D1732" t="n">
        <v>114.0500030517578</v>
      </c>
      <c r="E1732" t="n">
        <v>229.4400024414062</v>
      </c>
      <c r="F1732" t="n">
        <v>22.16031455993652</v>
      </c>
      <c r="G1732" t="n">
        <v>73.06820678710938</v>
      </c>
      <c r="H1732">
        <f>AVERAGE(D1533:D1732)</f>
        <v/>
      </c>
      <c r="I1732">
        <f>AVERAGE(E1533:E1732)</f>
        <v/>
      </c>
      <c r="J1732">
        <f>AVERAGE(F1533:F1732)</f>
        <v/>
      </c>
    </row>
    <row r="1733">
      <c r="C1733" s="539" t="n">
        <v>41961</v>
      </c>
      <c r="D1733" t="n">
        <v>115.0500030517578</v>
      </c>
      <c r="E1733" t="n">
        <v>225.6000061035156</v>
      </c>
      <c r="F1733" t="n">
        <v>22.03997039794922</v>
      </c>
      <c r="G1733" t="n">
        <v>73.05223083496094</v>
      </c>
      <c r="H1733">
        <f>AVERAGE(D1534:D1733)</f>
        <v/>
      </c>
      <c r="I1733">
        <f>AVERAGE(E1534:E1733)</f>
        <v/>
      </c>
      <c r="J1733">
        <f>AVERAGE(F1534:F1733)</f>
        <v/>
      </c>
    </row>
    <row r="1734">
      <c r="C1734" s="539" t="n">
        <v>41962</v>
      </c>
      <c r="D1734" t="n">
        <v>113.6800003051758</v>
      </c>
      <c r="E1734" t="n">
        <v>226</v>
      </c>
      <c r="F1734" t="n">
        <v>22.02278137207031</v>
      </c>
      <c r="G1734" t="n">
        <v>73.05223083496094</v>
      </c>
      <c r="H1734">
        <f>AVERAGE(D1535:D1734)</f>
        <v/>
      </c>
      <c r="I1734">
        <f>AVERAGE(E1535:E1734)</f>
        <v/>
      </c>
      <c r="J1734">
        <f>AVERAGE(F1535:F1734)</f>
        <v/>
      </c>
    </row>
    <row r="1735">
      <c r="C1735" s="539" t="n">
        <v>41963</v>
      </c>
      <c r="D1735" t="n">
        <v>114.8600006103516</v>
      </c>
      <c r="E1735" t="n">
        <v>229.8399963378906</v>
      </c>
      <c r="F1735" t="n">
        <v>22.0313720703125</v>
      </c>
      <c r="G1735" t="n">
        <v>73.05223083496094</v>
      </c>
      <c r="H1735">
        <f>AVERAGE(D1536:D1735)</f>
        <v/>
      </c>
      <c r="I1735">
        <f>AVERAGE(E1536:E1735)</f>
        <v/>
      </c>
      <c r="J1735">
        <f>AVERAGE(F1536:F1735)</f>
        <v/>
      </c>
    </row>
    <row r="1736">
      <c r="C1736" s="539" t="n">
        <v>41964</v>
      </c>
      <c r="D1736" t="n">
        <v>115.3899993896484</v>
      </c>
      <c r="E1736" t="n">
        <v>232.8000030517578</v>
      </c>
      <c r="F1736" t="n">
        <v>22.08295249938965</v>
      </c>
      <c r="G1736" t="n">
        <v>73.05223083496094</v>
      </c>
      <c r="H1736">
        <f>AVERAGE(D1537:D1736)</f>
        <v/>
      </c>
      <c r="I1736">
        <f>AVERAGE(E1537:E1736)</f>
        <v/>
      </c>
      <c r="J1736">
        <f>AVERAGE(F1537:F1736)</f>
        <v/>
      </c>
    </row>
    <row r="1737">
      <c r="C1737" s="539" t="n">
        <v>41967</v>
      </c>
      <c r="D1737" t="n">
        <v>115.1100006103516</v>
      </c>
      <c r="E1737" t="n">
        <v>229.9199981689453</v>
      </c>
      <c r="F1737" t="n">
        <v>21.98839569091797</v>
      </c>
      <c r="G1737" t="n">
        <v>73.06820678710938</v>
      </c>
      <c r="H1737">
        <f>AVERAGE(D1538:D1737)</f>
        <v/>
      </c>
      <c r="I1737">
        <f>AVERAGE(E1538:E1737)</f>
        <v/>
      </c>
      <c r="J1737">
        <f>AVERAGE(F1538:F1737)</f>
        <v/>
      </c>
    </row>
    <row r="1738">
      <c r="C1738" s="539" t="n">
        <v>41968</v>
      </c>
      <c r="D1738" t="n">
        <v>115.379997253418</v>
      </c>
      <c r="E1738" t="n">
        <v>224.2400054931641</v>
      </c>
      <c r="F1738" t="n">
        <v>22.1345272064209</v>
      </c>
      <c r="G1738" t="n">
        <v>73.06820678710938</v>
      </c>
      <c r="H1738">
        <f>AVERAGE(D1539:D1738)</f>
        <v/>
      </c>
      <c r="I1738">
        <f>AVERAGE(E1539:E1738)</f>
        <v/>
      </c>
      <c r="J1738">
        <f>AVERAGE(F1539:F1738)</f>
        <v/>
      </c>
    </row>
    <row r="1739">
      <c r="C1739" s="539" t="n">
        <v>41969</v>
      </c>
      <c r="D1739" t="n">
        <v>115.1600036621094</v>
      </c>
      <c r="E1739" t="n">
        <v>223.1999969482422</v>
      </c>
      <c r="F1739" t="n">
        <v>22.14312553405762</v>
      </c>
      <c r="G1739" t="n">
        <v>73.05223083496094</v>
      </c>
      <c r="H1739">
        <f>AVERAGE(D1540:D1739)</f>
        <v/>
      </c>
      <c r="I1739">
        <f>AVERAGE(E1540:E1739)</f>
        <v/>
      </c>
      <c r="J1739">
        <f>AVERAGE(F1540:F1739)</f>
        <v/>
      </c>
    </row>
    <row r="1740">
      <c r="C1740" s="539" t="n">
        <v>41971</v>
      </c>
      <c r="D1740" t="n">
        <v>112.1100006103516</v>
      </c>
      <c r="E1740" t="n">
        <v>204.6399993896484</v>
      </c>
      <c r="F1740" t="n">
        <v>21.95401191711426</v>
      </c>
      <c r="G1740" t="n">
        <v>73.06820678710938</v>
      </c>
      <c r="H1740">
        <f>AVERAGE(D1541:D1740)</f>
        <v/>
      </c>
      <c r="I1740">
        <f>AVERAGE(E1541:E1740)</f>
        <v/>
      </c>
      <c r="J1740">
        <f>AVERAGE(F1541:F1740)</f>
        <v/>
      </c>
    </row>
    <row r="1741">
      <c r="C1741" s="539" t="n">
        <v>41974</v>
      </c>
      <c r="D1741" t="n">
        <v>116.5800018310547</v>
      </c>
      <c r="E1741" t="n">
        <v>210.5599975585938</v>
      </c>
      <c r="F1741" t="n">
        <v>22.22048568725586</v>
      </c>
      <c r="G1741" t="n">
        <v>73.05223083496094</v>
      </c>
      <c r="H1741">
        <f>AVERAGE(D1542:D1741)</f>
        <v/>
      </c>
      <c r="I1741">
        <f>AVERAGE(E1542:E1741)</f>
        <v/>
      </c>
      <c r="J1741">
        <f>AVERAGE(F1542:F1741)</f>
        <v/>
      </c>
    </row>
    <row r="1742">
      <c r="C1742" s="539" t="n">
        <v>41975</v>
      </c>
      <c r="D1742" t="n">
        <v>115.1399993896484</v>
      </c>
      <c r="E1742" t="n">
        <v>204.6399993896484</v>
      </c>
      <c r="F1742" t="n">
        <v>21.91103172302246</v>
      </c>
      <c r="G1742" t="n">
        <v>73.05223083496094</v>
      </c>
      <c r="H1742">
        <f>AVERAGE(D1543:D1742)</f>
        <v/>
      </c>
      <c r="I1742">
        <f>AVERAGE(E1543:E1742)</f>
        <v/>
      </c>
      <c r="J1742">
        <f>AVERAGE(F1543:F1742)</f>
        <v/>
      </c>
    </row>
    <row r="1743">
      <c r="C1743" s="539" t="n">
        <v>41976</v>
      </c>
      <c r="D1743" t="n">
        <v>116.3300018310547</v>
      </c>
      <c r="E1743" t="n">
        <v>204.6399993896484</v>
      </c>
      <c r="F1743" t="n">
        <v>21.73051643371582</v>
      </c>
      <c r="G1743" t="n">
        <v>73.05223083496094</v>
      </c>
      <c r="H1743">
        <f>AVERAGE(D1544:D1743)</f>
        <v/>
      </c>
      <c r="I1743">
        <f>AVERAGE(E1544:E1743)</f>
        <v/>
      </c>
      <c r="J1743">
        <f>AVERAGE(F1544:F1743)</f>
        <v/>
      </c>
    </row>
    <row r="1744">
      <c r="C1744" s="539" t="n">
        <v>41977</v>
      </c>
      <c r="D1744" t="n">
        <v>115.879997253418</v>
      </c>
      <c r="E1744" t="n">
        <v>202.7200012207031</v>
      </c>
      <c r="F1744" t="n">
        <v>21.79068946838379</v>
      </c>
      <c r="G1744" t="n">
        <v>73.05223083496094</v>
      </c>
      <c r="H1744">
        <f>AVERAGE(D1545:D1744)</f>
        <v/>
      </c>
      <c r="I1744">
        <f>AVERAGE(E1545:E1744)</f>
        <v/>
      </c>
      <c r="J1744">
        <f>AVERAGE(F1545:F1744)</f>
        <v/>
      </c>
    </row>
    <row r="1745">
      <c r="C1745" s="539" t="n">
        <v>41978</v>
      </c>
      <c r="D1745" t="n">
        <v>114.4300003051758</v>
      </c>
      <c r="E1745" t="n">
        <v>199.6799926757812</v>
      </c>
      <c r="F1745" t="n">
        <v>21.80788230895996</v>
      </c>
      <c r="G1745" t="n">
        <v>73.06820678710938</v>
      </c>
      <c r="H1745">
        <f>AVERAGE(D1546:D1745)</f>
        <v/>
      </c>
      <c r="I1745">
        <f>AVERAGE(E1546:E1745)</f>
        <v/>
      </c>
      <c r="J1745">
        <f>AVERAGE(F1546:F1745)</f>
        <v/>
      </c>
    </row>
    <row r="1746">
      <c r="C1746" s="539" t="n">
        <v>41981</v>
      </c>
      <c r="D1746" t="n">
        <v>115.7799987792969</v>
      </c>
      <c r="E1746" t="n">
        <v>191.2799987792969</v>
      </c>
      <c r="F1746" t="n">
        <v>21.72192001342773</v>
      </c>
      <c r="G1746" t="n">
        <v>73.06820678710938</v>
      </c>
      <c r="H1746">
        <f>AVERAGE(D1547:D1746)</f>
        <v/>
      </c>
      <c r="I1746">
        <f>AVERAGE(E1547:E1746)</f>
        <v/>
      </c>
      <c r="J1746">
        <f>AVERAGE(F1547:F1746)</f>
        <v/>
      </c>
    </row>
    <row r="1747">
      <c r="C1747" s="539" t="n">
        <v>41982</v>
      </c>
      <c r="D1747" t="n">
        <v>118.1900024414062</v>
      </c>
      <c r="E1747" t="n">
        <v>193.6000061035156</v>
      </c>
      <c r="F1747" t="n">
        <v>21.83366966247559</v>
      </c>
      <c r="G1747" t="n">
        <v>73.05223083496094</v>
      </c>
      <c r="H1747">
        <f>AVERAGE(D1548:D1747)</f>
        <v/>
      </c>
      <c r="I1747">
        <f>AVERAGE(E1548:E1747)</f>
        <v/>
      </c>
      <c r="J1747">
        <f>AVERAGE(F1548:F1747)</f>
        <v/>
      </c>
    </row>
    <row r="1748">
      <c r="C1748" s="539" t="n">
        <v>41983</v>
      </c>
      <c r="D1748" t="n">
        <v>117.9599990844727</v>
      </c>
      <c r="E1748" t="n">
        <v>186.2400054931641</v>
      </c>
      <c r="F1748" t="n">
        <v>21.68753623962402</v>
      </c>
      <c r="G1748" t="n">
        <v>73.05223083496094</v>
      </c>
      <c r="H1748">
        <f>AVERAGE(D1549:D1748)</f>
        <v/>
      </c>
      <c r="I1748">
        <f>AVERAGE(E1549:E1748)</f>
        <v/>
      </c>
      <c r="J1748">
        <f>AVERAGE(F1549:F1748)</f>
        <v/>
      </c>
    </row>
    <row r="1749">
      <c r="C1749" s="539" t="n">
        <v>41984</v>
      </c>
      <c r="D1749" t="n">
        <v>117.6900024414062</v>
      </c>
      <c r="E1749" t="n">
        <v>181.4400024414062</v>
      </c>
      <c r="F1749" t="n">
        <v>21.63596153259277</v>
      </c>
      <c r="G1749" t="n">
        <v>73.05223083496094</v>
      </c>
      <c r="H1749">
        <f>AVERAGE(D1550:D1749)</f>
        <v/>
      </c>
      <c r="I1749">
        <f>AVERAGE(E1550:E1749)</f>
        <v/>
      </c>
      <c r="J1749">
        <f>AVERAGE(F1550:F1749)</f>
        <v/>
      </c>
    </row>
    <row r="1750">
      <c r="C1750" s="539" t="n">
        <v>41985</v>
      </c>
      <c r="D1750" t="n">
        <v>117.4100036621094</v>
      </c>
      <c r="E1750" t="n">
        <v>175.4400024414062</v>
      </c>
      <c r="F1750" t="n">
        <v>21.6617488861084</v>
      </c>
      <c r="G1750" t="n">
        <v>73.06820678710938</v>
      </c>
      <c r="H1750">
        <f>AVERAGE(D1551:D1750)</f>
        <v/>
      </c>
      <c r="I1750">
        <f>AVERAGE(E1551:E1750)</f>
        <v/>
      </c>
      <c r="J1750">
        <f>AVERAGE(F1551:F1750)</f>
        <v/>
      </c>
    </row>
    <row r="1751">
      <c r="C1751" s="539" t="n">
        <v>41988</v>
      </c>
      <c r="D1751" t="n">
        <v>114.3899993896484</v>
      </c>
      <c r="E1751" t="n">
        <v>168.4799957275391</v>
      </c>
      <c r="F1751" t="n">
        <v>21.72192001342773</v>
      </c>
      <c r="G1751" t="n">
        <v>73.03624725341797</v>
      </c>
      <c r="H1751">
        <f>AVERAGE(D1552:D1751)</f>
        <v/>
      </c>
      <c r="I1751">
        <f>AVERAGE(E1552:E1751)</f>
        <v/>
      </c>
      <c r="J1751">
        <f>AVERAGE(F1552:F1751)</f>
        <v/>
      </c>
    </row>
    <row r="1752">
      <c r="C1752" s="539" t="n">
        <v>41989</v>
      </c>
      <c r="D1752" t="n">
        <v>114.9499969482422</v>
      </c>
      <c r="E1752" t="n">
        <v>170.3999938964844</v>
      </c>
      <c r="F1752" t="n">
        <v>21.5585994720459</v>
      </c>
      <c r="G1752" t="n">
        <v>73.03624725341797</v>
      </c>
      <c r="H1752">
        <f>AVERAGE(D1553:D1752)</f>
        <v/>
      </c>
      <c r="I1752">
        <f>AVERAGE(E1553:E1752)</f>
        <v/>
      </c>
      <c r="J1752">
        <f>AVERAGE(F1553:F1752)</f>
        <v/>
      </c>
    </row>
    <row r="1753">
      <c r="C1753" s="539" t="n">
        <v>41990</v>
      </c>
      <c r="D1753" t="n">
        <v>114.2699966430664</v>
      </c>
      <c r="E1753" t="n">
        <v>170.7200012207031</v>
      </c>
      <c r="F1753" t="n">
        <v>21.54140663146973</v>
      </c>
      <c r="G1753" t="n">
        <v>73.03624725341797</v>
      </c>
      <c r="H1753">
        <f>AVERAGE(D1554:D1753)</f>
        <v/>
      </c>
      <c r="I1753">
        <f>AVERAGE(E1554:E1753)</f>
        <v/>
      </c>
      <c r="J1753">
        <f>AVERAGE(F1554:F1753)</f>
        <v/>
      </c>
    </row>
    <row r="1754">
      <c r="C1754" s="539" t="n">
        <v>41991</v>
      </c>
      <c r="D1754" t="n">
        <v>115.1500015258789</v>
      </c>
      <c r="E1754" t="n">
        <v>165.9199981689453</v>
      </c>
      <c r="F1754" t="n">
        <v>21.90243721008301</v>
      </c>
      <c r="G1754" t="n">
        <v>73.05223083496094</v>
      </c>
      <c r="H1754">
        <f>AVERAGE(D1555:D1754)</f>
        <v/>
      </c>
      <c r="I1754">
        <f>AVERAGE(E1555:E1754)</f>
        <v/>
      </c>
      <c r="J1754">
        <f>AVERAGE(F1555:F1754)</f>
        <v/>
      </c>
    </row>
    <row r="1755">
      <c r="C1755" s="539" t="n">
        <v>41992</v>
      </c>
      <c r="D1755" t="n">
        <v>114.7699966430664</v>
      </c>
      <c r="E1755" t="n">
        <v>175.6799926757812</v>
      </c>
      <c r="F1755" t="n">
        <v>21.8680534362793</v>
      </c>
      <c r="G1755" t="n">
        <v>73.03624725341797</v>
      </c>
      <c r="H1755">
        <f>AVERAGE(D1556:D1755)</f>
        <v/>
      </c>
      <c r="I1755">
        <f>AVERAGE(E1556:E1755)</f>
        <v/>
      </c>
      <c r="J1755">
        <f>AVERAGE(F1556:F1755)</f>
        <v/>
      </c>
    </row>
    <row r="1756">
      <c r="C1756" s="539" t="n">
        <v>41995</v>
      </c>
      <c r="D1756" t="n">
        <v>112.5500030517578</v>
      </c>
      <c r="E1756" t="n">
        <v>167.3600006103516</v>
      </c>
      <c r="F1756" t="n">
        <v>21.74770927429199</v>
      </c>
      <c r="G1756" t="n">
        <v>73.03624725341797</v>
      </c>
      <c r="H1756">
        <f>AVERAGE(D1557:D1756)</f>
        <v/>
      </c>
      <c r="I1756">
        <f>AVERAGE(E1557:E1756)</f>
        <v/>
      </c>
      <c r="J1756">
        <f>AVERAGE(F1557:F1756)</f>
        <v/>
      </c>
    </row>
    <row r="1757">
      <c r="C1757" s="539" t="n">
        <v>41996</v>
      </c>
      <c r="D1757" t="n">
        <v>112.7399978637695</v>
      </c>
      <c r="E1757" t="n">
        <v>172.4799957275391</v>
      </c>
      <c r="F1757" t="n">
        <v>21.80788230895996</v>
      </c>
      <c r="G1757" t="n">
        <v>73.03624725341797</v>
      </c>
      <c r="H1757">
        <f>AVERAGE(D1558:D1757)</f>
        <v/>
      </c>
      <c r="I1757">
        <f>AVERAGE(E1558:E1757)</f>
        <v/>
      </c>
      <c r="J1757">
        <f>AVERAGE(F1558:F1757)</f>
        <v/>
      </c>
    </row>
    <row r="1758">
      <c r="C1758" s="539" t="n">
        <v>41997</v>
      </c>
      <c r="D1758" t="n">
        <v>112.7699966430664</v>
      </c>
      <c r="E1758" t="n">
        <v>168.3999938964844</v>
      </c>
      <c r="F1758" t="n">
        <v>21.60157775878906</v>
      </c>
      <c r="G1758" t="n">
        <v>73.05223083496094</v>
      </c>
      <c r="H1758">
        <f>AVERAGE(D1559:D1758)</f>
        <v/>
      </c>
      <c r="I1758">
        <f>AVERAGE(E1559:E1758)</f>
        <v/>
      </c>
      <c r="J1758">
        <f>AVERAGE(F1559:F1758)</f>
        <v/>
      </c>
    </row>
    <row r="1759">
      <c r="C1759" s="539" t="n">
        <v>41999</v>
      </c>
      <c r="D1759" t="n">
        <v>114.8300018310547</v>
      </c>
      <c r="E1759" t="n">
        <v>166.2400054931641</v>
      </c>
      <c r="F1759" t="n">
        <v>21.67034530639648</v>
      </c>
      <c r="G1759" t="n">
        <v>73.03624725341797</v>
      </c>
      <c r="H1759">
        <f>AVERAGE(D1560:D1759)</f>
        <v/>
      </c>
      <c r="I1759">
        <f>AVERAGE(E1560:E1759)</f>
        <v/>
      </c>
      <c r="J1759">
        <f>AVERAGE(F1560:F1759)</f>
        <v/>
      </c>
    </row>
    <row r="1760">
      <c r="C1760" s="539" t="n">
        <v>42002</v>
      </c>
      <c r="D1760" t="n">
        <v>113.6699981689453</v>
      </c>
      <c r="E1760" t="n">
        <v>162.3999938964844</v>
      </c>
      <c r="F1760" t="n">
        <v>21.68753623962402</v>
      </c>
      <c r="G1760" t="n">
        <v>73.03624725341797</v>
      </c>
      <c r="H1760">
        <f>AVERAGE(D1561:D1760)</f>
        <v/>
      </c>
      <c r="I1760">
        <f>AVERAGE(E1561:E1760)</f>
        <v/>
      </c>
      <c r="J1760">
        <f>AVERAGE(F1561:F1760)</f>
        <v/>
      </c>
    </row>
    <row r="1761">
      <c r="C1761" s="539" t="n">
        <v>42003</v>
      </c>
      <c r="D1761" t="n">
        <v>115.1999969482422</v>
      </c>
      <c r="E1761" t="n">
        <v>162.3200073242188</v>
      </c>
      <c r="F1761" t="n">
        <v>21.5585994720459</v>
      </c>
      <c r="G1761" t="n">
        <v>73.03624725341797</v>
      </c>
      <c r="H1761">
        <f>AVERAGE(D1562:D1761)</f>
        <v/>
      </c>
      <c r="I1761">
        <f>AVERAGE(E1562:E1761)</f>
        <v/>
      </c>
      <c r="J1761">
        <f>AVERAGE(F1562:F1761)</f>
        <v/>
      </c>
    </row>
    <row r="1762">
      <c r="C1762" s="539" t="n">
        <v>42004</v>
      </c>
      <c r="D1762" t="n">
        <v>113.5800018310547</v>
      </c>
      <c r="E1762" t="n">
        <v>162.8800048828125</v>
      </c>
      <c r="F1762" t="n">
        <v>21.3952751159668</v>
      </c>
      <c r="G1762" t="n">
        <v>73.05223083496094</v>
      </c>
      <c r="H1762">
        <f>AVERAGE(D1563:D1762)</f>
        <v/>
      </c>
      <c r="I1762">
        <f>AVERAGE(E1563:E1762)</f>
        <v/>
      </c>
      <c r="J1762">
        <f>AVERAGE(F1563:F1762)</f>
        <v/>
      </c>
    </row>
    <row r="1763">
      <c r="C1763" s="539" t="n">
        <v>42006</v>
      </c>
      <c r="D1763" t="n">
        <v>114.0800018310547</v>
      </c>
      <c r="E1763" t="n">
        <v>159.1199951171875</v>
      </c>
      <c r="F1763" t="n">
        <v>21.18037605285645</v>
      </c>
      <c r="G1763" t="n">
        <v>73.03624725341797</v>
      </c>
      <c r="H1763">
        <f>AVERAGE(D1564:D1763)</f>
        <v/>
      </c>
      <c r="I1763">
        <f>AVERAGE(E1564:E1763)</f>
        <v/>
      </c>
      <c r="J1763">
        <f>AVERAGE(F1564:F1763)</f>
        <v/>
      </c>
    </row>
    <row r="1764">
      <c r="C1764" s="539" t="n">
        <v>42009</v>
      </c>
      <c r="D1764" t="n">
        <v>115.8000030517578</v>
      </c>
      <c r="E1764" t="n">
        <v>150.3200073242188</v>
      </c>
      <c r="F1764" t="n">
        <v>21.43825531005859</v>
      </c>
      <c r="G1764" t="n">
        <v>73.05223083496094</v>
      </c>
      <c r="H1764">
        <f>AVERAGE(D1565:D1764)</f>
        <v/>
      </c>
      <c r="I1764">
        <f>AVERAGE(E1565:E1764)</f>
        <v/>
      </c>
      <c r="J1764">
        <f>AVERAGE(F1565:F1764)</f>
        <v/>
      </c>
    </row>
    <row r="1765">
      <c r="C1765" s="539" t="n">
        <v>42010</v>
      </c>
      <c r="D1765" t="n">
        <v>117.120002746582</v>
      </c>
      <c r="E1765" t="n">
        <v>144.3999938964844</v>
      </c>
      <c r="F1765" t="n">
        <v>21.58438873291016</v>
      </c>
      <c r="G1765" t="n">
        <v>73.03624725341797</v>
      </c>
      <c r="H1765">
        <f>AVERAGE(D1566:D1765)</f>
        <v/>
      </c>
      <c r="I1765">
        <f>AVERAGE(E1566:E1765)</f>
        <v/>
      </c>
      <c r="J1765">
        <f>AVERAGE(F1566:F1765)</f>
        <v/>
      </c>
    </row>
    <row r="1766">
      <c r="C1766" s="539" t="n">
        <v>42011</v>
      </c>
      <c r="D1766" t="n">
        <v>116.4300003051758</v>
      </c>
      <c r="E1766" t="n">
        <v>146.9600067138672</v>
      </c>
      <c r="F1766" t="n">
        <v>21.48123359680176</v>
      </c>
      <c r="G1766" t="n">
        <v>73.03624725341797</v>
      </c>
      <c r="H1766">
        <f>AVERAGE(D1567:D1766)</f>
        <v/>
      </c>
      <c r="I1766">
        <f>AVERAGE(E1567:E1766)</f>
        <v/>
      </c>
      <c r="J1766">
        <f>AVERAGE(F1567:F1766)</f>
        <v/>
      </c>
    </row>
    <row r="1767">
      <c r="C1767" s="539" t="n">
        <v>42012</v>
      </c>
      <c r="D1767" t="n">
        <v>115.9400024414062</v>
      </c>
      <c r="E1767" t="n">
        <v>148.3999938964844</v>
      </c>
      <c r="F1767" t="n">
        <v>21.40387344360352</v>
      </c>
      <c r="G1767" t="n">
        <v>73.03624725341797</v>
      </c>
      <c r="H1767">
        <f>AVERAGE(D1568:D1767)</f>
        <v/>
      </c>
      <c r="I1767">
        <f>AVERAGE(E1568:E1767)</f>
        <v/>
      </c>
      <c r="J1767">
        <f>AVERAGE(F1568:F1767)</f>
        <v/>
      </c>
    </row>
    <row r="1768">
      <c r="C1768" s="539" t="n">
        <v>42013</v>
      </c>
      <c r="D1768" t="n">
        <v>117.2600021362305</v>
      </c>
      <c r="E1768" t="n">
        <v>146.2400054931641</v>
      </c>
      <c r="F1768" t="n">
        <v>21.35229682922363</v>
      </c>
      <c r="G1768" t="n">
        <v>73.03624725341797</v>
      </c>
      <c r="H1768">
        <f>AVERAGE(D1569:D1768)</f>
        <v/>
      </c>
      <c r="I1768">
        <f>AVERAGE(E1569:E1768)</f>
        <v/>
      </c>
      <c r="J1768">
        <f>AVERAGE(F1569:F1768)</f>
        <v/>
      </c>
    </row>
    <row r="1769">
      <c r="C1769" s="539" t="n">
        <v>42016</v>
      </c>
      <c r="D1769" t="n">
        <v>118.5599975585938</v>
      </c>
      <c r="E1769" t="n">
        <v>139.2799987792969</v>
      </c>
      <c r="F1769" t="n">
        <v>21.19757080078125</v>
      </c>
      <c r="G1769" t="n">
        <v>73.03624725341797</v>
      </c>
      <c r="H1769">
        <f>AVERAGE(D1570:D1769)</f>
        <v/>
      </c>
      <c r="I1769">
        <f>AVERAGE(E1570:E1769)</f>
        <v/>
      </c>
      <c r="J1769">
        <f>AVERAGE(F1570:F1769)</f>
        <v/>
      </c>
    </row>
    <row r="1770">
      <c r="C1770" s="539" t="n">
        <v>42017</v>
      </c>
      <c r="D1770" t="n">
        <v>118.1600036621094</v>
      </c>
      <c r="E1770" t="n">
        <v>140.9600067138672</v>
      </c>
      <c r="F1770" t="n">
        <v>20.99126625061035</v>
      </c>
      <c r="G1770" t="n">
        <v>73.03624725341797</v>
      </c>
      <c r="H1770">
        <f>AVERAGE(D1571:D1770)</f>
        <v/>
      </c>
      <c r="I1770">
        <f>AVERAGE(E1571:E1770)</f>
        <v/>
      </c>
      <c r="J1770">
        <f>AVERAGE(F1571:F1770)</f>
        <v/>
      </c>
    </row>
    <row r="1771">
      <c r="C1771" s="539" t="n">
        <v>42018</v>
      </c>
      <c r="D1771" t="n">
        <v>117.9700012207031</v>
      </c>
      <c r="E1771" t="n">
        <v>146.1600036621094</v>
      </c>
      <c r="F1771" t="n">
        <v>20.9396915435791</v>
      </c>
      <c r="G1771" t="n">
        <v>73.03624725341797</v>
      </c>
      <c r="H1771">
        <f>AVERAGE(D1572:D1771)</f>
        <v/>
      </c>
      <c r="I1771">
        <f>AVERAGE(E1572:E1771)</f>
        <v/>
      </c>
      <c r="J1771">
        <f>AVERAGE(F1572:F1771)</f>
        <v/>
      </c>
    </row>
    <row r="1772">
      <c r="C1772" s="539" t="n">
        <v>42019</v>
      </c>
      <c r="D1772" t="n">
        <v>120.9400024414062</v>
      </c>
      <c r="E1772" t="n">
        <v>139.6000061035156</v>
      </c>
      <c r="F1772" t="n">
        <v>20.83654022216797</v>
      </c>
      <c r="G1772" t="n">
        <v>73.03624725341797</v>
      </c>
      <c r="H1772">
        <f>AVERAGE(D1573:D1772)</f>
        <v/>
      </c>
      <c r="I1772">
        <f>AVERAGE(E1573:E1772)</f>
        <v/>
      </c>
      <c r="J1772">
        <f>AVERAGE(F1573:F1772)</f>
        <v/>
      </c>
    </row>
    <row r="1773">
      <c r="C1773" s="539" t="n">
        <v>42020</v>
      </c>
      <c r="D1773" t="n">
        <v>122.5199966430664</v>
      </c>
      <c r="E1773" t="n">
        <v>146.6399993896484</v>
      </c>
      <c r="F1773" t="n">
        <v>20.76777267456055</v>
      </c>
      <c r="G1773" t="n">
        <v>73.03624725341797</v>
      </c>
      <c r="H1773">
        <f>AVERAGE(D1574:D1773)</f>
        <v/>
      </c>
      <c r="I1773">
        <f>AVERAGE(E1574:E1773)</f>
        <v/>
      </c>
      <c r="J1773">
        <f>AVERAGE(F1574:F1773)</f>
        <v/>
      </c>
    </row>
    <row r="1774">
      <c r="C1774" s="539" t="n">
        <v>42024</v>
      </c>
      <c r="D1774" t="n">
        <v>124.1999969482422</v>
      </c>
      <c r="E1774" t="n">
        <v>139.8399963378906</v>
      </c>
      <c r="F1774" t="n">
        <v>20.61304473876953</v>
      </c>
      <c r="G1774" t="n">
        <v>73.03624725341797</v>
      </c>
      <c r="H1774">
        <f>AVERAGE(D1575:D1774)</f>
        <v/>
      </c>
      <c r="I1774">
        <f>AVERAGE(E1575:E1774)</f>
        <v/>
      </c>
      <c r="J1774">
        <f>AVERAGE(F1575:F1774)</f>
        <v/>
      </c>
    </row>
    <row r="1775">
      <c r="C1775" s="539" t="n">
        <v>42025</v>
      </c>
      <c r="D1775" t="n">
        <v>124.2300033569336</v>
      </c>
      <c r="E1775" t="n">
        <v>142.1600036621094</v>
      </c>
      <c r="F1775" t="n">
        <v>20.49270248413086</v>
      </c>
      <c r="G1775" t="n">
        <v>73.05223083496094</v>
      </c>
      <c r="H1775">
        <f>AVERAGE(D1576:D1775)</f>
        <v/>
      </c>
      <c r="I1775">
        <f>AVERAGE(E1576:E1775)</f>
        <v/>
      </c>
      <c r="J1775">
        <f>AVERAGE(F1576:F1775)</f>
        <v/>
      </c>
    </row>
    <row r="1776">
      <c r="C1776" s="539" t="n">
        <v>42026</v>
      </c>
      <c r="D1776" t="n">
        <v>125.2300033569336</v>
      </c>
      <c r="E1776" t="n">
        <v>139.2799987792969</v>
      </c>
      <c r="F1776" t="n">
        <v>20.39814758300781</v>
      </c>
      <c r="G1776" t="n">
        <v>73.03624725341797</v>
      </c>
      <c r="H1776">
        <f>AVERAGE(D1577:D1776)</f>
        <v/>
      </c>
      <c r="I1776">
        <f>AVERAGE(E1577:E1776)</f>
        <v/>
      </c>
      <c r="J1776">
        <f>AVERAGE(F1577:F1776)</f>
        <v/>
      </c>
    </row>
    <row r="1777">
      <c r="C1777" s="539" t="n">
        <v>42027</v>
      </c>
      <c r="D1777" t="n">
        <v>124.2300033569336</v>
      </c>
      <c r="E1777" t="n">
        <v>136</v>
      </c>
      <c r="F1777" t="n">
        <v>20.18324661254883</v>
      </c>
      <c r="G1777" t="n">
        <v>73.05223083496094</v>
      </c>
      <c r="H1777">
        <f>AVERAGE(D1578:D1777)</f>
        <v/>
      </c>
      <c r="I1777">
        <f>AVERAGE(E1578:E1777)</f>
        <v/>
      </c>
      <c r="J1777">
        <f>AVERAGE(F1578:F1777)</f>
        <v/>
      </c>
    </row>
    <row r="1778">
      <c r="C1778" s="539" t="n">
        <v>42030</v>
      </c>
      <c r="D1778" t="n">
        <v>122.9899978637695</v>
      </c>
      <c r="E1778" t="n">
        <v>134.9600067138672</v>
      </c>
      <c r="F1778" t="n">
        <v>20.21763229370117</v>
      </c>
      <c r="G1778" t="n">
        <v>73.05223083496094</v>
      </c>
      <c r="H1778">
        <f>AVERAGE(D1579:D1778)</f>
        <v/>
      </c>
      <c r="I1778">
        <f>AVERAGE(E1579:E1778)</f>
        <v/>
      </c>
      <c r="J1778">
        <f>AVERAGE(F1579:F1778)</f>
        <v/>
      </c>
    </row>
    <row r="1779">
      <c r="C1779" s="539" t="n">
        <v>42031</v>
      </c>
      <c r="D1779" t="n">
        <v>124.4000015258789</v>
      </c>
      <c r="E1779" t="n">
        <v>137.6799926757812</v>
      </c>
      <c r="F1779" t="n">
        <v>20.21763229370117</v>
      </c>
      <c r="G1779" t="n">
        <v>73.05223083496094</v>
      </c>
      <c r="H1779">
        <f>AVERAGE(D1580:D1779)</f>
        <v/>
      </c>
      <c r="I1779">
        <f>AVERAGE(E1580:E1779)</f>
        <v/>
      </c>
      <c r="J1779">
        <f>AVERAGE(F1580:F1779)</f>
        <v/>
      </c>
    </row>
    <row r="1780">
      <c r="C1780" s="539" t="n">
        <v>42032</v>
      </c>
      <c r="D1780" t="n">
        <v>123.4199981689453</v>
      </c>
      <c r="E1780" t="n">
        <v>132.4799957275391</v>
      </c>
      <c r="F1780" t="n">
        <v>20.11448097229004</v>
      </c>
      <c r="G1780" t="n">
        <v>73.03624725341797</v>
      </c>
      <c r="H1780">
        <f>AVERAGE(D1581:D1780)</f>
        <v/>
      </c>
      <c r="I1780">
        <f>AVERAGE(E1581:E1780)</f>
        <v/>
      </c>
      <c r="J1780">
        <f>AVERAGE(F1581:F1780)</f>
        <v/>
      </c>
    </row>
    <row r="1781">
      <c r="C1781" s="539" t="n">
        <v>42033</v>
      </c>
      <c r="D1781" t="n">
        <v>120.7600021362305</v>
      </c>
      <c r="E1781" t="n">
        <v>133.4400024414062</v>
      </c>
      <c r="F1781" t="n">
        <v>19.94256401062012</v>
      </c>
      <c r="G1781" t="n">
        <v>73.03624725341797</v>
      </c>
      <c r="H1781">
        <f>AVERAGE(D1582:D1781)</f>
        <v/>
      </c>
      <c r="I1781">
        <f>AVERAGE(E1582:E1781)</f>
        <v/>
      </c>
      <c r="J1781">
        <f>AVERAGE(F1582:F1781)</f>
        <v/>
      </c>
    </row>
    <row r="1782">
      <c r="C1782" s="539" t="n">
        <v>42034</v>
      </c>
      <c r="D1782" t="n">
        <v>123.4499969482422</v>
      </c>
      <c r="E1782" t="n">
        <v>142.5599975585938</v>
      </c>
      <c r="F1782" t="n">
        <v>19.8909854888916</v>
      </c>
      <c r="G1782" t="n">
        <v>73.03624725341797</v>
      </c>
      <c r="H1782">
        <f>AVERAGE(D1583:D1782)</f>
        <v/>
      </c>
      <c r="I1782">
        <f>AVERAGE(E1583:E1782)</f>
        <v/>
      </c>
      <c r="J1782">
        <f>AVERAGE(F1583:F1782)</f>
        <v/>
      </c>
    </row>
    <row r="1783">
      <c r="C1783" s="539" t="n">
        <v>42037</v>
      </c>
      <c r="D1783" t="n">
        <v>122.4199981689453</v>
      </c>
      <c r="E1783" t="n">
        <v>148.9600067138672</v>
      </c>
      <c r="F1783" t="n">
        <v>19.69327926635742</v>
      </c>
      <c r="G1783" t="n">
        <v>73.03624725341797</v>
      </c>
      <c r="H1783">
        <f>AVERAGE(D1584:D1783)</f>
        <v/>
      </c>
      <c r="I1783">
        <f>AVERAGE(E1584:E1783)</f>
        <v/>
      </c>
      <c r="J1783">
        <f>AVERAGE(F1584:F1783)</f>
        <v/>
      </c>
    </row>
    <row r="1784">
      <c r="C1784" s="539" t="n">
        <v>42038</v>
      </c>
      <c r="D1784" t="n">
        <v>121.0500030517578</v>
      </c>
      <c r="E1784" t="n">
        <v>156.9600067138672</v>
      </c>
      <c r="F1784" t="n">
        <v>19.9769458770752</v>
      </c>
      <c r="G1784" t="n">
        <v>73.05223083496094</v>
      </c>
      <c r="H1784">
        <f>AVERAGE(D1585:D1784)</f>
        <v/>
      </c>
      <c r="I1784">
        <f>AVERAGE(E1585:E1784)</f>
        <v/>
      </c>
      <c r="J1784">
        <f>AVERAGE(F1585:F1784)</f>
        <v/>
      </c>
    </row>
    <row r="1785">
      <c r="C1785" s="539" t="n">
        <v>42039</v>
      </c>
      <c r="D1785" t="n">
        <v>121.5800018310547</v>
      </c>
      <c r="E1785" t="n">
        <v>146.2400054931641</v>
      </c>
      <c r="F1785" t="n">
        <v>19.8909854888916</v>
      </c>
      <c r="G1785" t="n">
        <v>73.03624725341797</v>
      </c>
      <c r="H1785">
        <f>AVERAGE(D1586:D1785)</f>
        <v/>
      </c>
      <c r="I1785">
        <f>AVERAGE(E1586:E1785)</f>
        <v/>
      </c>
      <c r="J1785">
        <f>AVERAGE(F1586:F1785)</f>
        <v/>
      </c>
    </row>
    <row r="1786">
      <c r="C1786" s="539" t="n">
        <v>42040</v>
      </c>
      <c r="D1786" t="n">
        <v>121.7900009155273</v>
      </c>
      <c r="E1786" t="n">
        <v>152.2400054931641</v>
      </c>
      <c r="F1786" t="n">
        <v>19.95975494384766</v>
      </c>
      <c r="G1786" t="n">
        <v>73.03624725341797</v>
      </c>
      <c r="H1786">
        <f>AVERAGE(D1587:D1786)</f>
        <v/>
      </c>
      <c r="I1786">
        <f>AVERAGE(E1587:E1786)</f>
        <v/>
      </c>
      <c r="J1786">
        <f>AVERAGE(F1587:F1786)</f>
        <v/>
      </c>
    </row>
    <row r="1787">
      <c r="C1787" s="539" t="n">
        <v>42041</v>
      </c>
      <c r="D1787" t="n">
        <v>118.6399993896484</v>
      </c>
      <c r="E1787" t="n">
        <v>155.7599945068359</v>
      </c>
      <c r="F1787" t="n">
        <v>20.11448097229004</v>
      </c>
      <c r="G1787" t="n">
        <v>73.03624725341797</v>
      </c>
      <c r="H1787">
        <f>AVERAGE(D1588:D1787)</f>
        <v/>
      </c>
      <c r="I1787">
        <f>AVERAGE(E1588:E1787)</f>
        <v/>
      </c>
      <c r="J1787">
        <f>AVERAGE(F1588:F1787)</f>
        <v/>
      </c>
    </row>
    <row r="1788">
      <c r="C1788" s="539" t="n">
        <v>42044</v>
      </c>
      <c r="D1788" t="n">
        <v>119.1699981689453</v>
      </c>
      <c r="E1788" t="n">
        <v>158.1600036621094</v>
      </c>
      <c r="F1788" t="n">
        <v>20.29499626159668</v>
      </c>
      <c r="G1788" t="n">
        <v>73.02029418945312</v>
      </c>
      <c r="H1788">
        <f>AVERAGE(D1589:D1788)</f>
        <v/>
      </c>
      <c r="I1788">
        <f>AVERAGE(E1589:E1788)</f>
        <v/>
      </c>
      <c r="J1788">
        <f>AVERAGE(F1589:F1788)</f>
        <v/>
      </c>
    </row>
    <row r="1789">
      <c r="C1789" s="539" t="n">
        <v>42045</v>
      </c>
      <c r="D1789" t="n">
        <v>118.4700012207031</v>
      </c>
      <c r="E1789" t="n">
        <v>151.5200042724609</v>
      </c>
      <c r="F1789" t="n">
        <v>20.05431175231934</v>
      </c>
      <c r="G1789" t="n">
        <v>73.03624725341797</v>
      </c>
      <c r="H1789">
        <f>AVERAGE(D1590:D1789)</f>
        <v/>
      </c>
      <c r="I1789">
        <f>AVERAGE(E1590:E1789)</f>
        <v/>
      </c>
      <c r="J1789">
        <f>AVERAGE(F1590:F1789)</f>
        <v/>
      </c>
    </row>
    <row r="1790">
      <c r="C1790" s="539" t="n">
        <v>42046</v>
      </c>
      <c r="D1790" t="n">
        <v>117.0699996948242</v>
      </c>
      <c r="E1790" t="n">
        <v>148.0800018310547</v>
      </c>
      <c r="F1790" t="n">
        <v>19.96834945678711</v>
      </c>
      <c r="G1790" t="n">
        <v>73.02029418945312</v>
      </c>
      <c r="H1790">
        <f>AVERAGE(D1591:D1790)</f>
        <v/>
      </c>
      <c r="I1790">
        <f>AVERAGE(E1591:E1790)</f>
        <v/>
      </c>
      <c r="J1790">
        <f>AVERAGE(F1591:F1790)</f>
        <v/>
      </c>
    </row>
    <row r="1791">
      <c r="C1791" s="539" t="n">
        <v>42047</v>
      </c>
      <c r="D1791" t="n">
        <v>117.3399963378906</v>
      </c>
      <c r="E1791" t="n">
        <v>153.4400024414062</v>
      </c>
      <c r="F1791" t="n">
        <v>20.08009719848633</v>
      </c>
      <c r="G1791" t="n">
        <v>73.02029418945312</v>
      </c>
      <c r="H1791">
        <f>AVERAGE(D1592:D1791)</f>
        <v/>
      </c>
      <c r="I1791">
        <f>AVERAGE(E1592:E1791)</f>
        <v/>
      </c>
      <c r="J1791">
        <f>AVERAGE(F1592:F1791)</f>
        <v/>
      </c>
    </row>
    <row r="1792">
      <c r="C1792" s="539" t="n">
        <v>42048</v>
      </c>
      <c r="D1792" t="n">
        <v>117.9800033569336</v>
      </c>
      <c r="E1792" t="n">
        <v>156.9600067138672</v>
      </c>
      <c r="F1792" t="n">
        <v>20.26061058044434</v>
      </c>
      <c r="G1792" t="n">
        <v>73.03624725341797</v>
      </c>
      <c r="H1792">
        <f>AVERAGE(D1593:D1792)</f>
        <v/>
      </c>
      <c r="I1792">
        <f>AVERAGE(E1593:E1792)</f>
        <v/>
      </c>
      <c r="J1792">
        <f>AVERAGE(F1593:F1792)</f>
        <v/>
      </c>
    </row>
    <row r="1793">
      <c r="C1793" s="539" t="n">
        <v>42052</v>
      </c>
      <c r="D1793" t="n">
        <v>116.0100021362305</v>
      </c>
      <c r="E1793" t="n">
        <v>158.3200073242188</v>
      </c>
      <c r="F1793" t="n">
        <v>20.25201606750488</v>
      </c>
      <c r="G1793" t="n">
        <v>73.03624725341797</v>
      </c>
      <c r="H1793">
        <f>AVERAGE(D1594:D1793)</f>
        <v/>
      </c>
      <c r="I1793">
        <f>AVERAGE(E1594:E1793)</f>
        <v/>
      </c>
      <c r="J1793">
        <f>AVERAGE(F1594:F1793)</f>
        <v/>
      </c>
    </row>
    <row r="1794">
      <c r="C1794" s="539" t="n">
        <v>42053</v>
      </c>
      <c r="D1794" t="n">
        <v>116.3399963378906</v>
      </c>
      <c r="E1794" t="n">
        <v>154.0800018310547</v>
      </c>
      <c r="F1794" t="n">
        <v>20.10588645935059</v>
      </c>
      <c r="G1794" t="n">
        <v>73.03624725341797</v>
      </c>
      <c r="H1794">
        <f>AVERAGE(D1595:D1794)</f>
        <v/>
      </c>
      <c r="I1794">
        <f>AVERAGE(E1595:E1794)</f>
        <v/>
      </c>
      <c r="J1794">
        <f>AVERAGE(F1595:F1794)</f>
        <v/>
      </c>
    </row>
    <row r="1795">
      <c r="C1795" s="539" t="n">
        <v>42054</v>
      </c>
      <c r="D1795" t="n">
        <v>115.9400024414062</v>
      </c>
      <c r="E1795" t="n">
        <v>152.8000030517578</v>
      </c>
      <c r="F1795" t="n">
        <v>20.07150077819824</v>
      </c>
      <c r="G1795" t="n">
        <v>73.03624725341797</v>
      </c>
      <c r="H1795">
        <f>AVERAGE(D1596:D1795)</f>
        <v/>
      </c>
      <c r="I1795">
        <f>AVERAGE(E1596:E1795)</f>
        <v/>
      </c>
      <c r="J1795">
        <f>AVERAGE(F1596:F1795)</f>
        <v/>
      </c>
    </row>
    <row r="1796">
      <c r="C1796" s="539" t="n">
        <v>42055</v>
      </c>
      <c r="D1796" t="n">
        <v>115.2799987792969</v>
      </c>
      <c r="E1796" t="n">
        <v>149.1999969482422</v>
      </c>
      <c r="F1796" t="n">
        <v>19.89958381652832</v>
      </c>
      <c r="G1796" t="n">
        <v>73.02029418945312</v>
      </c>
      <c r="H1796">
        <f>AVERAGE(D1597:D1796)</f>
        <v/>
      </c>
      <c r="I1796">
        <f>AVERAGE(E1597:E1796)</f>
        <v/>
      </c>
      <c r="J1796">
        <f>AVERAGE(F1597:F1796)</f>
        <v/>
      </c>
    </row>
    <row r="1797">
      <c r="C1797" s="539" t="n">
        <v>42058</v>
      </c>
      <c r="D1797" t="n">
        <v>115.4300003051758</v>
      </c>
      <c r="E1797" t="n">
        <v>144.8800048828125</v>
      </c>
      <c r="F1797" t="n">
        <v>19.75345230102539</v>
      </c>
      <c r="G1797" t="n">
        <v>73.03624725341797</v>
      </c>
      <c r="H1797">
        <f>AVERAGE(D1598:D1797)</f>
        <v/>
      </c>
      <c r="I1797">
        <f>AVERAGE(E1598:E1797)</f>
        <v/>
      </c>
      <c r="J1797">
        <f>AVERAGE(F1598:F1797)</f>
        <v/>
      </c>
    </row>
    <row r="1798">
      <c r="C1798" s="539" t="n">
        <v>42059</v>
      </c>
      <c r="D1798" t="n">
        <v>115.2600021362305</v>
      </c>
      <c r="E1798" t="n">
        <v>144.3200073242188</v>
      </c>
      <c r="F1798" t="n">
        <v>19.79643440246582</v>
      </c>
      <c r="G1798" t="n">
        <v>73.02029418945312</v>
      </c>
      <c r="H1798">
        <f>AVERAGE(D1599:D1798)</f>
        <v/>
      </c>
      <c r="I1798">
        <f>AVERAGE(E1599:E1798)</f>
        <v/>
      </c>
      <c r="J1798">
        <f>AVERAGE(F1599:F1798)</f>
        <v/>
      </c>
    </row>
    <row r="1799">
      <c r="C1799" s="539" t="n">
        <v>42060</v>
      </c>
      <c r="D1799" t="n">
        <v>115.6999969482422</v>
      </c>
      <c r="E1799" t="n">
        <v>149.1999969482422</v>
      </c>
      <c r="F1799" t="n">
        <v>19.62451362609863</v>
      </c>
      <c r="G1799" t="n">
        <v>73.03624725341797</v>
      </c>
      <c r="H1799">
        <f>AVERAGE(D1600:D1799)</f>
        <v/>
      </c>
      <c r="I1799">
        <f>AVERAGE(E1600:E1799)</f>
        <v/>
      </c>
      <c r="J1799">
        <f>AVERAGE(F1600:F1799)</f>
        <v/>
      </c>
    </row>
    <row r="1800">
      <c r="C1800" s="539" t="n">
        <v>42061</v>
      </c>
      <c r="D1800" t="n">
        <v>116.0699996948242</v>
      </c>
      <c r="E1800" t="n">
        <v>144.2400054931641</v>
      </c>
      <c r="F1800" t="n">
        <v>19.73625946044922</v>
      </c>
      <c r="G1800" t="n">
        <v>73.02029418945312</v>
      </c>
      <c r="H1800">
        <f>AVERAGE(D1601:D1800)</f>
        <v/>
      </c>
      <c r="I1800">
        <f>AVERAGE(E1601:E1800)</f>
        <v/>
      </c>
      <c r="J1800">
        <f>AVERAGE(F1601:F1800)</f>
        <v/>
      </c>
    </row>
    <row r="1801">
      <c r="C1801" s="539" t="n">
        <v>42062</v>
      </c>
      <c r="D1801" t="n">
        <v>116.1600036621094</v>
      </c>
      <c r="E1801" t="n">
        <v>144.8000030517578</v>
      </c>
      <c r="F1801" t="n">
        <v>19.83081436157227</v>
      </c>
      <c r="G1801" t="n">
        <v>73.03624725341797</v>
      </c>
      <c r="H1801">
        <f>AVERAGE(D1602:D1801)</f>
        <v/>
      </c>
      <c r="I1801">
        <f>AVERAGE(E1602:E1801)</f>
        <v/>
      </c>
      <c r="J1801">
        <f>AVERAGE(F1602:F1801)</f>
        <v/>
      </c>
    </row>
    <row r="1802">
      <c r="C1802" s="539" t="n">
        <v>42065</v>
      </c>
      <c r="D1802" t="n">
        <v>115.6800003051758</v>
      </c>
      <c r="E1802" t="n">
        <v>146.5599975585938</v>
      </c>
      <c r="F1802" t="n">
        <v>19.66749382019043</v>
      </c>
      <c r="G1802" t="n">
        <v>73.02029418945312</v>
      </c>
      <c r="H1802">
        <f>AVERAGE(D1603:D1802)</f>
        <v/>
      </c>
      <c r="I1802">
        <f>AVERAGE(E1603:E1802)</f>
        <v/>
      </c>
      <c r="J1802">
        <f>AVERAGE(F1603:F1802)</f>
        <v/>
      </c>
    </row>
    <row r="1803">
      <c r="C1803" s="539" t="n">
        <v>42066</v>
      </c>
      <c r="D1803" t="n">
        <v>115.4700012207031</v>
      </c>
      <c r="E1803" t="n">
        <v>147.9199981689453</v>
      </c>
      <c r="F1803" t="n">
        <v>19.5213623046875</v>
      </c>
      <c r="G1803" t="n">
        <v>73.03624725341797</v>
      </c>
      <c r="H1803">
        <f>AVERAGE(D1604:D1803)</f>
        <v/>
      </c>
      <c r="I1803">
        <f>AVERAGE(E1604:E1803)</f>
        <v/>
      </c>
      <c r="J1803">
        <f>AVERAGE(F1604:F1803)</f>
        <v/>
      </c>
    </row>
    <row r="1804">
      <c r="C1804" s="539" t="n">
        <v>42067</v>
      </c>
      <c r="D1804" t="n">
        <v>115.1100006103516</v>
      </c>
      <c r="E1804" t="n">
        <v>152.0800018310547</v>
      </c>
      <c r="F1804" t="n">
        <v>19.55574798583984</v>
      </c>
      <c r="G1804" t="n">
        <v>73.03624725341797</v>
      </c>
      <c r="H1804">
        <f>AVERAGE(D1605:D1804)</f>
        <v/>
      </c>
      <c r="I1804">
        <f>AVERAGE(E1605:E1804)</f>
        <v/>
      </c>
      <c r="J1804">
        <f>AVERAGE(F1605:F1804)</f>
        <v/>
      </c>
    </row>
    <row r="1805">
      <c r="C1805" s="539" t="n">
        <v>42068</v>
      </c>
      <c r="D1805" t="n">
        <v>115</v>
      </c>
      <c r="E1805" t="n">
        <v>149.6799926757812</v>
      </c>
      <c r="F1805" t="n">
        <v>19.42680740356445</v>
      </c>
      <c r="G1805" t="n">
        <v>73.03624725341797</v>
      </c>
      <c r="H1805">
        <f>AVERAGE(D1606:D1805)</f>
        <v/>
      </c>
      <c r="I1805">
        <f>AVERAGE(E1606:E1805)</f>
        <v/>
      </c>
      <c r="J1805">
        <f>AVERAGE(F1606:F1805)</f>
        <v/>
      </c>
    </row>
    <row r="1806">
      <c r="C1806" s="539" t="n">
        <v>42069</v>
      </c>
      <c r="D1806" t="n">
        <v>111.8600006103516</v>
      </c>
      <c r="E1806" t="n">
        <v>145.9199981689453</v>
      </c>
      <c r="F1806" t="n">
        <v>19.41821098327637</v>
      </c>
      <c r="G1806" t="n">
        <v>73.02029418945312</v>
      </c>
      <c r="H1806">
        <f>AVERAGE(D1607:D1806)</f>
        <v/>
      </c>
      <c r="I1806">
        <f>AVERAGE(E1607:E1806)</f>
        <v/>
      </c>
      <c r="J1806">
        <f>AVERAGE(F1607:F1806)</f>
        <v/>
      </c>
    </row>
    <row r="1807">
      <c r="C1807" s="539" t="n">
        <v>42072</v>
      </c>
      <c r="D1807" t="n">
        <v>111.9700012207031</v>
      </c>
      <c r="E1807" t="n">
        <v>146.8000030517578</v>
      </c>
      <c r="F1807" t="n">
        <v>19.40961456298828</v>
      </c>
      <c r="G1807" t="n">
        <v>73.03624725341797</v>
      </c>
      <c r="H1807">
        <f>AVERAGE(D1608:D1807)</f>
        <v/>
      </c>
      <c r="I1807">
        <f>AVERAGE(E1608:E1807)</f>
        <v/>
      </c>
      <c r="J1807">
        <f>AVERAGE(F1608:F1807)</f>
        <v/>
      </c>
    </row>
    <row r="1808">
      <c r="C1808" s="539" t="n">
        <v>42073</v>
      </c>
      <c r="D1808" t="n">
        <v>111.4199981689453</v>
      </c>
      <c r="E1808" t="n">
        <v>143.2799987792969</v>
      </c>
      <c r="F1808" t="n">
        <v>19.2978687286377</v>
      </c>
      <c r="G1808" t="n">
        <v>73.03624725341797</v>
      </c>
      <c r="H1808">
        <f>AVERAGE(D1609:D1808)</f>
        <v/>
      </c>
      <c r="I1808">
        <f>AVERAGE(E1609:E1808)</f>
        <v/>
      </c>
      <c r="J1808">
        <f>AVERAGE(F1609:F1808)</f>
        <v/>
      </c>
    </row>
    <row r="1809">
      <c r="C1809" s="539" t="n">
        <v>42074</v>
      </c>
      <c r="D1809" t="n">
        <v>110.75</v>
      </c>
      <c r="E1809" t="n">
        <v>142.1600036621094</v>
      </c>
      <c r="F1809" t="n">
        <v>19.26348495483398</v>
      </c>
      <c r="G1809" t="n">
        <v>73.03624725341797</v>
      </c>
      <c r="H1809">
        <f>AVERAGE(D1610:D1809)</f>
        <v/>
      </c>
      <c r="I1809">
        <f>AVERAGE(E1610:E1809)</f>
        <v/>
      </c>
      <c r="J1809">
        <f>AVERAGE(F1610:F1809)</f>
        <v/>
      </c>
    </row>
    <row r="1810">
      <c r="C1810" s="539" t="n">
        <v>42075</v>
      </c>
      <c r="D1810" t="n">
        <v>110.7200012207031</v>
      </c>
      <c r="E1810" t="n">
        <v>139.5200042724609</v>
      </c>
      <c r="F1810" t="n">
        <v>19.26348495483398</v>
      </c>
      <c r="G1810" t="n">
        <v>73.02029418945312</v>
      </c>
      <c r="H1810">
        <f>AVERAGE(D1611:D1810)</f>
        <v/>
      </c>
      <c r="I1810">
        <f>AVERAGE(E1611:E1810)</f>
        <v/>
      </c>
      <c r="J1810">
        <f>AVERAGE(F1611:F1810)</f>
        <v/>
      </c>
    </row>
    <row r="1811">
      <c r="C1811" s="539" t="n">
        <v>42076</v>
      </c>
      <c r="D1811" t="n">
        <v>110.879997253418</v>
      </c>
      <c r="E1811" t="n">
        <v>134.3999938964844</v>
      </c>
      <c r="F1811" t="n">
        <v>18.97122383117676</v>
      </c>
      <c r="G1811" t="n">
        <v>73.03624725341797</v>
      </c>
      <c r="H1811">
        <f>AVERAGE(D1612:D1811)</f>
        <v/>
      </c>
      <c r="I1811">
        <f>AVERAGE(E1612:E1811)</f>
        <v/>
      </c>
      <c r="J1811">
        <f>AVERAGE(F1612:F1811)</f>
        <v/>
      </c>
    </row>
    <row r="1812">
      <c r="C1812" s="539" t="n">
        <v>42079</v>
      </c>
      <c r="D1812" t="n">
        <v>110.8099975585938</v>
      </c>
      <c r="E1812" t="n">
        <v>130.8000030517578</v>
      </c>
      <c r="F1812" t="n">
        <v>19.13454627990723</v>
      </c>
      <c r="G1812" t="n">
        <v>73.03624725341797</v>
      </c>
      <c r="H1812">
        <f>AVERAGE(D1613:D1812)</f>
        <v/>
      </c>
      <c r="I1812">
        <f>AVERAGE(E1613:E1812)</f>
        <v/>
      </c>
      <c r="J1812">
        <f>AVERAGE(F1613:F1812)</f>
        <v/>
      </c>
    </row>
    <row r="1813">
      <c r="C1813" s="539" t="n">
        <v>42080</v>
      </c>
      <c r="D1813" t="n">
        <v>110.2099990844727</v>
      </c>
      <c r="E1813" t="n">
        <v>127.6800003051758</v>
      </c>
      <c r="F1813" t="n">
        <v>18.97981834411621</v>
      </c>
      <c r="G1813" t="n">
        <v>73.03624725341797</v>
      </c>
      <c r="H1813">
        <f>AVERAGE(D1614:D1813)</f>
        <v/>
      </c>
      <c r="I1813">
        <f>AVERAGE(E1614:E1813)</f>
        <v/>
      </c>
      <c r="J1813">
        <f>AVERAGE(F1614:F1813)</f>
        <v/>
      </c>
    </row>
    <row r="1814">
      <c r="C1814" s="539" t="n">
        <v>42081</v>
      </c>
      <c r="D1814" t="n">
        <v>112.370002746582</v>
      </c>
      <c r="E1814" t="n">
        <v>134.0800018310547</v>
      </c>
      <c r="F1814" t="n">
        <v>19.21191024780273</v>
      </c>
      <c r="G1814" t="n">
        <v>73.03624725341797</v>
      </c>
      <c r="H1814">
        <f>AVERAGE(D1615:D1814)</f>
        <v/>
      </c>
      <c r="I1814">
        <f>AVERAGE(E1615:E1814)</f>
        <v/>
      </c>
      <c r="J1814">
        <f>AVERAGE(F1615:F1814)</f>
        <v/>
      </c>
    </row>
    <row r="1815">
      <c r="C1815" s="539" t="n">
        <v>42082</v>
      </c>
      <c r="D1815" t="n">
        <v>112.2900009155273</v>
      </c>
      <c r="E1815" t="n">
        <v>128.6399993896484</v>
      </c>
      <c r="F1815" t="n">
        <v>19.13454627990723</v>
      </c>
      <c r="G1815" t="n">
        <v>73.03624725341797</v>
      </c>
      <c r="H1815">
        <f>AVERAGE(D1616:D1815)</f>
        <v/>
      </c>
      <c r="I1815">
        <f>AVERAGE(E1616:E1815)</f>
        <v/>
      </c>
      <c r="J1815">
        <f>AVERAGE(F1616:F1815)</f>
        <v/>
      </c>
    </row>
    <row r="1816">
      <c r="C1816" s="539" t="n">
        <v>42083</v>
      </c>
      <c r="D1816" t="n">
        <v>113.5699996948242</v>
      </c>
      <c r="E1816" t="n">
        <v>131.4400024414062</v>
      </c>
      <c r="F1816" t="n">
        <v>19.38382530212402</v>
      </c>
      <c r="G1816" t="n">
        <v>73.03624725341797</v>
      </c>
      <c r="H1816">
        <f>AVERAGE(D1617:D1816)</f>
        <v/>
      </c>
      <c r="I1816">
        <f>AVERAGE(E1617:E1816)</f>
        <v/>
      </c>
      <c r="J1816">
        <f>AVERAGE(F1617:F1816)</f>
        <v/>
      </c>
    </row>
    <row r="1817">
      <c r="C1817" s="539" t="n">
        <v>42086</v>
      </c>
      <c r="D1817" t="n">
        <v>114.2900009155273</v>
      </c>
      <c r="E1817" t="n">
        <v>134.2400054931641</v>
      </c>
      <c r="F1817" t="n">
        <v>19.54714775085449</v>
      </c>
      <c r="G1817" t="n">
        <v>73.02029418945312</v>
      </c>
      <c r="H1817">
        <f>AVERAGE(D1618:D1817)</f>
        <v/>
      </c>
      <c r="I1817">
        <f>AVERAGE(E1618:E1817)</f>
        <v/>
      </c>
      <c r="J1817">
        <f>AVERAGE(F1618:F1817)</f>
        <v/>
      </c>
    </row>
    <row r="1818">
      <c r="C1818" s="539" t="n">
        <v>42087</v>
      </c>
      <c r="D1818" t="n">
        <v>114.5699996948242</v>
      </c>
      <c r="E1818" t="n">
        <v>134.3200073242188</v>
      </c>
      <c r="F1818" t="n">
        <v>19.43540382385254</v>
      </c>
      <c r="G1818" t="n">
        <v>73.03624725341797</v>
      </c>
      <c r="H1818">
        <f>AVERAGE(D1619:D1818)</f>
        <v/>
      </c>
      <c r="I1818">
        <f>AVERAGE(E1619:E1818)</f>
        <v/>
      </c>
      <c r="J1818">
        <f>AVERAGE(F1619:F1818)</f>
        <v/>
      </c>
    </row>
    <row r="1819">
      <c r="C1819" s="539" t="n">
        <v>42088</v>
      </c>
      <c r="D1819" t="n">
        <v>114.7300033569336</v>
      </c>
      <c r="E1819" t="n">
        <v>138.8800048828125</v>
      </c>
      <c r="F1819" t="n">
        <v>19.38382530212402</v>
      </c>
      <c r="G1819" t="n">
        <v>73.02029418945312</v>
      </c>
      <c r="H1819">
        <f>AVERAGE(D1620:D1819)</f>
        <v/>
      </c>
      <c r="I1819">
        <f>AVERAGE(E1620:E1819)</f>
        <v/>
      </c>
      <c r="J1819">
        <f>AVERAGE(F1620:F1819)</f>
        <v/>
      </c>
    </row>
    <row r="1820">
      <c r="C1820" s="539" t="n">
        <v>42089</v>
      </c>
      <c r="D1820" t="n">
        <v>115.4800033569336</v>
      </c>
      <c r="E1820" t="n">
        <v>145.6799926757812</v>
      </c>
      <c r="F1820" t="n">
        <v>19.24629211425781</v>
      </c>
      <c r="G1820" t="n">
        <v>73.02029418945312</v>
      </c>
      <c r="H1820">
        <f>AVERAGE(D1621:D1820)</f>
        <v/>
      </c>
      <c r="I1820">
        <f>AVERAGE(E1621:E1820)</f>
        <v/>
      </c>
      <c r="J1820">
        <f>AVERAGE(F1621:F1820)</f>
        <v/>
      </c>
    </row>
    <row r="1821">
      <c r="C1821" s="539" t="n">
        <v>42090</v>
      </c>
      <c r="D1821" t="n">
        <v>115.0599975585938</v>
      </c>
      <c r="E1821" t="n">
        <v>137.1199951171875</v>
      </c>
      <c r="F1821" t="n">
        <v>19.18612098693848</v>
      </c>
      <c r="G1821" t="n">
        <v>73.02029418945312</v>
      </c>
      <c r="H1821">
        <f>AVERAGE(D1622:D1821)</f>
        <v/>
      </c>
      <c r="I1821">
        <f>AVERAGE(E1622:E1821)</f>
        <v/>
      </c>
      <c r="J1821">
        <f>AVERAGE(F1622:F1821)</f>
        <v/>
      </c>
    </row>
    <row r="1822">
      <c r="C1822" s="539" t="n">
        <v>42093</v>
      </c>
      <c r="D1822" t="n">
        <v>113.75</v>
      </c>
      <c r="E1822" t="n">
        <v>137.8399963378906</v>
      </c>
      <c r="F1822" t="n">
        <v>19.20331001281738</v>
      </c>
      <c r="G1822" t="n">
        <v>73.00429534912109</v>
      </c>
      <c r="H1822">
        <f>AVERAGE(D1623:D1822)</f>
        <v/>
      </c>
      <c r="I1822">
        <f>AVERAGE(E1623:E1822)</f>
        <v/>
      </c>
      <c r="J1822">
        <f>AVERAGE(F1623:F1822)</f>
        <v/>
      </c>
    </row>
    <row r="1823">
      <c r="C1823" s="539" t="n">
        <v>42094</v>
      </c>
      <c r="D1823" t="n">
        <v>113.6600036621094</v>
      </c>
      <c r="E1823" t="n">
        <v>134.7200012207031</v>
      </c>
      <c r="F1823" t="n">
        <v>19.03139305114746</v>
      </c>
      <c r="G1823" t="n">
        <v>73.03624725341797</v>
      </c>
      <c r="H1823">
        <f>AVERAGE(D1624:D1823)</f>
        <v/>
      </c>
      <c r="I1823">
        <f>AVERAGE(E1624:E1823)</f>
        <v/>
      </c>
      <c r="J1823">
        <f>AVERAGE(F1624:F1823)</f>
        <v/>
      </c>
    </row>
    <row r="1824">
      <c r="C1824" s="539" t="n">
        <v>42095</v>
      </c>
      <c r="D1824" t="n">
        <v>115.5999984741211</v>
      </c>
      <c r="E1824" t="n">
        <v>140.6399993896484</v>
      </c>
      <c r="F1824" t="n">
        <v>19.26348495483398</v>
      </c>
      <c r="G1824" t="n">
        <v>73.00429534912109</v>
      </c>
      <c r="H1824">
        <f>AVERAGE(D1625:D1824)</f>
        <v/>
      </c>
      <c r="I1824">
        <f>AVERAGE(E1625:E1824)</f>
        <v/>
      </c>
      <c r="J1824">
        <f>AVERAGE(F1625:F1824)</f>
        <v/>
      </c>
    </row>
    <row r="1825">
      <c r="C1825" s="539" t="n">
        <v>42096</v>
      </c>
      <c r="D1825" t="n">
        <v>115.2799987792969</v>
      </c>
      <c r="E1825" t="n">
        <v>140.4799957275391</v>
      </c>
      <c r="F1825" t="n">
        <v>19.54714775085449</v>
      </c>
      <c r="G1825" t="n">
        <v>73.02029418945312</v>
      </c>
      <c r="H1825">
        <f>AVERAGE(D1626:D1825)</f>
        <v/>
      </c>
      <c r="I1825">
        <f>AVERAGE(E1626:E1825)</f>
        <v/>
      </c>
      <c r="J1825">
        <f>AVERAGE(F1626:F1825)</f>
        <v/>
      </c>
    </row>
    <row r="1826">
      <c r="C1826" s="539" t="n">
        <v>42100</v>
      </c>
      <c r="D1826" t="n">
        <v>116.6900024414062</v>
      </c>
      <c r="E1826" t="n">
        <v>147.4400024414062</v>
      </c>
      <c r="F1826" t="n">
        <v>19.50416946411133</v>
      </c>
      <c r="G1826" t="n">
        <v>73.02029418945312</v>
      </c>
      <c r="H1826">
        <f>AVERAGE(D1627:D1826)</f>
        <v/>
      </c>
      <c r="I1826">
        <f>AVERAGE(E1627:E1826)</f>
        <v/>
      </c>
      <c r="J1826">
        <f>AVERAGE(F1627:F1826)</f>
        <v/>
      </c>
    </row>
    <row r="1827">
      <c r="C1827" s="539" t="n">
        <v>42101</v>
      </c>
      <c r="D1827" t="n">
        <v>116.1100006103516</v>
      </c>
      <c r="E1827" t="n">
        <v>152.4799957275391</v>
      </c>
      <c r="F1827" t="n">
        <v>19.45259284973145</v>
      </c>
      <c r="G1827" t="n">
        <v>73.03624725341797</v>
      </c>
      <c r="H1827">
        <f>AVERAGE(D1628:D1827)</f>
        <v/>
      </c>
      <c r="I1827">
        <f>AVERAGE(E1628:E1827)</f>
        <v/>
      </c>
      <c r="J1827">
        <f>AVERAGE(F1628:F1827)</f>
        <v/>
      </c>
    </row>
    <row r="1828">
      <c r="C1828" s="539" t="n">
        <v>42102</v>
      </c>
      <c r="D1828" t="n">
        <v>115.4700012207031</v>
      </c>
      <c r="E1828" t="n">
        <v>144.5599975585938</v>
      </c>
      <c r="F1828" t="n">
        <v>19.34944152832031</v>
      </c>
      <c r="G1828" t="n">
        <v>73.03624725341797</v>
      </c>
      <c r="H1828">
        <f>AVERAGE(D1629:D1828)</f>
        <v/>
      </c>
      <c r="I1828">
        <f>AVERAGE(E1629:E1828)</f>
        <v/>
      </c>
      <c r="J1828">
        <f>AVERAGE(F1629:F1828)</f>
        <v/>
      </c>
    </row>
    <row r="1829">
      <c r="C1829" s="539" t="n">
        <v>42103</v>
      </c>
      <c r="D1829" t="n">
        <v>114.6699981689453</v>
      </c>
      <c r="E1829" t="n">
        <v>144.2400054931641</v>
      </c>
      <c r="F1829" t="n">
        <v>19.28927230834961</v>
      </c>
      <c r="G1829" t="n">
        <v>73.02029418945312</v>
      </c>
      <c r="H1829">
        <f>AVERAGE(D1630:D1829)</f>
        <v/>
      </c>
      <c r="I1829">
        <f>AVERAGE(E1630:E1829)</f>
        <v/>
      </c>
      <c r="J1829">
        <f>AVERAGE(F1630:F1829)</f>
        <v/>
      </c>
    </row>
    <row r="1830">
      <c r="C1830" s="539" t="n">
        <v>42104</v>
      </c>
      <c r="D1830" t="n">
        <v>115.9700012207031</v>
      </c>
      <c r="E1830" t="n">
        <v>147.2799987792969</v>
      </c>
      <c r="F1830" t="n">
        <v>19.18612098693848</v>
      </c>
      <c r="G1830" t="n">
        <v>73.02029418945312</v>
      </c>
      <c r="H1830">
        <f>AVERAGE(D1631:D1830)</f>
        <v/>
      </c>
      <c r="I1830">
        <f>AVERAGE(E1631:E1830)</f>
        <v/>
      </c>
      <c r="J1830">
        <f>AVERAGE(F1631:F1830)</f>
        <v/>
      </c>
    </row>
    <row r="1831">
      <c r="C1831" s="539" t="n">
        <v>42107</v>
      </c>
      <c r="D1831" t="n">
        <v>115.1399993896484</v>
      </c>
      <c r="E1831" t="n">
        <v>148</v>
      </c>
      <c r="F1831" t="n">
        <v>19.02279472351074</v>
      </c>
      <c r="G1831" t="n">
        <v>73.00429534912109</v>
      </c>
      <c r="H1831">
        <f>AVERAGE(D1632:D1831)</f>
        <v/>
      </c>
      <c r="I1831">
        <f>AVERAGE(E1632:E1831)</f>
        <v/>
      </c>
      <c r="J1831">
        <f>AVERAGE(F1632:F1831)</f>
        <v/>
      </c>
    </row>
    <row r="1832">
      <c r="C1832" s="539" t="n">
        <v>42108</v>
      </c>
      <c r="D1832" t="n">
        <v>114.4400024414062</v>
      </c>
      <c r="E1832" t="n">
        <v>150.5599975585938</v>
      </c>
      <c r="F1832" t="n">
        <v>19.14314079284668</v>
      </c>
      <c r="G1832" t="n">
        <v>73.02029418945312</v>
      </c>
      <c r="H1832">
        <f>AVERAGE(D1633:D1832)</f>
        <v/>
      </c>
      <c r="I1832">
        <f>AVERAGE(E1633:E1832)</f>
        <v/>
      </c>
      <c r="J1832">
        <f>AVERAGE(F1633:F1832)</f>
        <v/>
      </c>
    </row>
    <row r="1833">
      <c r="C1833" s="539" t="n">
        <v>42109</v>
      </c>
      <c r="D1833" t="n">
        <v>115.4300003051758</v>
      </c>
      <c r="E1833" t="n">
        <v>157.6799926757812</v>
      </c>
      <c r="F1833" t="n">
        <v>19.10016059875488</v>
      </c>
      <c r="G1833" t="n">
        <v>73.00429534912109</v>
      </c>
      <c r="H1833">
        <f>AVERAGE(D1634:D1833)</f>
        <v/>
      </c>
      <c r="I1833">
        <f>AVERAGE(E1634:E1833)</f>
        <v/>
      </c>
      <c r="J1833">
        <f>AVERAGE(F1634:F1833)</f>
        <v/>
      </c>
    </row>
    <row r="1834">
      <c r="C1834" s="539" t="n">
        <v>42110</v>
      </c>
      <c r="D1834" t="n">
        <v>115.0299987792969</v>
      </c>
      <c r="E1834" t="n">
        <v>159.5200042724609</v>
      </c>
      <c r="F1834" t="n">
        <v>19.23769378662109</v>
      </c>
      <c r="G1834" t="n">
        <v>73.02029418945312</v>
      </c>
      <c r="H1834">
        <f>AVERAGE(D1635:D1834)</f>
        <v/>
      </c>
      <c r="I1834">
        <f>AVERAGE(E1635:E1834)</f>
        <v/>
      </c>
      <c r="J1834">
        <f>AVERAGE(F1635:F1834)</f>
        <v/>
      </c>
    </row>
    <row r="1835">
      <c r="C1835" s="539" t="n">
        <v>42111</v>
      </c>
      <c r="D1835" t="n">
        <v>115.5999984741211</v>
      </c>
      <c r="E1835" t="n">
        <v>158.7200012207031</v>
      </c>
      <c r="F1835" t="n">
        <v>19.12594985961914</v>
      </c>
      <c r="G1835" t="n">
        <v>73.00429534912109</v>
      </c>
      <c r="H1835">
        <f>AVERAGE(D1636:D1835)</f>
        <v/>
      </c>
      <c r="I1835">
        <f>AVERAGE(E1636:E1835)</f>
        <v/>
      </c>
      <c r="J1835">
        <f>AVERAGE(F1636:F1835)</f>
        <v/>
      </c>
    </row>
    <row r="1836">
      <c r="C1836" s="539" t="n">
        <v>42114</v>
      </c>
      <c r="D1836" t="n">
        <v>114.7200012207031</v>
      </c>
      <c r="E1836" t="n">
        <v>159.1199951171875</v>
      </c>
      <c r="F1836" t="n">
        <v>18.97122383117676</v>
      </c>
      <c r="G1836" t="n">
        <v>73.00429534912109</v>
      </c>
      <c r="H1836">
        <f>AVERAGE(D1637:D1836)</f>
        <v/>
      </c>
      <c r="I1836">
        <f>AVERAGE(E1637:E1836)</f>
        <v/>
      </c>
      <c r="J1836">
        <f>AVERAGE(F1637:F1836)</f>
        <v/>
      </c>
    </row>
    <row r="1837">
      <c r="C1837" s="539" t="n">
        <v>42115</v>
      </c>
      <c r="D1837" t="n">
        <v>115.379997253418</v>
      </c>
      <c r="E1837" t="n">
        <v>155.6000061035156</v>
      </c>
      <c r="F1837" t="n">
        <v>18.99701118469238</v>
      </c>
      <c r="G1837" t="n">
        <v>73.02029418945312</v>
      </c>
      <c r="H1837">
        <f>AVERAGE(D1638:D1837)</f>
        <v/>
      </c>
      <c r="I1837">
        <f>AVERAGE(E1638:E1837)</f>
        <v/>
      </c>
      <c r="J1837">
        <f>AVERAGE(F1638:F1837)</f>
        <v/>
      </c>
    </row>
    <row r="1838">
      <c r="C1838" s="539" t="n">
        <v>42116</v>
      </c>
      <c r="D1838" t="n">
        <v>113.8300018310547</v>
      </c>
      <c r="E1838" t="n">
        <v>154.8800048828125</v>
      </c>
      <c r="F1838" t="n">
        <v>18.93684005737305</v>
      </c>
      <c r="G1838" t="n">
        <v>73.00429534912109</v>
      </c>
      <c r="H1838">
        <f>AVERAGE(D1639:D1838)</f>
        <v/>
      </c>
      <c r="I1838">
        <f>AVERAGE(E1639:E1838)</f>
        <v/>
      </c>
      <c r="J1838">
        <f>AVERAGE(F1639:F1838)</f>
        <v/>
      </c>
    </row>
    <row r="1839">
      <c r="C1839" s="539" t="n">
        <v>42117</v>
      </c>
      <c r="D1839" t="n">
        <v>114.6600036621094</v>
      </c>
      <c r="E1839" t="n">
        <v>158.0800018310547</v>
      </c>
      <c r="F1839" t="n">
        <v>19.15173721313477</v>
      </c>
      <c r="G1839" t="n">
        <v>73.00429534912109</v>
      </c>
      <c r="H1839">
        <f>AVERAGE(D1640:D1839)</f>
        <v/>
      </c>
      <c r="I1839">
        <f>AVERAGE(E1640:E1839)</f>
        <v/>
      </c>
      <c r="J1839">
        <f>AVERAGE(F1640:F1839)</f>
        <v/>
      </c>
    </row>
    <row r="1840">
      <c r="C1840" s="539" t="n">
        <v>42118</v>
      </c>
      <c r="D1840" t="n">
        <v>113.0500030517578</v>
      </c>
      <c r="E1840" t="n">
        <v>157.3600006103516</v>
      </c>
      <c r="F1840" t="n">
        <v>19.21191024780273</v>
      </c>
      <c r="G1840" t="n">
        <v>73.00429534912109</v>
      </c>
      <c r="H1840">
        <f>AVERAGE(D1641:D1840)</f>
        <v/>
      </c>
      <c r="I1840">
        <f>AVERAGE(E1641:E1840)</f>
        <v/>
      </c>
      <c r="J1840">
        <f>AVERAGE(F1641:F1840)</f>
        <v/>
      </c>
    </row>
    <row r="1841">
      <c r="C1841" s="539" t="n">
        <v>42121</v>
      </c>
      <c r="D1841" t="n">
        <v>115.3300018310547</v>
      </c>
      <c r="E1841" t="n">
        <v>156.1600036621094</v>
      </c>
      <c r="F1841" t="n">
        <v>19.10016059875488</v>
      </c>
      <c r="G1841" t="n">
        <v>73.02029418945312</v>
      </c>
      <c r="H1841">
        <f>AVERAGE(D1642:D1841)</f>
        <v/>
      </c>
      <c r="I1841">
        <f>AVERAGE(E1642:E1841)</f>
        <v/>
      </c>
      <c r="J1841">
        <f>AVERAGE(F1642:F1841)</f>
        <v/>
      </c>
    </row>
    <row r="1842">
      <c r="C1842" s="539" t="n">
        <v>42122</v>
      </c>
      <c r="D1842" t="n">
        <v>116.3300018310547</v>
      </c>
      <c r="E1842" t="n">
        <v>156.8000030517578</v>
      </c>
      <c r="F1842" t="n">
        <v>19.11735343933105</v>
      </c>
      <c r="G1842" t="n">
        <v>73.02029418945312</v>
      </c>
      <c r="H1842">
        <f>AVERAGE(D1643:D1842)</f>
        <v/>
      </c>
      <c r="I1842">
        <f>AVERAGE(E1643:E1842)</f>
        <v/>
      </c>
      <c r="J1842">
        <f>AVERAGE(F1643:F1842)</f>
        <v/>
      </c>
    </row>
    <row r="1843">
      <c r="C1843" s="539" t="n">
        <v>42123</v>
      </c>
      <c r="D1843" t="n">
        <v>115.5100021362305</v>
      </c>
      <c r="E1843" t="n">
        <v>160.9600067138672</v>
      </c>
      <c r="F1843" t="n">
        <v>19.23769378662109</v>
      </c>
      <c r="G1843" t="n">
        <v>73.02029418945312</v>
      </c>
      <c r="H1843">
        <f>AVERAGE(D1644:D1843)</f>
        <v/>
      </c>
      <c r="I1843">
        <f>AVERAGE(E1644:E1843)</f>
        <v/>
      </c>
      <c r="J1843">
        <f>AVERAGE(F1644:F1843)</f>
        <v/>
      </c>
    </row>
    <row r="1844">
      <c r="C1844" s="539" t="n">
        <v>42124</v>
      </c>
      <c r="D1844" t="n">
        <v>113.4700012207031</v>
      </c>
      <c r="E1844" t="n">
        <v>164.0800018310547</v>
      </c>
      <c r="F1844" t="n">
        <v>19.16033172607422</v>
      </c>
      <c r="G1844" t="n">
        <v>73.02029418945312</v>
      </c>
      <c r="H1844">
        <f>AVERAGE(D1645:D1844)</f>
        <v/>
      </c>
      <c r="I1844">
        <f>AVERAGE(E1645:E1844)</f>
        <v/>
      </c>
      <c r="J1844">
        <f>AVERAGE(F1645:F1844)</f>
        <v/>
      </c>
    </row>
    <row r="1845">
      <c r="C1845" s="539" t="n">
        <v>42125</v>
      </c>
      <c r="D1845" t="n">
        <v>113.0800018310547</v>
      </c>
      <c r="E1845" t="n">
        <v>163.1999969482422</v>
      </c>
      <c r="F1845" t="n">
        <v>18.92824172973633</v>
      </c>
      <c r="G1845" t="n">
        <v>73.00429534912109</v>
      </c>
      <c r="H1845">
        <f>AVERAGE(D1646:D1845)</f>
        <v/>
      </c>
      <c r="I1845">
        <f>AVERAGE(E1646:E1845)</f>
        <v/>
      </c>
      <c r="J1845">
        <f>AVERAGE(F1646:F1845)</f>
        <v/>
      </c>
    </row>
    <row r="1846">
      <c r="C1846" s="539" t="n">
        <v>42128</v>
      </c>
      <c r="D1846" t="n">
        <v>114.0999984741211</v>
      </c>
      <c r="E1846" t="n">
        <v>162.2400054931641</v>
      </c>
      <c r="F1846" t="n">
        <v>18.88526344299316</v>
      </c>
      <c r="G1846" t="n">
        <v>73.02029418945312</v>
      </c>
      <c r="H1846">
        <f>AVERAGE(D1647:D1846)</f>
        <v/>
      </c>
      <c r="I1846">
        <f>AVERAGE(E1647:E1846)</f>
        <v/>
      </c>
      <c r="J1846">
        <f>AVERAGE(F1647:F1846)</f>
        <v/>
      </c>
    </row>
    <row r="1847">
      <c r="C1847" s="539" t="n">
        <v>42129</v>
      </c>
      <c r="D1847" t="n">
        <v>114.4199981689453</v>
      </c>
      <c r="E1847" t="n">
        <v>166.0800018310547</v>
      </c>
      <c r="F1847" t="n">
        <v>19.00560569763184</v>
      </c>
      <c r="G1847" t="n">
        <v>73.02029418945312</v>
      </c>
      <c r="H1847">
        <f>AVERAGE(D1648:D1847)</f>
        <v/>
      </c>
      <c r="I1847">
        <f>AVERAGE(E1648:E1847)</f>
        <v/>
      </c>
      <c r="J1847">
        <f>AVERAGE(F1648:F1847)</f>
        <v/>
      </c>
    </row>
    <row r="1848">
      <c r="C1848" s="539" t="n">
        <v>42130</v>
      </c>
      <c r="D1848" t="n">
        <v>114.3600006103516</v>
      </c>
      <c r="E1848" t="n">
        <v>166.5599975585938</v>
      </c>
      <c r="F1848" t="n">
        <v>19.07437324523926</v>
      </c>
      <c r="G1848" t="n">
        <v>73.02029418945312</v>
      </c>
      <c r="H1848">
        <f>AVERAGE(D1649:D1848)</f>
        <v/>
      </c>
      <c r="I1848">
        <f>AVERAGE(E1649:E1848)</f>
        <v/>
      </c>
      <c r="J1848">
        <f>AVERAGE(F1649:F1848)</f>
        <v/>
      </c>
    </row>
    <row r="1849">
      <c r="C1849" s="539" t="n">
        <v>42131</v>
      </c>
      <c r="D1849" t="n">
        <v>113.4199981689453</v>
      </c>
      <c r="E1849" t="n">
        <v>161.6000061035156</v>
      </c>
      <c r="F1849" t="n">
        <v>19.00560569763184</v>
      </c>
      <c r="G1849" t="n">
        <v>73.00429534912109</v>
      </c>
      <c r="H1849">
        <f>AVERAGE(D1650:D1849)</f>
        <v/>
      </c>
      <c r="I1849">
        <f>AVERAGE(E1650:E1849)</f>
        <v/>
      </c>
      <c r="J1849">
        <f>AVERAGE(F1650:F1849)</f>
        <v/>
      </c>
    </row>
    <row r="1850">
      <c r="C1850" s="539" t="n">
        <v>42132</v>
      </c>
      <c r="D1850" t="n">
        <v>113.9700012207031</v>
      </c>
      <c r="E1850" t="n">
        <v>163.3600006103516</v>
      </c>
      <c r="F1850" t="n">
        <v>19.22050476074219</v>
      </c>
      <c r="G1850" t="n">
        <v>73.02029418945312</v>
      </c>
      <c r="H1850">
        <f>AVERAGE(D1651:D1850)</f>
        <v/>
      </c>
      <c r="I1850">
        <f>AVERAGE(E1651:E1850)</f>
        <v/>
      </c>
      <c r="J1850">
        <f>AVERAGE(F1651:F1850)</f>
        <v/>
      </c>
    </row>
    <row r="1851">
      <c r="C1851" s="539" t="n">
        <v>42135</v>
      </c>
      <c r="D1851" t="n">
        <v>113.5299987792969</v>
      </c>
      <c r="E1851" t="n">
        <v>163.0399932861328</v>
      </c>
      <c r="F1851" t="n">
        <v>19.22910308837891</v>
      </c>
      <c r="G1851" t="n">
        <v>73.00429534912109</v>
      </c>
      <c r="H1851">
        <f>AVERAGE(D1652:D1851)</f>
        <v/>
      </c>
      <c r="I1851">
        <f>AVERAGE(E1652:E1851)</f>
        <v/>
      </c>
      <c r="J1851">
        <f>AVERAGE(F1652:F1851)</f>
        <v/>
      </c>
    </row>
    <row r="1852">
      <c r="C1852" s="539" t="n">
        <v>42136</v>
      </c>
      <c r="D1852" t="n">
        <v>114.5</v>
      </c>
      <c r="E1852" t="n">
        <v>165.9199981689453</v>
      </c>
      <c r="F1852" t="n">
        <v>19.27207946777344</v>
      </c>
      <c r="G1852" t="n">
        <v>73.02029418945312</v>
      </c>
      <c r="H1852">
        <f>AVERAGE(D1653:D1852)</f>
        <v/>
      </c>
      <c r="I1852">
        <f>AVERAGE(E1653:E1852)</f>
        <v/>
      </c>
      <c r="J1852">
        <f>AVERAGE(F1653:F1852)</f>
        <v/>
      </c>
    </row>
    <row r="1853">
      <c r="C1853" s="539" t="n">
        <v>42137</v>
      </c>
      <c r="D1853" t="n">
        <v>116.5500030517578</v>
      </c>
      <c r="E1853" t="n">
        <v>164.8800048828125</v>
      </c>
      <c r="F1853" t="n">
        <v>19.24629211425781</v>
      </c>
      <c r="G1853" t="n">
        <v>73.02029418945312</v>
      </c>
      <c r="H1853">
        <f>AVERAGE(D1654:D1853)</f>
        <v/>
      </c>
      <c r="I1853">
        <f>AVERAGE(E1654:E1853)</f>
        <v/>
      </c>
      <c r="J1853">
        <f>AVERAGE(F1654:F1853)</f>
        <v/>
      </c>
    </row>
    <row r="1854">
      <c r="C1854" s="539" t="n">
        <v>42138</v>
      </c>
      <c r="D1854" t="n">
        <v>117.1800003051758</v>
      </c>
      <c r="E1854" t="n">
        <v>164.2400054931641</v>
      </c>
      <c r="F1854" t="n">
        <v>19.52995681762695</v>
      </c>
      <c r="G1854" t="n">
        <v>73.00429534912109</v>
      </c>
      <c r="H1854">
        <f>AVERAGE(D1655:D1854)</f>
        <v/>
      </c>
      <c r="I1854">
        <f>AVERAGE(E1655:E1854)</f>
        <v/>
      </c>
      <c r="J1854">
        <f>AVERAGE(F1655:F1854)</f>
        <v/>
      </c>
    </row>
    <row r="1855">
      <c r="C1855" s="539" t="n">
        <v>42139</v>
      </c>
      <c r="D1855" t="n">
        <v>117.5299987792969</v>
      </c>
      <c r="E1855" t="n">
        <v>164.1600036621094</v>
      </c>
      <c r="F1855" t="n">
        <v>19.50416946411133</v>
      </c>
      <c r="G1855" t="n">
        <v>73.00429534912109</v>
      </c>
      <c r="H1855">
        <f>AVERAGE(D1656:D1855)</f>
        <v/>
      </c>
      <c r="I1855">
        <f>AVERAGE(E1656:E1855)</f>
        <v/>
      </c>
      <c r="J1855">
        <f>AVERAGE(F1656:F1855)</f>
        <v/>
      </c>
    </row>
    <row r="1856">
      <c r="C1856" s="539" t="n">
        <v>42142</v>
      </c>
      <c r="D1856" t="n">
        <v>117.5199966430664</v>
      </c>
      <c r="E1856" t="n">
        <v>163.5200042724609</v>
      </c>
      <c r="F1856" t="n">
        <v>19.54714775085449</v>
      </c>
      <c r="G1856" t="n">
        <v>73.00429534912109</v>
      </c>
      <c r="H1856">
        <f>AVERAGE(D1657:D1856)</f>
        <v/>
      </c>
      <c r="I1856">
        <f>AVERAGE(E1657:E1856)</f>
        <v/>
      </c>
      <c r="J1856">
        <f>AVERAGE(F1657:F1856)</f>
        <v/>
      </c>
    </row>
    <row r="1857">
      <c r="C1857" s="539" t="n">
        <v>42143</v>
      </c>
      <c r="D1857" t="n">
        <v>115.8899993896484</v>
      </c>
      <c r="E1857" t="n">
        <v>157.0399932861328</v>
      </c>
      <c r="F1857" t="n">
        <v>19.3752326965332</v>
      </c>
      <c r="G1857" t="n">
        <v>73.00429534912109</v>
      </c>
      <c r="H1857">
        <f>AVERAGE(D1658:D1857)</f>
        <v/>
      </c>
      <c r="I1857">
        <f>AVERAGE(E1658:E1857)</f>
        <v/>
      </c>
      <c r="J1857">
        <f>AVERAGE(F1658:F1857)</f>
        <v/>
      </c>
    </row>
    <row r="1858">
      <c r="C1858" s="539" t="n">
        <v>42144</v>
      </c>
      <c r="D1858" t="n">
        <v>116.0800018310547</v>
      </c>
      <c r="E1858" t="n">
        <v>158.7200012207031</v>
      </c>
      <c r="F1858" t="n">
        <v>19.28927230834961</v>
      </c>
      <c r="G1858" t="n">
        <v>73.00429534912109</v>
      </c>
      <c r="H1858">
        <f>AVERAGE(D1659:D1858)</f>
        <v/>
      </c>
      <c r="I1858">
        <f>AVERAGE(E1659:E1858)</f>
        <v/>
      </c>
      <c r="J1858">
        <f>AVERAGE(F1659:F1858)</f>
        <v/>
      </c>
    </row>
    <row r="1859">
      <c r="C1859" s="539" t="n">
        <v>42145</v>
      </c>
      <c r="D1859" t="n">
        <v>115.6900024414062</v>
      </c>
      <c r="E1859" t="n">
        <v>164</v>
      </c>
      <c r="F1859" t="n">
        <v>19.28067588806152</v>
      </c>
      <c r="G1859" t="n">
        <v>73.02029418945312</v>
      </c>
      <c r="H1859">
        <f>AVERAGE(D1660:D1859)</f>
        <v/>
      </c>
      <c r="I1859">
        <f>AVERAGE(E1660:E1859)</f>
        <v/>
      </c>
      <c r="J1859">
        <f>AVERAGE(F1660:F1859)</f>
        <v/>
      </c>
    </row>
    <row r="1860">
      <c r="C1860" s="539" t="n">
        <v>42146</v>
      </c>
      <c r="D1860" t="n">
        <v>115.5999984741211</v>
      </c>
      <c r="E1860" t="n">
        <v>162</v>
      </c>
      <c r="F1860" t="n">
        <v>19.10875511169434</v>
      </c>
      <c r="G1860" t="n">
        <v>73.02029418945312</v>
      </c>
      <c r="H1860">
        <f>AVERAGE(D1661:D1860)</f>
        <v/>
      </c>
      <c r="I1860">
        <f>AVERAGE(E1661:E1860)</f>
        <v/>
      </c>
      <c r="J1860">
        <f>AVERAGE(F1661:F1860)</f>
        <v/>
      </c>
    </row>
    <row r="1861">
      <c r="C1861" s="539" t="n">
        <v>42150</v>
      </c>
      <c r="D1861" t="n">
        <v>113.9100036621094</v>
      </c>
      <c r="E1861" t="n">
        <v>157.5200042724609</v>
      </c>
      <c r="F1861" t="n">
        <v>18.89385604858398</v>
      </c>
      <c r="G1861" t="n">
        <v>73.02029418945312</v>
      </c>
      <c r="H1861">
        <f>AVERAGE(D1662:D1861)</f>
        <v/>
      </c>
      <c r="I1861">
        <f>AVERAGE(E1662:E1861)</f>
        <v/>
      </c>
      <c r="J1861">
        <f>AVERAGE(F1662:F1861)</f>
        <v/>
      </c>
    </row>
    <row r="1862">
      <c r="C1862" s="539" t="n">
        <v>42151</v>
      </c>
      <c r="D1862" t="n">
        <v>113.8899993896484</v>
      </c>
      <c r="E1862" t="n">
        <v>155.8399963378906</v>
      </c>
      <c r="F1862" t="n">
        <v>18.79930305480957</v>
      </c>
      <c r="G1862" t="n">
        <v>73.02029418945312</v>
      </c>
      <c r="H1862">
        <f>AVERAGE(D1663:D1862)</f>
        <v/>
      </c>
      <c r="I1862">
        <f>AVERAGE(E1663:E1862)</f>
        <v/>
      </c>
      <c r="J1862">
        <f>AVERAGE(F1663:F1862)</f>
        <v/>
      </c>
    </row>
    <row r="1863">
      <c r="C1863" s="539" t="n">
        <v>42152</v>
      </c>
      <c r="D1863" t="n">
        <v>114.0199966430664</v>
      </c>
      <c r="E1863" t="n">
        <v>156.4799957275391</v>
      </c>
      <c r="F1863" t="n">
        <v>18.89385604858398</v>
      </c>
      <c r="G1863" t="n">
        <v>73.00429534912109</v>
      </c>
      <c r="H1863">
        <f>AVERAGE(D1664:D1863)</f>
        <v/>
      </c>
      <c r="I1863">
        <f>AVERAGE(E1664:E1863)</f>
        <v/>
      </c>
      <c r="J1863">
        <f>AVERAGE(F1664:F1863)</f>
        <v/>
      </c>
    </row>
    <row r="1864">
      <c r="C1864" s="539" t="n">
        <v>42153</v>
      </c>
      <c r="D1864" t="n">
        <v>114.0999984741211</v>
      </c>
      <c r="E1864" t="n">
        <v>162.4799957275391</v>
      </c>
      <c r="F1864" t="n">
        <v>18.76491737365723</v>
      </c>
      <c r="G1864" t="n">
        <v>73.00429534912109</v>
      </c>
      <c r="H1864">
        <f>AVERAGE(D1665:D1864)</f>
        <v/>
      </c>
      <c r="I1864">
        <f>AVERAGE(E1665:E1864)</f>
        <v/>
      </c>
      <c r="J1864">
        <f>AVERAGE(F1665:F1864)</f>
        <v/>
      </c>
    </row>
    <row r="1865">
      <c r="C1865" s="539" t="n">
        <v>42156</v>
      </c>
      <c r="D1865" t="n">
        <v>114</v>
      </c>
      <c r="E1865" t="n">
        <v>162.8800048828125</v>
      </c>
      <c r="F1865" t="n">
        <v>18.91964912414551</v>
      </c>
      <c r="G1865" t="n">
        <v>73.00429534912109</v>
      </c>
      <c r="H1865">
        <f>AVERAGE(D1666:D1865)</f>
        <v/>
      </c>
      <c r="I1865">
        <f>AVERAGE(E1666:E1865)</f>
        <v/>
      </c>
      <c r="J1865">
        <f>AVERAGE(F1666:F1865)</f>
        <v/>
      </c>
    </row>
    <row r="1866">
      <c r="C1866" s="539" t="n">
        <v>42157</v>
      </c>
      <c r="D1866" t="n">
        <v>114.4599990844727</v>
      </c>
      <c r="E1866" t="n">
        <v>165.4400024414062</v>
      </c>
      <c r="F1866" t="n">
        <v>19.18612098693848</v>
      </c>
      <c r="G1866" t="n">
        <v>73.02029418945312</v>
      </c>
      <c r="H1866">
        <f>AVERAGE(D1667:D1866)</f>
        <v/>
      </c>
      <c r="I1866">
        <f>AVERAGE(E1667:E1866)</f>
        <v/>
      </c>
      <c r="J1866">
        <f>AVERAGE(F1667:F1866)</f>
        <v/>
      </c>
    </row>
    <row r="1867">
      <c r="C1867" s="539" t="n">
        <v>42158</v>
      </c>
      <c r="D1867" t="n">
        <v>113.6399993896484</v>
      </c>
      <c r="E1867" t="n">
        <v>161.3600006103516</v>
      </c>
      <c r="F1867" t="n">
        <v>19.11735343933105</v>
      </c>
      <c r="G1867" t="n">
        <v>73.02029418945312</v>
      </c>
      <c r="H1867">
        <f>AVERAGE(D1668:D1867)</f>
        <v/>
      </c>
      <c r="I1867">
        <f>AVERAGE(E1668:E1867)</f>
        <v/>
      </c>
      <c r="J1867">
        <f>AVERAGE(F1668:F1867)</f>
        <v/>
      </c>
    </row>
    <row r="1868">
      <c r="C1868" s="539" t="n">
        <v>42159</v>
      </c>
      <c r="D1868" t="n">
        <v>112.8399963378906</v>
      </c>
      <c r="E1868" t="n">
        <v>157.2799987792969</v>
      </c>
      <c r="F1868" t="n">
        <v>19.22910308837891</v>
      </c>
      <c r="G1868" t="n">
        <v>73.00429534912109</v>
      </c>
      <c r="H1868">
        <f>AVERAGE(D1669:D1868)</f>
        <v/>
      </c>
      <c r="I1868">
        <f>AVERAGE(E1669:E1868)</f>
        <v/>
      </c>
      <c r="J1868">
        <f>AVERAGE(F1669:F1868)</f>
        <v/>
      </c>
    </row>
    <row r="1869">
      <c r="C1869" s="539" t="n">
        <v>42160</v>
      </c>
      <c r="D1869" t="n">
        <v>112.2399978637695</v>
      </c>
      <c r="E1869" t="n">
        <v>159.1999969482422</v>
      </c>
      <c r="F1869" t="n">
        <v>19.13454627990723</v>
      </c>
      <c r="G1869" t="n">
        <v>73.00429534912109</v>
      </c>
      <c r="H1869">
        <f>AVERAGE(D1670:D1869)</f>
        <v/>
      </c>
      <c r="I1869">
        <f>AVERAGE(E1670:E1869)</f>
        <v/>
      </c>
      <c r="J1869">
        <f>AVERAGE(F1670:F1869)</f>
        <v/>
      </c>
    </row>
    <row r="1870">
      <c r="C1870" s="539" t="n">
        <v>42163</v>
      </c>
      <c r="D1870" t="n">
        <v>112.5699996948242</v>
      </c>
      <c r="E1870" t="n">
        <v>157.6799926757812</v>
      </c>
      <c r="F1870" t="n">
        <v>19.30646324157715</v>
      </c>
      <c r="G1870" t="n">
        <v>72.98836517333984</v>
      </c>
      <c r="H1870">
        <f>AVERAGE(D1671:D1870)</f>
        <v/>
      </c>
      <c r="I1870">
        <f>AVERAGE(E1671:E1870)</f>
        <v/>
      </c>
      <c r="J1870">
        <f>AVERAGE(F1671:F1870)</f>
        <v/>
      </c>
    </row>
    <row r="1871">
      <c r="C1871" s="539" t="n">
        <v>42164</v>
      </c>
      <c r="D1871" t="n">
        <v>112.8199996948242</v>
      </c>
      <c r="E1871" t="n">
        <v>161.6799926757812</v>
      </c>
      <c r="F1871" t="n">
        <v>19.32365417480469</v>
      </c>
      <c r="G1871" t="n">
        <v>72.98836517333984</v>
      </c>
      <c r="H1871">
        <f>AVERAGE(D1672:D1871)</f>
        <v/>
      </c>
      <c r="I1871">
        <f>AVERAGE(E1672:E1871)</f>
        <v/>
      </c>
      <c r="J1871">
        <f>AVERAGE(F1672:F1871)</f>
        <v/>
      </c>
    </row>
    <row r="1872">
      <c r="C1872" s="539" t="n">
        <v>42165</v>
      </c>
      <c r="D1872" t="n">
        <v>113.7799987792969</v>
      </c>
      <c r="E1872" t="n">
        <v>165.1199951171875</v>
      </c>
      <c r="F1872" t="n">
        <v>19.21191024780273</v>
      </c>
      <c r="G1872" t="n">
        <v>73.00429534912109</v>
      </c>
      <c r="H1872">
        <f>AVERAGE(D1673:D1872)</f>
        <v/>
      </c>
      <c r="I1872">
        <f>AVERAGE(E1673:E1872)</f>
        <v/>
      </c>
      <c r="J1872">
        <f>AVERAGE(F1673:F1872)</f>
        <v/>
      </c>
    </row>
    <row r="1873">
      <c r="C1873" s="539" t="n">
        <v>42166</v>
      </c>
      <c r="D1873" t="n">
        <v>113.2600021362305</v>
      </c>
      <c r="E1873" t="n">
        <v>163.9199981689453</v>
      </c>
      <c r="F1873" t="n">
        <v>18.95402908325195</v>
      </c>
      <c r="G1873" t="n">
        <v>73.02029418945312</v>
      </c>
      <c r="H1873">
        <f>AVERAGE(D1674:D1873)</f>
        <v/>
      </c>
      <c r="I1873">
        <f>AVERAGE(E1674:E1873)</f>
        <v/>
      </c>
      <c r="J1873">
        <f>AVERAGE(F1674:F1873)</f>
        <v/>
      </c>
    </row>
    <row r="1874">
      <c r="C1874" s="539" t="n">
        <v>42167</v>
      </c>
      <c r="D1874" t="n">
        <v>113.2300033569336</v>
      </c>
      <c r="E1874" t="n">
        <v>162.1600036621094</v>
      </c>
      <c r="F1874" t="n">
        <v>18.89385604858398</v>
      </c>
      <c r="G1874" t="n">
        <v>73.00429534912109</v>
      </c>
      <c r="H1874">
        <f>AVERAGE(D1675:D1874)</f>
        <v/>
      </c>
      <c r="I1874">
        <f>AVERAGE(E1675:E1874)</f>
        <v/>
      </c>
      <c r="J1874">
        <f>AVERAGE(F1675:F1874)</f>
        <v/>
      </c>
    </row>
    <row r="1875">
      <c r="C1875" s="539" t="n">
        <v>42170</v>
      </c>
      <c r="D1875" t="n">
        <v>113.7300033569336</v>
      </c>
      <c r="E1875" t="n">
        <v>161.1999969482422</v>
      </c>
      <c r="F1875" t="n">
        <v>18.68755722045898</v>
      </c>
      <c r="G1875" t="n">
        <v>73.02029418945312</v>
      </c>
      <c r="H1875">
        <f>AVERAGE(D1676:D1875)</f>
        <v/>
      </c>
      <c r="I1875">
        <f>AVERAGE(E1676:E1875)</f>
        <v/>
      </c>
      <c r="J1875">
        <f>AVERAGE(F1676:F1875)</f>
        <v/>
      </c>
    </row>
    <row r="1876">
      <c r="C1876" s="539" t="n">
        <v>42171</v>
      </c>
      <c r="D1876" t="n">
        <v>113.3199996948242</v>
      </c>
      <c r="E1876" t="n">
        <v>162.0800018310547</v>
      </c>
      <c r="F1876" t="n">
        <v>18.83368682861328</v>
      </c>
      <c r="G1876" t="n">
        <v>72.98836517333984</v>
      </c>
      <c r="H1876">
        <f>AVERAGE(D1677:D1876)</f>
        <v/>
      </c>
      <c r="I1876">
        <f>AVERAGE(E1677:E1876)</f>
        <v/>
      </c>
      <c r="J1876">
        <f>AVERAGE(F1677:F1876)</f>
        <v/>
      </c>
    </row>
    <row r="1877">
      <c r="C1877" s="539" t="n">
        <v>42172</v>
      </c>
      <c r="D1877" t="n">
        <v>113.8499984741211</v>
      </c>
      <c r="E1877" t="n">
        <v>161.6799926757812</v>
      </c>
      <c r="F1877" t="n">
        <v>18.89385604858398</v>
      </c>
      <c r="G1877" t="n">
        <v>73.02029418945312</v>
      </c>
      <c r="H1877">
        <f>AVERAGE(D1678:D1877)</f>
        <v/>
      </c>
      <c r="I1877">
        <f>AVERAGE(E1678:E1877)</f>
        <v/>
      </c>
      <c r="J1877">
        <f>AVERAGE(F1678:F1877)</f>
        <v/>
      </c>
    </row>
    <row r="1878">
      <c r="C1878" s="539" t="n">
        <v>42173</v>
      </c>
      <c r="D1878" t="n">
        <v>115.3199996948242</v>
      </c>
      <c r="E1878" t="n">
        <v>162.8800048828125</v>
      </c>
      <c r="F1878" t="n">
        <v>18.88526344299316</v>
      </c>
      <c r="G1878" t="n">
        <v>72.98836517333984</v>
      </c>
      <c r="H1878">
        <f>AVERAGE(D1679:D1878)</f>
        <v/>
      </c>
      <c r="I1878">
        <f>AVERAGE(E1679:E1878)</f>
        <v/>
      </c>
      <c r="J1878">
        <f>AVERAGE(F1679:F1878)</f>
        <v/>
      </c>
    </row>
    <row r="1879">
      <c r="C1879" s="539" t="n">
        <v>42174</v>
      </c>
      <c r="D1879" t="n">
        <v>115.120002746582</v>
      </c>
      <c r="E1879" t="n">
        <v>160.1600036621094</v>
      </c>
      <c r="F1879" t="n">
        <v>18.79070854187012</v>
      </c>
      <c r="G1879" t="n">
        <v>72.98836517333984</v>
      </c>
      <c r="H1879">
        <f>AVERAGE(D1680:D1879)</f>
        <v/>
      </c>
      <c r="I1879">
        <f>AVERAGE(E1680:E1879)</f>
        <v/>
      </c>
      <c r="J1879">
        <f>AVERAGE(F1680:F1879)</f>
        <v/>
      </c>
    </row>
    <row r="1880">
      <c r="C1880" s="539" t="n">
        <v>42177</v>
      </c>
      <c r="D1880" t="n">
        <v>113.6399993896484</v>
      </c>
      <c r="E1880" t="n">
        <v>161.2799987792969</v>
      </c>
      <c r="F1880" t="n">
        <v>19.02279472351074</v>
      </c>
      <c r="G1880" t="n">
        <v>73.00429534912109</v>
      </c>
      <c r="H1880">
        <f>AVERAGE(D1681:D1880)</f>
        <v/>
      </c>
      <c r="I1880">
        <f>AVERAGE(E1681:E1880)</f>
        <v/>
      </c>
      <c r="J1880">
        <f>AVERAGE(F1681:F1880)</f>
        <v/>
      </c>
    </row>
    <row r="1881">
      <c r="C1881" s="539" t="n">
        <v>42178</v>
      </c>
      <c r="D1881" t="n">
        <v>112.8899993896484</v>
      </c>
      <c r="E1881" t="n">
        <v>163.7599945068359</v>
      </c>
      <c r="F1881" t="n">
        <v>19.08296966552734</v>
      </c>
      <c r="G1881" t="n">
        <v>72.98836517333984</v>
      </c>
      <c r="H1881">
        <f>AVERAGE(D1682:D1881)</f>
        <v/>
      </c>
      <c r="I1881">
        <f>AVERAGE(E1682:E1881)</f>
        <v/>
      </c>
      <c r="J1881">
        <f>AVERAGE(F1682:F1881)</f>
        <v/>
      </c>
    </row>
    <row r="1882">
      <c r="C1882" s="539" t="n">
        <v>42179</v>
      </c>
      <c r="D1882" t="n">
        <v>112.5899963378906</v>
      </c>
      <c r="E1882" t="n">
        <v>161.6799926757812</v>
      </c>
      <c r="F1882" t="n">
        <v>19.15173721313477</v>
      </c>
      <c r="G1882" t="n">
        <v>72.98836517333984</v>
      </c>
      <c r="H1882">
        <f>AVERAGE(D1683:D1882)</f>
        <v/>
      </c>
      <c r="I1882">
        <f>AVERAGE(E1683:E1882)</f>
        <v/>
      </c>
      <c r="J1882">
        <f>AVERAGE(F1683:F1882)</f>
        <v/>
      </c>
    </row>
    <row r="1883">
      <c r="C1883" s="539" t="n">
        <v>42180</v>
      </c>
      <c r="D1883" t="n">
        <v>112.4400024414062</v>
      </c>
      <c r="E1883" t="n">
        <v>159.8399963378906</v>
      </c>
      <c r="F1883" t="n">
        <v>19.26348495483398</v>
      </c>
      <c r="G1883" t="n">
        <v>73.00429534912109</v>
      </c>
      <c r="H1883">
        <f>AVERAGE(D1684:D1883)</f>
        <v/>
      </c>
      <c r="I1883">
        <f>AVERAGE(E1684:E1883)</f>
        <v/>
      </c>
      <c r="J1883">
        <f>AVERAGE(F1684:F1883)</f>
        <v/>
      </c>
    </row>
    <row r="1884">
      <c r="C1884" s="539" t="n">
        <v>42181</v>
      </c>
      <c r="D1884" t="n">
        <v>112.5599975585938</v>
      </c>
      <c r="E1884" t="n">
        <v>159.8399963378906</v>
      </c>
      <c r="F1884" t="n">
        <v>19.5213623046875</v>
      </c>
      <c r="G1884" t="n">
        <v>72.98836517333984</v>
      </c>
      <c r="H1884">
        <f>AVERAGE(D1685:D1884)</f>
        <v/>
      </c>
      <c r="I1884">
        <f>AVERAGE(E1685:E1884)</f>
        <v/>
      </c>
      <c r="J1884">
        <f>AVERAGE(F1685:F1884)</f>
        <v/>
      </c>
    </row>
    <row r="1885">
      <c r="C1885" s="539" t="n">
        <v>42184</v>
      </c>
      <c r="D1885" t="n">
        <v>113.0699996948242</v>
      </c>
      <c r="E1885" t="n">
        <v>156.0800018310547</v>
      </c>
      <c r="F1885" t="n">
        <v>19.61591911315918</v>
      </c>
      <c r="G1885" t="n">
        <v>73.00429534912109</v>
      </c>
      <c r="H1885">
        <f>AVERAGE(D1686:D1885)</f>
        <v/>
      </c>
      <c r="I1885">
        <f>AVERAGE(E1686:E1885)</f>
        <v/>
      </c>
      <c r="J1885">
        <f>AVERAGE(F1686:F1885)</f>
        <v/>
      </c>
    </row>
    <row r="1886">
      <c r="C1886" s="539" t="n">
        <v>42185</v>
      </c>
      <c r="D1886" t="n">
        <v>112.370002746582</v>
      </c>
      <c r="E1886" t="n">
        <v>159.0399932861328</v>
      </c>
      <c r="F1886" t="n">
        <v>20.07150077819824</v>
      </c>
      <c r="G1886" t="n">
        <v>73.00429534912109</v>
      </c>
      <c r="H1886">
        <f>AVERAGE(D1687:D1886)</f>
        <v/>
      </c>
      <c r="I1886">
        <f>AVERAGE(E1687:E1886)</f>
        <v/>
      </c>
      <c r="J1886">
        <f>AVERAGE(F1687:F1886)</f>
        <v/>
      </c>
    </row>
    <row r="1887">
      <c r="C1887" s="539" t="n">
        <v>42186</v>
      </c>
      <c r="D1887" t="n">
        <v>111.9800033569336</v>
      </c>
      <c r="E1887" t="n">
        <v>152.8000030517578</v>
      </c>
      <c r="F1887" t="n">
        <v>20.00273513793945</v>
      </c>
      <c r="G1887" t="n">
        <v>73.00429534912109</v>
      </c>
      <c r="H1887">
        <f>AVERAGE(D1688:D1887)</f>
        <v/>
      </c>
      <c r="I1887">
        <f>AVERAGE(E1688:E1887)</f>
        <v/>
      </c>
      <c r="J1887">
        <f>AVERAGE(F1688:F1887)</f>
        <v/>
      </c>
    </row>
    <row r="1888">
      <c r="C1888" s="539" t="n">
        <v>42187</v>
      </c>
      <c r="D1888" t="n">
        <v>111.7600021362305</v>
      </c>
      <c r="E1888" t="n">
        <v>151.4400024414062</v>
      </c>
      <c r="F1888" t="n">
        <v>20.00273513793945</v>
      </c>
      <c r="G1888" t="n">
        <v>73.00429534912109</v>
      </c>
      <c r="H1888">
        <f>AVERAGE(D1689:D1888)</f>
        <v/>
      </c>
      <c r="I1888">
        <f>AVERAGE(E1689:E1888)</f>
        <v/>
      </c>
      <c r="J1888">
        <f>AVERAGE(F1689:F1888)</f>
        <v/>
      </c>
    </row>
    <row r="1889">
      <c r="C1889" s="539" t="n">
        <v>42191</v>
      </c>
      <c r="D1889" t="n">
        <v>112.0599975585938</v>
      </c>
      <c r="E1889" t="n">
        <v>141.8399963378906</v>
      </c>
      <c r="F1889" t="n">
        <v>19.94256401062012</v>
      </c>
      <c r="G1889" t="n">
        <v>73.00429534912109</v>
      </c>
      <c r="H1889">
        <f>AVERAGE(D1690:D1889)</f>
        <v/>
      </c>
      <c r="I1889">
        <f>AVERAGE(E1690:E1889)</f>
        <v/>
      </c>
      <c r="J1889">
        <f>AVERAGE(F1690:F1889)</f>
        <v/>
      </c>
    </row>
    <row r="1890">
      <c r="C1890" s="539" t="n">
        <v>42192</v>
      </c>
      <c r="D1890" t="n">
        <v>110.7600021362305</v>
      </c>
      <c r="E1890" t="n">
        <v>142.0800018310547</v>
      </c>
      <c r="F1890" t="n">
        <v>19.7878360748291</v>
      </c>
      <c r="G1890" t="n">
        <v>72.98836517333984</v>
      </c>
      <c r="H1890">
        <f>AVERAGE(D1691:D1890)</f>
        <v/>
      </c>
      <c r="I1890">
        <f>AVERAGE(E1691:E1890)</f>
        <v/>
      </c>
      <c r="J1890">
        <f>AVERAGE(F1691:F1890)</f>
        <v/>
      </c>
    </row>
    <row r="1891">
      <c r="C1891" s="539" t="n">
        <v>42193</v>
      </c>
      <c r="D1891" t="n">
        <v>111.0899963378906</v>
      </c>
      <c r="E1891" t="n">
        <v>139.0399932861328</v>
      </c>
      <c r="F1891" t="n">
        <v>19.71047401428223</v>
      </c>
      <c r="G1891" t="n">
        <v>72.98836517333984</v>
      </c>
      <c r="H1891">
        <f>AVERAGE(D1692:D1891)</f>
        <v/>
      </c>
      <c r="I1891">
        <f>AVERAGE(E1692:E1891)</f>
        <v/>
      </c>
      <c r="J1891">
        <f>AVERAGE(F1692:F1891)</f>
        <v/>
      </c>
    </row>
    <row r="1892">
      <c r="C1892" s="539" t="n">
        <v>42194</v>
      </c>
      <c r="D1892" t="n">
        <v>111.3600006103516</v>
      </c>
      <c r="E1892" t="n">
        <v>141.6799926757812</v>
      </c>
      <c r="F1892" t="n">
        <v>19.69327926635742</v>
      </c>
      <c r="G1892" t="n">
        <v>72.98836517333984</v>
      </c>
      <c r="H1892">
        <f>AVERAGE(D1693:D1892)</f>
        <v/>
      </c>
      <c r="I1892">
        <f>AVERAGE(E1693:E1892)</f>
        <v/>
      </c>
      <c r="J1892">
        <f>AVERAGE(F1693:F1892)</f>
        <v/>
      </c>
    </row>
    <row r="1893">
      <c r="C1893" s="539" t="n">
        <v>42195</v>
      </c>
      <c r="D1893" t="n">
        <v>111.4899978637695</v>
      </c>
      <c r="E1893" t="n">
        <v>141.3600006103516</v>
      </c>
      <c r="F1893" t="n">
        <v>19.83081436157227</v>
      </c>
      <c r="G1893" t="n">
        <v>72.98836517333984</v>
      </c>
      <c r="H1893">
        <f>AVERAGE(D1694:D1893)</f>
        <v/>
      </c>
      <c r="I1893">
        <f>AVERAGE(E1694:E1893)</f>
        <v/>
      </c>
      <c r="J1893">
        <f>AVERAGE(F1694:F1893)</f>
        <v/>
      </c>
    </row>
    <row r="1894">
      <c r="C1894" s="539" t="n">
        <v>42198</v>
      </c>
      <c r="D1894" t="n">
        <v>110.9899978637695</v>
      </c>
      <c r="E1894" t="n">
        <v>140.0800018310547</v>
      </c>
      <c r="F1894" t="n">
        <v>19.92537307739258</v>
      </c>
      <c r="G1894" t="n">
        <v>72.98836517333984</v>
      </c>
      <c r="H1894">
        <f>AVERAGE(D1695:D1894)</f>
        <v/>
      </c>
      <c r="I1894">
        <f>AVERAGE(E1695:E1894)</f>
        <v/>
      </c>
      <c r="J1894">
        <f>AVERAGE(F1695:F1894)</f>
        <v/>
      </c>
    </row>
    <row r="1895">
      <c r="C1895" s="539" t="n">
        <v>42199</v>
      </c>
      <c r="D1895" t="n">
        <v>110.7399978637695</v>
      </c>
      <c r="E1895" t="n">
        <v>141.7599945068359</v>
      </c>
      <c r="F1895" t="n">
        <v>19.96834945678711</v>
      </c>
      <c r="G1895" t="n">
        <v>73.00429534912109</v>
      </c>
      <c r="H1895">
        <f>AVERAGE(D1696:D1895)</f>
        <v/>
      </c>
      <c r="I1895">
        <f>AVERAGE(E1696:E1895)</f>
        <v/>
      </c>
      <c r="J1895">
        <f>AVERAGE(F1696:F1895)</f>
        <v/>
      </c>
    </row>
    <row r="1896">
      <c r="C1896" s="539" t="n">
        <v>42200</v>
      </c>
      <c r="D1896" t="n">
        <v>110.1600036621094</v>
      </c>
      <c r="E1896" t="n">
        <v>137.8399963378906</v>
      </c>
      <c r="F1896" t="n">
        <v>19.85660362243652</v>
      </c>
      <c r="G1896" t="n">
        <v>72.98836517333984</v>
      </c>
      <c r="H1896">
        <f>AVERAGE(D1697:D1896)</f>
        <v/>
      </c>
      <c r="I1896">
        <f>AVERAGE(E1697:E1896)</f>
        <v/>
      </c>
      <c r="J1896">
        <f>AVERAGE(F1697:F1896)</f>
        <v/>
      </c>
    </row>
    <row r="1897">
      <c r="C1897" s="539" t="n">
        <v>42201</v>
      </c>
      <c r="D1897" t="n">
        <v>109.7600021362305</v>
      </c>
      <c r="E1897" t="n">
        <v>136.3999938964844</v>
      </c>
      <c r="F1897" t="n">
        <v>19.72766494750977</v>
      </c>
      <c r="G1897" t="n">
        <v>72.98836517333984</v>
      </c>
      <c r="H1897">
        <f>AVERAGE(D1698:D1897)</f>
        <v/>
      </c>
      <c r="I1897">
        <f>AVERAGE(E1698:E1897)</f>
        <v/>
      </c>
      <c r="J1897">
        <f>AVERAGE(F1698:F1897)</f>
        <v/>
      </c>
    </row>
    <row r="1898">
      <c r="C1898" s="539" t="n">
        <v>42202</v>
      </c>
      <c r="D1898" t="n">
        <v>108.6500015258789</v>
      </c>
      <c r="E1898" t="n">
        <v>135.9199981689453</v>
      </c>
      <c r="F1898" t="n">
        <v>19.56434059143066</v>
      </c>
      <c r="G1898" t="n">
        <v>73.00429534912109</v>
      </c>
      <c r="H1898">
        <f>AVERAGE(D1699:D1898)</f>
        <v/>
      </c>
      <c r="I1898">
        <f>AVERAGE(E1699:E1898)</f>
        <v/>
      </c>
      <c r="J1898">
        <f>AVERAGE(F1699:F1898)</f>
        <v/>
      </c>
    </row>
    <row r="1899">
      <c r="C1899" s="539" t="n">
        <v>42205</v>
      </c>
      <c r="D1899" t="n">
        <v>105.6999969482422</v>
      </c>
      <c r="E1899" t="n">
        <v>133.5200042724609</v>
      </c>
      <c r="F1899" t="n">
        <v>19.26348495483398</v>
      </c>
      <c r="G1899" t="n">
        <v>72.98836517333984</v>
      </c>
      <c r="H1899">
        <f>AVERAGE(D1700:D1899)</f>
        <v/>
      </c>
      <c r="I1899">
        <f>AVERAGE(E1700:E1899)</f>
        <v/>
      </c>
      <c r="J1899">
        <f>AVERAGE(F1700:F1899)</f>
        <v/>
      </c>
    </row>
    <row r="1900">
      <c r="C1900" s="539" t="n">
        <v>42206</v>
      </c>
      <c r="D1900" t="n">
        <v>105.370002746582</v>
      </c>
      <c r="E1900" t="n">
        <v>135.2799987792969</v>
      </c>
      <c r="F1900" t="n">
        <v>19.16033172607422</v>
      </c>
      <c r="G1900" t="n">
        <v>73.00429534912109</v>
      </c>
      <c r="H1900">
        <f>AVERAGE(D1701:D1900)</f>
        <v/>
      </c>
      <c r="I1900">
        <f>AVERAGE(E1701:E1900)</f>
        <v/>
      </c>
      <c r="J1900">
        <f>AVERAGE(F1701:F1900)</f>
        <v/>
      </c>
    </row>
    <row r="1901">
      <c r="C1901" s="539" t="n">
        <v>42207</v>
      </c>
      <c r="D1901" t="n">
        <v>104.8000030517578</v>
      </c>
      <c r="E1901" t="n">
        <v>130.7200012207031</v>
      </c>
      <c r="F1901" t="n">
        <v>19.04858589172363</v>
      </c>
      <c r="G1901" t="n">
        <v>72.98836517333984</v>
      </c>
      <c r="H1901">
        <f>AVERAGE(D1702:D1901)</f>
        <v/>
      </c>
      <c r="I1901">
        <f>AVERAGE(E1702:E1901)</f>
        <v/>
      </c>
      <c r="J1901">
        <f>AVERAGE(F1702:F1901)</f>
        <v/>
      </c>
    </row>
    <row r="1902">
      <c r="C1902" s="539" t="n">
        <v>42208</v>
      </c>
      <c r="D1902" t="n">
        <v>104.3300018310547</v>
      </c>
      <c r="E1902" t="n">
        <v>129.1199951171875</v>
      </c>
      <c r="F1902" t="n">
        <v>18.9454345703125</v>
      </c>
      <c r="G1902" t="n">
        <v>72.98836517333984</v>
      </c>
      <c r="H1902">
        <f>AVERAGE(D1703:D1902)</f>
        <v/>
      </c>
      <c r="I1902">
        <f>AVERAGE(E1703:E1902)</f>
        <v/>
      </c>
      <c r="J1902">
        <f>AVERAGE(F1703:F1902)</f>
        <v/>
      </c>
    </row>
    <row r="1903">
      <c r="C1903" s="539" t="n">
        <v>42209</v>
      </c>
      <c r="D1903" t="n">
        <v>105.3499984741211</v>
      </c>
      <c r="E1903" t="n">
        <v>128.2400054931641</v>
      </c>
      <c r="F1903" t="n">
        <v>18.65317344665527</v>
      </c>
      <c r="G1903" t="n">
        <v>73.00429534912109</v>
      </c>
      <c r="H1903">
        <f>AVERAGE(D1704:D1903)</f>
        <v/>
      </c>
      <c r="I1903">
        <f>AVERAGE(E1704:E1903)</f>
        <v/>
      </c>
      <c r="J1903">
        <f>AVERAGE(F1704:F1903)</f>
        <v/>
      </c>
    </row>
    <row r="1904">
      <c r="C1904" s="539" t="n">
        <v>42212</v>
      </c>
      <c r="D1904" t="n">
        <v>104.8600006103516</v>
      </c>
      <c r="E1904" t="n">
        <v>125.1999969482422</v>
      </c>
      <c r="F1904" t="n">
        <v>18.33512496948242</v>
      </c>
      <c r="G1904" t="n">
        <v>72.98836517333984</v>
      </c>
      <c r="H1904">
        <f>AVERAGE(D1705:D1904)</f>
        <v/>
      </c>
      <c r="I1904">
        <f>AVERAGE(E1705:E1904)</f>
        <v/>
      </c>
      <c r="J1904">
        <f>AVERAGE(F1705:F1904)</f>
        <v/>
      </c>
    </row>
    <row r="1905">
      <c r="C1905" s="539" t="n">
        <v>42213</v>
      </c>
      <c r="D1905" t="n">
        <v>105.0199966430664</v>
      </c>
      <c r="E1905" t="n">
        <v>126.8000030517578</v>
      </c>
      <c r="F1905" t="n">
        <v>18.55002212524414</v>
      </c>
      <c r="G1905" t="n">
        <v>72.98836517333984</v>
      </c>
      <c r="H1905">
        <f>AVERAGE(D1706:D1905)</f>
        <v/>
      </c>
      <c r="I1905">
        <f>AVERAGE(E1706:E1905)</f>
        <v/>
      </c>
      <c r="J1905">
        <f>AVERAGE(F1706:F1905)</f>
        <v/>
      </c>
    </row>
    <row r="1906">
      <c r="C1906" s="539" t="n">
        <v>42214</v>
      </c>
      <c r="D1906" t="n">
        <v>105.1699981689453</v>
      </c>
      <c r="E1906" t="n">
        <v>129.9199981689453</v>
      </c>
      <c r="F1906" t="n">
        <v>18.52423286437988</v>
      </c>
      <c r="G1906" t="n">
        <v>73.00429534912109</v>
      </c>
      <c r="H1906">
        <f>AVERAGE(D1707:D1906)</f>
        <v/>
      </c>
      <c r="I1906">
        <f>AVERAGE(E1707:E1906)</f>
        <v/>
      </c>
      <c r="J1906">
        <f>AVERAGE(F1707:F1906)</f>
        <v/>
      </c>
    </row>
    <row r="1907">
      <c r="C1907" s="539" t="n">
        <v>42215</v>
      </c>
      <c r="D1907" t="n">
        <v>104.2699966430664</v>
      </c>
      <c r="E1907" t="n">
        <v>128.8000030517578</v>
      </c>
      <c r="F1907" t="n">
        <v>18.56721496582031</v>
      </c>
      <c r="G1907" t="n">
        <v>73.00429534912109</v>
      </c>
      <c r="H1907">
        <f>AVERAGE(D1708:D1907)</f>
        <v/>
      </c>
      <c r="I1907">
        <f>AVERAGE(E1708:E1907)</f>
        <v/>
      </c>
      <c r="J1907">
        <f>AVERAGE(F1708:F1907)</f>
        <v/>
      </c>
    </row>
    <row r="1908">
      <c r="C1908" s="539" t="n">
        <v>42216</v>
      </c>
      <c r="D1908" t="n">
        <v>104.9300003051758</v>
      </c>
      <c r="E1908" t="n">
        <v>124.7200012207031</v>
      </c>
      <c r="F1908" t="n">
        <v>18.44687271118164</v>
      </c>
      <c r="G1908" t="n">
        <v>73.00429534912109</v>
      </c>
      <c r="H1908">
        <f>AVERAGE(D1709:D1908)</f>
        <v/>
      </c>
      <c r="I1908">
        <f>AVERAGE(E1709:E1908)</f>
        <v/>
      </c>
      <c r="J1908">
        <f>AVERAGE(F1709:F1908)</f>
        <v/>
      </c>
    </row>
    <row r="1909">
      <c r="C1909" s="539" t="n">
        <v>42219</v>
      </c>
      <c r="D1909" t="n">
        <v>104.0999984741211</v>
      </c>
      <c r="E1909" t="n">
        <v>120.8000030517578</v>
      </c>
      <c r="F1909" t="n">
        <v>18.40388870239258</v>
      </c>
      <c r="G1909" t="n">
        <v>73.00429534912109</v>
      </c>
      <c r="H1909">
        <f>AVERAGE(D1710:D1909)</f>
        <v/>
      </c>
      <c r="I1909">
        <f>AVERAGE(E1710:E1909)</f>
        <v/>
      </c>
      <c r="J1909">
        <f>AVERAGE(F1710:F1909)</f>
        <v/>
      </c>
    </row>
    <row r="1910">
      <c r="C1910" s="539" t="n">
        <v>42220</v>
      </c>
      <c r="D1910" t="n">
        <v>104.3099975585938</v>
      </c>
      <c r="E1910" t="n">
        <v>121.7600021362305</v>
      </c>
      <c r="F1910" t="n">
        <v>18.48125648498535</v>
      </c>
      <c r="G1910" t="n">
        <v>72.98836517333984</v>
      </c>
      <c r="H1910">
        <f>AVERAGE(D1711:D1910)</f>
        <v/>
      </c>
      <c r="I1910">
        <f>AVERAGE(E1711:E1910)</f>
        <v/>
      </c>
      <c r="J1910">
        <f>AVERAGE(F1711:F1910)</f>
        <v/>
      </c>
    </row>
    <row r="1911">
      <c r="C1911" s="539" t="n">
        <v>42221</v>
      </c>
      <c r="D1911" t="n">
        <v>103.9300003051758</v>
      </c>
      <c r="E1911" t="n">
        <v>120.2399978637695</v>
      </c>
      <c r="F1911" t="n">
        <v>18.49844932556152</v>
      </c>
      <c r="G1911" t="n">
        <v>72.98836517333984</v>
      </c>
      <c r="H1911">
        <f>AVERAGE(D1712:D1911)</f>
        <v/>
      </c>
      <c r="I1911">
        <f>AVERAGE(E1712:E1911)</f>
        <v/>
      </c>
      <c r="J1911">
        <f>AVERAGE(F1712:F1911)</f>
        <v/>
      </c>
    </row>
    <row r="1912">
      <c r="C1912" s="539" t="n">
        <v>42222</v>
      </c>
      <c r="D1912" t="n">
        <v>104.3899993896484</v>
      </c>
      <c r="E1912" t="n">
        <v>118.9599990844727</v>
      </c>
      <c r="F1912" t="n">
        <v>18.34372138977051</v>
      </c>
      <c r="G1912" t="n">
        <v>72.98836517333984</v>
      </c>
      <c r="H1912">
        <f>AVERAGE(D1713:D1912)</f>
        <v/>
      </c>
      <c r="I1912">
        <f>AVERAGE(E1713:E1912)</f>
        <v/>
      </c>
      <c r="J1912">
        <f>AVERAGE(F1713:F1912)</f>
        <v/>
      </c>
    </row>
    <row r="1913">
      <c r="C1913" s="539" t="n">
        <v>42223</v>
      </c>
      <c r="D1913" t="n">
        <v>104.6500015258789</v>
      </c>
      <c r="E1913" t="n">
        <v>116.4800033569336</v>
      </c>
      <c r="F1913" t="n">
        <v>18.48125648498535</v>
      </c>
      <c r="G1913" t="n">
        <v>72.98836517333984</v>
      </c>
      <c r="H1913">
        <f>AVERAGE(D1714:D1913)</f>
        <v/>
      </c>
      <c r="I1913">
        <f>AVERAGE(E1714:E1913)</f>
        <v/>
      </c>
      <c r="J1913">
        <f>AVERAGE(F1714:F1913)</f>
        <v/>
      </c>
    </row>
    <row r="1914">
      <c r="C1914" s="539" t="n">
        <v>42226</v>
      </c>
      <c r="D1914" t="n">
        <v>105.7200012207031</v>
      </c>
      <c r="E1914" t="n">
        <v>119.120002746582</v>
      </c>
      <c r="F1914" t="n">
        <v>18.78211212158203</v>
      </c>
      <c r="G1914" t="n">
        <v>73.00429534912109</v>
      </c>
      <c r="H1914">
        <f>AVERAGE(D1715:D1914)</f>
        <v/>
      </c>
      <c r="I1914">
        <f>AVERAGE(E1715:E1914)</f>
        <v/>
      </c>
      <c r="J1914">
        <f>AVERAGE(F1715:F1914)</f>
        <v/>
      </c>
    </row>
    <row r="1915">
      <c r="C1915" s="539" t="n">
        <v>42227</v>
      </c>
      <c r="D1915" t="n">
        <v>106.2600021362305</v>
      </c>
      <c r="E1915" t="n">
        <v>115.9199981689453</v>
      </c>
      <c r="F1915" t="n">
        <v>18.61019515991211</v>
      </c>
      <c r="G1915" t="n">
        <v>72.98836517333984</v>
      </c>
      <c r="H1915">
        <f>AVERAGE(D1716:D1915)</f>
        <v/>
      </c>
      <c r="I1915">
        <f>AVERAGE(E1716:E1915)</f>
        <v/>
      </c>
      <c r="J1915">
        <f>AVERAGE(F1716:F1915)</f>
        <v/>
      </c>
    </row>
    <row r="1916">
      <c r="C1916" s="539" t="n">
        <v>42228</v>
      </c>
      <c r="D1916" t="n">
        <v>107.75</v>
      </c>
      <c r="E1916" t="n">
        <v>115.5199966430664</v>
      </c>
      <c r="F1916" t="n">
        <v>18.1460132598877</v>
      </c>
      <c r="G1916" t="n">
        <v>72.98836517333984</v>
      </c>
      <c r="H1916">
        <f>AVERAGE(D1717:D1916)</f>
        <v/>
      </c>
      <c r="I1916">
        <f>AVERAGE(E1717:E1916)</f>
        <v/>
      </c>
      <c r="J1916">
        <f>AVERAGE(F1717:F1916)</f>
        <v/>
      </c>
    </row>
    <row r="1917">
      <c r="C1917" s="539" t="n">
        <v>42229</v>
      </c>
      <c r="D1917" t="n">
        <v>106.8600006103516</v>
      </c>
      <c r="E1917" t="n">
        <v>112.7200012207031</v>
      </c>
      <c r="F1917" t="n">
        <v>18.3867015838623</v>
      </c>
      <c r="G1917" t="n">
        <v>72.98836517333984</v>
      </c>
      <c r="H1917">
        <f>AVERAGE(D1718:D1917)</f>
        <v/>
      </c>
      <c r="I1917">
        <f>AVERAGE(E1718:E1917)</f>
        <v/>
      </c>
      <c r="J1917">
        <f>AVERAGE(F1718:F1917)</f>
        <v/>
      </c>
    </row>
    <row r="1918">
      <c r="C1918" s="539" t="n">
        <v>42230</v>
      </c>
      <c r="D1918" t="n">
        <v>106.8499984741211</v>
      </c>
      <c r="E1918" t="n">
        <v>111.9199981689453</v>
      </c>
      <c r="F1918" t="n">
        <v>18.36091232299805</v>
      </c>
      <c r="G1918" t="n">
        <v>72.97237396240234</v>
      </c>
      <c r="H1918">
        <f>AVERAGE(D1719:D1918)</f>
        <v/>
      </c>
      <c r="I1918">
        <f>AVERAGE(E1719:E1918)</f>
        <v/>
      </c>
      <c r="J1918">
        <f>AVERAGE(F1719:F1918)</f>
        <v/>
      </c>
    </row>
    <row r="1919">
      <c r="C1919" s="539" t="n">
        <v>42233</v>
      </c>
      <c r="D1919" t="n">
        <v>107.129997253418</v>
      </c>
      <c r="E1919" t="n">
        <v>111.120002746582</v>
      </c>
      <c r="F1919" t="n">
        <v>18.31793212890625</v>
      </c>
      <c r="G1919" t="n">
        <v>72.97237396240234</v>
      </c>
      <c r="H1919">
        <f>AVERAGE(D1720:D1919)</f>
        <v/>
      </c>
      <c r="I1919">
        <f>AVERAGE(E1720:E1919)</f>
        <v/>
      </c>
      <c r="J1919">
        <f>AVERAGE(F1720:F1919)</f>
        <v/>
      </c>
    </row>
    <row r="1920">
      <c r="C1920" s="539" t="n">
        <v>42234</v>
      </c>
      <c r="D1920" t="n">
        <v>107.1100006103516</v>
      </c>
      <c r="E1920" t="n">
        <v>112.4000015258789</v>
      </c>
      <c r="F1920" t="n">
        <v>18.31793212890625</v>
      </c>
      <c r="G1920" t="n">
        <v>72.98836517333984</v>
      </c>
      <c r="H1920">
        <f>AVERAGE(D1721:D1920)</f>
        <v/>
      </c>
      <c r="I1920">
        <f>AVERAGE(E1721:E1920)</f>
        <v/>
      </c>
      <c r="J1920">
        <f>AVERAGE(F1721:F1920)</f>
        <v/>
      </c>
    </row>
    <row r="1921">
      <c r="C1921" s="539" t="n">
        <v>42235</v>
      </c>
      <c r="D1921" t="n">
        <v>108.5500030517578</v>
      </c>
      <c r="E1921" t="n">
        <v>107.4400024414062</v>
      </c>
      <c r="F1921" t="n">
        <v>18.17180252075195</v>
      </c>
      <c r="G1921" t="n">
        <v>73.00429534912109</v>
      </c>
      <c r="H1921">
        <f>AVERAGE(D1722:D1921)</f>
        <v/>
      </c>
      <c r="I1921">
        <f>AVERAGE(E1722:E1921)</f>
        <v/>
      </c>
      <c r="J1921">
        <f>AVERAGE(F1722:F1921)</f>
        <v/>
      </c>
    </row>
    <row r="1922">
      <c r="C1922" s="539" t="n">
        <v>42236</v>
      </c>
      <c r="D1922" t="n">
        <v>110.4400024414062</v>
      </c>
      <c r="E1922" t="n">
        <v>106.9599990844727</v>
      </c>
      <c r="F1922" t="n">
        <v>18.27495002746582</v>
      </c>
      <c r="G1922" t="n">
        <v>72.98836517333984</v>
      </c>
      <c r="H1922">
        <f>AVERAGE(D1723:D1922)</f>
        <v/>
      </c>
      <c r="I1922">
        <f>AVERAGE(E1723:E1922)</f>
        <v/>
      </c>
      <c r="J1922">
        <f>AVERAGE(F1723:F1922)</f>
        <v/>
      </c>
    </row>
    <row r="1923">
      <c r="C1923" s="539" t="n">
        <v>42237</v>
      </c>
      <c r="D1923" t="n">
        <v>111.129997253418</v>
      </c>
      <c r="E1923" t="n">
        <v>105.8399963378906</v>
      </c>
      <c r="F1923" t="n">
        <v>17.92251968383789</v>
      </c>
      <c r="G1923" t="n">
        <v>72.98836517333984</v>
      </c>
      <c r="H1923">
        <f>AVERAGE(D1724:D1923)</f>
        <v/>
      </c>
      <c r="I1923">
        <f>AVERAGE(E1724:E1923)</f>
        <v/>
      </c>
      <c r="J1923">
        <f>AVERAGE(F1724:F1923)</f>
        <v/>
      </c>
    </row>
    <row r="1924">
      <c r="C1924" s="539" t="n">
        <v>42240</v>
      </c>
      <c r="D1924" t="n">
        <v>110.5299987792969</v>
      </c>
      <c r="E1924" t="n">
        <v>99.91999816894531</v>
      </c>
      <c r="F1924" t="n">
        <v>17.82796478271484</v>
      </c>
      <c r="G1924" t="n">
        <v>72.98836517333984</v>
      </c>
      <c r="H1924">
        <f>AVERAGE(D1725:D1924)</f>
        <v/>
      </c>
      <c r="I1924">
        <f>AVERAGE(E1725:E1924)</f>
        <v/>
      </c>
      <c r="J1924">
        <f>AVERAGE(F1725:F1924)</f>
        <v/>
      </c>
    </row>
    <row r="1925">
      <c r="C1925" s="539" t="n">
        <v>42241</v>
      </c>
      <c r="D1925" t="n">
        <v>109.1600036621094</v>
      </c>
      <c r="E1925" t="n">
        <v>101.8399963378906</v>
      </c>
      <c r="F1925" t="n">
        <v>17.85375213623047</v>
      </c>
      <c r="G1925" t="n">
        <v>72.98836517333984</v>
      </c>
      <c r="H1925">
        <f>AVERAGE(D1726:D1925)</f>
        <v/>
      </c>
      <c r="I1925">
        <f>AVERAGE(E1726:E1925)</f>
        <v/>
      </c>
      <c r="J1925">
        <f>AVERAGE(F1726:F1925)</f>
        <v/>
      </c>
    </row>
    <row r="1926">
      <c r="C1926" s="539" t="n">
        <v>42242</v>
      </c>
      <c r="D1926" t="n">
        <v>107.6699981689453</v>
      </c>
      <c r="E1926" t="n">
        <v>102.1600036621094</v>
      </c>
      <c r="F1926" t="n">
        <v>17.77638816833496</v>
      </c>
      <c r="G1926" t="n">
        <v>73.00429534912109</v>
      </c>
      <c r="H1926">
        <f>AVERAGE(D1727:D1926)</f>
        <v/>
      </c>
      <c r="I1926">
        <f>AVERAGE(E1727:E1926)</f>
        <v/>
      </c>
      <c r="J1926">
        <f>AVERAGE(F1727:F1926)</f>
        <v/>
      </c>
    </row>
    <row r="1927">
      <c r="C1927" s="539" t="n">
        <v>42243</v>
      </c>
      <c r="D1927" t="n">
        <v>107.7300033569336</v>
      </c>
      <c r="E1927" t="n">
        <v>111.5999984741211</v>
      </c>
      <c r="F1927" t="n">
        <v>17.97409439086914</v>
      </c>
      <c r="G1927" t="n">
        <v>72.98836517333984</v>
      </c>
      <c r="H1927">
        <f>AVERAGE(D1728:D1927)</f>
        <v/>
      </c>
      <c r="I1927">
        <f>AVERAGE(E1728:E1927)</f>
        <v/>
      </c>
      <c r="J1927">
        <f>AVERAGE(F1728:F1927)</f>
        <v/>
      </c>
    </row>
    <row r="1928">
      <c r="C1928" s="539" t="n">
        <v>42244</v>
      </c>
      <c r="D1928" t="n">
        <v>108.6999969482422</v>
      </c>
      <c r="E1928" t="n">
        <v>119.0400009155273</v>
      </c>
      <c r="F1928" t="n">
        <v>17.94830703735352</v>
      </c>
      <c r="G1928" t="n">
        <v>73.00429534912109</v>
      </c>
      <c r="H1928">
        <f>AVERAGE(D1729:D1928)</f>
        <v/>
      </c>
      <c r="I1928">
        <f>AVERAGE(E1729:E1928)</f>
        <v/>
      </c>
      <c r="J1928">
        <f>AVERAGE(F1729:F1928)</f>
        <v/>
      </c>
    </row>
    <row r="1929">
      <c r="C1929" s="539" t="n">
        <v>42247</v>
      </c>
      <c r="D1929" t="n">
        <v>108.8199996948242</v>
      </c>
      <c r="E1929" t="n">
        <v>127.120002746582</v>
      </c>
      <c r="F1929" t="n">
        <v>17.94830703735352</v>
      </c>
      <c r="G1929" t="n">
        <v>73.00429534912109</v>
      </c>
      <c r="H1929">
        <f>AVERAGE(D1730:D1929)</f>
        <v/>
      </c>
      <c r="I1929">
        <f>AVERAGE(E1730:E1929)</f>
        <v/>
      </c>
      <c r="J1929">
        <f>AVERAGE(F1730:F1929)</f>
        <v/>
      </c>
    </row>
    <row r="1930">
      <c r="C1930" s="539" t="n">
        <v>42248</v>
      </c>
      <c r="D1930" t="n">
        <v>109.1999969482422</v>
      </c>
      <c r="E1930" t="n">
        <v>118.4800033569336</v>
      </c>
      <c r="F1930" t="n">
        <v>17.75919723510742</v>
      </c>
      <c r="G1930" t="n">
        <v>73.00429534912109</v>
      </c>
      <c r="H1930">
        <f>AVERAGE(D1731:D1930)</f>
        <v/>
      </c>
      <c r="I1930">
        <f>AVERAGE(E1731:E1930)</f>
        <v/>
      </c>
      <c r="J1930">
        <f>AVERAGE(F1731:F1930)</f>
        <v/>
      </c>
    </row>
    <row r="1931">
      <c r="C1931" s="539" t="n">
        <v>42249</v>
      </c>
      <c r="D1931" t="n">
        <v>108.620002746582</v>
      </c>
      <c r="E1931" t="n">
        <v>120.7200012207031</v>
      </c>
      <c r="F1931" t="n">
        <v>17.72481346130371</v>
      </c>
      <c r="G1931" t="n">
        <v>72.98836517333984</v>
      </c>
      <c r="H1931">
        <f>AVERAGE(D1732:D1931)</f>
        <v/>
      </c>
      <c r="I1931">
        <f>AVERAGE(E1732:E1931)</f>
        <v/>
      </c>
      <c r="J1931">
        <f>AVERAGE(F1732:F1931)</f>
        <v/>
      </c>
    </row>
    <row r="1932">
      <c r="C1932" s="539" t="n">
        <v>42250</v>
      </c>
      <c r="D1932" t="n">
        <v>107.8399963378906</v>
      </c>
      <c r="E1932" t="n">
        <v>122.7200012207031</v>
      </c>
      <c r="F1932" t="n">
        <v>17.77638816833496</v>
      </c>
      <c r="G1932" t="n">
        <v>73.00429534912109</v>
      </c>
      <c r="H1932">
        <f>AVERAGE(D1733:D1932)</f>
        <v/>
      </c>
      <c r="I1932">
        <f>AVERAGE(E1733:E1932)</f>
        <v/>
      </c>
      <c r="J1932">
        <f>AVERAGE(F1733:F1932)</f>
        <v/>
      </c>
    </row>
    <row r="1933">
      <c r="C1933" s="539" t="n">
        <v>42251</v>
      </c>
      <c r="D1933" t="n">
        <v>107.4899978637695</v>
      </c>
      <c r="E1933" t="n">
        <v>120.6399993896484</v>
      </c>
      <c r="F1933" t="n">
        <v>17.78498458862305</v>
      </c>
      <c r="G1933" t="n">
        <v>72.98836517333984</v>
      </c>
      <c r="H1933">
        <f>AVERAGE(D1734:D1933)</f>
        <v/>
      </c>
      <c r="I1933">
        <f>AVERAGE(E1734:E1933)</f>
        <v/>
      </c>
      <c r="J1933">
        <f>AVERAGE(F1734:F1933)</f>
        <v/>
      </c>
    </row>
    <row r="1934">
      <c r="C1934" s="539" t="n">
        <v>42255</v>
      </c>
      <c r="D1934" t="n">
        <v>107.5199966430664</v>
      </c>
      <c r="E1934" t="n">
        <v>120.1600036621094</v>
      </c>
      <c r="F1934" t="n">
        <v>17.99128723144531</v>
      </c>
      <c r="G1934" t="n">
        <v>72.98836517333984</v>
      </c>
      <c r="H1934">
        <f>AVERAGE(D1735:D1934)</f>
        <v/>
      </c>
      <c r="I1934">
        <f>AVERAGE(E1735:E1934)</f>
        <v/>
      </c>
      <c r="J1934">
        <f>AVERAGE(F1735:F1934)</f>
        <v/>
      </c>
    </row>
    <row r="1935">
      <c r="C1935" s="539" t="n">
        <v>42256</v>
      </c>
      <c r="D1935" t="n">
        <v>106.129997253418</v>
      </c>
      <c r="E1935" t="n">
        <v>116.0800018310547</v>
      </c>
      <c r="F1935" t="n">
        <v>18.01707458496094</v>
      </c>
      <c r="G1935" t="n">
        <v>72.98836517333984</v>
      </c>
      <c r="H1935">
        <f>AVERAGE(D1736:D1935)</f>
        <v/>
      </c>
      <c r="I1935">
        <f>AVERAGE(E1736:E1935)</f>
        <v/>
      </c>
      <c r="J1935">
        <f>AVERAGE(F1736:F1935)</f>
        <v/>
      </c>
    </row>
    <row r="1936">
      <c r="C1936" s="539" t="n">
        <v>42257</v>
      </c>
      <c r="D1936" t="n">
        <v>106.379997253418</v>
      </c>
      <c r="E1936" t="n">
        <v>119.4400024414062</v>
      </c>
      <c r="F1936" t="n">
        <v>17.98268890380859</v>
      </c>
      <c r="G1936" t="n">
        <v>72.97237396240234</v>
      </c>
      <c r="H1936">
        <f>AVERAGE(D1737:D1936)</f>
        <v/>
      </c>
      <c r="I1936">
        <f>AVERAGE(E1737:E1936)</f>
        <v/>
      </c>
      <c r="J1936">
        <f>AVERAGE(F1737:F1936)</f>
        <v/>
      </c>
    </row>
    <row r="1937">
      <c r="C1937" s="539" t="n">
        <v>42258</v>
      </c>
      <c r="D1937" t="n">
        <v>106.1600036621094</v>
      </c>
      <c r="E1937" t="n">
        <v>117.1999969482422</v>
      </c>
      <c r="F1937" t="n">
        <v>18.05146026611328</v>
      </c>
      <c r="G1937" t="n">
        <v>72.98836517333984</v>
      </c>
      <c r="H1937">
        <f>AVERAGE(D1738:D1937)</f>
        <v/>
      </c>
      <c r="I1937">
        <f>AVERAGE(E1738:E1937)</f>
        <v/>
      </c>
      <c r="J1937">
        <f>AVERAGE(F1738:F1937)</f>
        <v/>
      </c>
    </row>
    <row r="1938">
      <c r="C1938" s="539" t="n">
        <v>42261</v>
      </c>
      <c r="D1938" t="n">
        <v>106.2200012207031</v>
      </c>
      <c r="E1938" t="n">
        <v>115.120002746582</v>
      </c>
      <c r="F1938" t="n">
        <v>18.21478080749512</v>
      </c>
      <c r="G1938" t="n">
        <v>72.98836517333984</v>
      </c>
      <c r="H1938">
        <f>AVERAGE(D1739:D1938)</f>
        <v/>
      </c>
      <c r="I1938">
        <f>AVERAGE(E1739:E1938)</f>
        <v/>
      </c>
      <c r="J1938">
        <f>AVERAGE(F1739:F1938)</f>
        <v/>
      </c>
    </row>
    <row r="1939">
      <c r="C1939" s="539" t="n">
        <v>42262</v>
      </c>
      <c r="D1939" t="n">
        <v>105.9000015258789</v>
      </c>
      <c r="E1939" t="n">
        <v>116.5599975585938</v>
      </c>
      <c r="F1939" t="n">
        <v>18.12022590637207</v>
      </c>
      <c r="G1939" t="n">
        <v>72.97237396240234</v>
      </c>
      <c r="H1939">
        <f>AVERAGE(D1740:D1939)</f>
        <v/>
      </c>
      <c r="I1939">
        <f>AVERAGE(E1740:E1939)</f>
        <v/>
      </c>
      <c r="J1939">
        <f>AVERAGE(F1740:F1939)</f>
        <v/>
      </c>
    </row>
    <row r="1940">
      <c r="C1940" s="539" t="n">
        <v>42263</v>
      </c>
      <c r="D1940" t="n">
        <v>107.3099975585938</v>
      </c>
      <c r="E1940" t="n">
        <v>122.879997253418</v>
      </c>
      <c r="F1940" t="n">
        <v>18.00848197937012</v>
      </c>
      <c r="G1940" t="n">
        <v>72.97237396240234</v>
      </c>
      <c r="H1940">
        <f>AVERAGE(D1741:D1940)</f>
        <v/>
      </c>
      <c r="I1940">
        <f>AVERAGE(E1741:E1940)</f>
        <v/>
      </c>
      <c r="J1940">
        <f>AVERAGE(F1741:F1940)</f>
        <v/>
      </c>
    </row>
    <row r="1941">
      <c r="C1941" s="539" t="n">
        <v>42264</v>
      </c>
      <c r="D1941" t="n">
        <v>108.4100036621094</v>
      </c>
      <c r="E1941" t="n">
        <v>121.8399963378906</v>
      </c>
      <c r="F1941" t="n">
        <v>17.93971252441406</v>
      </c>
      <c r="G1941" t="n">
        <v>72.97237396240234</v>
      </c>
      <c r="H1941">
        <f>AVERAGE(D1742:D1941)</f>
        <v/>
      </c>
      <c r="I1941">
        <f>AVERAGE(E1742:E1941)</f>
        <v/>
      </c>
      <c r="J1941">
        <f>AVERAGE(F1742:F1941)</f>
        <v/>
      </c>
    </row>
    <row r="1942">
      <c r="C1942" s="539" t="n">
        <v>42265</v>
      </c>
      <c r="D1942" t="n">
        <v>109.2099990844727</v>
      </c>
      <c r="E1942" t="n">
        <v>116.9599990844727</v>
      </c>
      <c r="F1942" t="n">
        <v>17.82796478271484</v>
      </c>
      <c r="G1942" t="n">
        <v>72.97237396240234</v>
      </c>
      <c r="H1942">
        <f>AVERAGE(D1743:D1942)</f>
        <v/>
      </c>
      <c r="I1942">
        <f>AVERAGE(E1743:E1942)</f>
        <v/>
      </c>
      <c r="J1942">
        <f>AVERAGE(F1743:F1942)</f>
        <v/>
      </c>
    </row>
    <row r="1943">
      <c r="C1943" s="539" t="n">
        <v>42268</v>
      </c>
      <c r="D1943" t="n">
        <v>108.5299987792969</v>
      </c>
      <c r="E1943" t="n">
        <v>120.4000015258789</v>
      </c>
      <c r="F1943" t="n">
        <v>17.95690536499023</v>
      </c>
      <c r="G1943" t="n">
        <v>72.98836517333984</v>
      </c>
      <c r="H1943">
        <f>AVERAGE(D1744:D1943)</f>
        <v/>
      </c>
      <c r="I1943">
        <f>AVERAGE(E1744:E1943)</f>
        <v/>
      </c>
      <c r="J1943">
        <f>AVERAGE(F1744:F1943)</f>
        <v/>
      </c>
    </row>
    <row r="1944">
      <c r="C1944" s="539" t="n">
        <v>42269</v>
      </c>
      <c r="D1944" t="n">
        <v>107.7900009155273</v>
      </c>
      <c r="E1944" t="n">
        <v>119.3600006103516</v>
      </c>
      <c r="F1944" t="n">
        <v>17.80217552185059</v>
      </c>
      <c r="G1944" t="n">
        <v>72.98836517333984</v>
      </c>
      <c r="H1944">
        <f>AVERAGE(D1745:D1944)</f>
        <v/>
      </c>
      <c r="I1944">
        <f>AVERAGE(E1745:E1944)</f>
        <v/>
      </c>
      <c r="J1944">
        <f>AVERAGE(F1745:F1944)</f>
        <v/>
      </c>
    </row>
    <row r="1945">
      <c r="C1945" s="539" t="n">
        <v>42270</v>
      </c>
      <c r="D1945" t="n">
        <v>108.2200012207031</v>
      </c>
      <c r="E1945" t="n">
        <v>115.5199966430664</v>
      </c>
      <c r="F1945" t="n">
        <v>17.78498458862305</v>
      </c>
      <c r="G1945" t="n">
        <v>72.97237396240234</v>
      </c>
      <c r="H1945">
        <f>AVERAGE(D1746:D1945)</f>
        <v/>
      </c>
      <c r="I1945">
        <f>AVERAGE(E1746:E1945)</f>
        <v/>
      </c>
      <c r="J1945">
        <f>AVERAGE(F1746:F1945)</f>
        <v/>
      </c>
    </row>
    <row r="1946">
      <c r="C1946" s="539" t="n">
        <v>42271</v>
      </c>
      <c r="D1946" t="n">
        <v>110.4899978637695</v>
      </c>
      <c r="E1946" t="n">
        <v>116.7200012207031</v>
      </c>
      <c r="F1946" t="n">
        <v>17.84515380859375</v>
      </c>
      <c r="G1946" t="n">
        <v>72.97237396240234</v>
      </c>
      <c r="H1946">
        <f>AVERAGE(D1747:D1946)</f>
        <v/>
      </c>
      <c r="I1946">
        <f>AVERAGE(E1747:E1946)</f>
        <v/>
      </c>
      <c r="J1946">
        <f>AVERAGE(F1747:F1946)</f>
        <v/>
      </c>
    </row>
    <row r="1947">
      <c r="C1947" s="539" t="n">
        <v>42272</v>
      </c>
      <c r="D1947" t="n">
        <v>109.8099975585938</v>
      </c>
      <c r="E1947" t="n">
        <v>117.7600021362305</v>
      </c>
      <c r="F1947" t="n">
        <v>18.16320419311523</v>
      </c>
      <c r="G1947" t="n">
        <v>72.97237396240234</v>
      </c>
      <c r="H1947">
        <f>AVERAGE(D1748:D1947)</f>
        <v/>
      </c>
      <c r="I1947">
        <f>AVERAGE(E1748:E1947)</f>
        <v/>
      </c>
      <c r="J1947">
        <f>AVERAGE(F1748:F1947)</f>
        <v/>
      </c>
    </row>
    <row r="1948">
      <c r="C1948" s="539" t="n">
        <v>42275</v>
      </c>
      <c r="D1948" t="n">
        <v>108.4199981689453</v>
      </c>
      <c r="E1948" t="n">
        <v>115.0400009155273</v>
      </c>
      <c r="F1948" t="n">
        <v>18.01707458496094</v>
      </c>
      <c r="G1948" t="n">
        <v>72.98836517333984</v>
      </c>
      <c r="H1948">
        <f>AVERAGE(D1749:D1948)</f>
        <v/>
      </c>
      <c r="I1948">
        <f>AVERAGE(E1749:E1948)</f>
        <v/>
      </c>
      <c r="J1948">
        <f>AVERAGE(F1749:F1948)</f>
        <v/>
      </c>
    </row>
    <row r="1949">
      <c r="C1949" s="539" t="n">
        <v>42276</v>
      </c>
      <c r="D1949" t="n">
        <v>107.9800033569336</v>
      </c>
      <c r="E1949" t="n">
        <v>116.879997253418</v>
      </c>
      <c r="F1949" t="n">
        <v>17.95690536499023</v>
      </c>
      <c r="G1949" t="n">
        <v>72.98836517333984</v>
      </c>
      <c r="H1949">
        <f>AVERAGE(D1750:D1949)</f>
        <v/>
      </c>
      <c r="I1949">
        <f>AVERAGE(E1750:E1949)</f>
        <v/>
      </c>
      <c r="J1949">
        <f>AVERAGE(F1750:F1949)</f>
        <v/>
      </c>
    </row>
    <row r="1950">
      <c r="C1950" s="539" t="n">
        <v>42277</v>
      </c>
      <c r="D1950" t="n">
        <v>106.8600006103516</v>
      </c>
      <c r="E1950" t="n">
        <v>117.4400024414062</v>
      </c>
      <c r="F1950" t="n">
        <v>17.94830703735352</v>
      </c>
      <c r="G1950" t="n">
        <v>72.97237396240234</v>
      </c>
      <c r="H1950">
        <f>AVERAGE(D1751:D1950)</f>
        <v/>
      </c>
      <c r="I1950">
        <f>AVERAGE(E1751:E1950)</f>
        <v/>
      </c>
      <c r="J1950">
        <f>AVERAGE(F1751:F1950)</f>
        <v/>
      </c>
    </row>
    <row r="1951">
      <c r="C1951" s="539" t="n">
        <v>42278</v>
      </c>
      <c r="D1951" t="n">
        <v>106.7300033569336</v>
      </c>
      <c r="E1951" t="n">
        <v>116.6399993896484</v>
      </c>
      <c r="F1951" t="n">
        <v>17.87094497680664</v>
      </c>
      <c r="G1951" t="n">
        <v>72.98836517333984</v>
      </c>
      <c r="H1951">
        <f>AVERAGE(D1752:D1951)</f>
        <v/>
      </c>
      <c r="I1951">
        <f>AVERAGE(E1752:E1951)</f>
        <v/>
      </c>
      <c r="J1951">
        <f>AVERAGE(F1752:F1951)</f>
        <v/>
      </c>
    </row>
    <row r="1952">
      <c r="C1952" s="539" t="n">
        <v>42279</v>
      </c>
      <c r="D1952" t="n">
        <v>108.9899978637695</v>
      </c>
      <c r="E1952" t="n">
        <v>118.1600036621094</v>
      </c>
      <c r="F1952" t="n">
        <v>17.99128723144531</v>
      </c>
      <c r="G1952" t="n">
        <v>72.98836517333984</v>
      </c>
      <c r="H1952">
        <f>AVERAGE(D1753:D1952)</f>
        <v/>
      </c>
      <c r="I1952">
        <f>AVERAGE(E1753:E1952)</f>
        <v/>
      </c>
      <c r="J1952">
        <f>AVERAGE(F1753:F1952)</f>
        <v/>
      </c>
    </row>
    <row r="1953">
      <c r="C1953" s="539" t="n">
        <v>42282</v>
      </c>
      <c r="D1953" t="n">
        <v>108.7699966430664</v>
      </c>
      <c r="E1953" t="n">
        <v>120</v>
      </c>
      <c r="F1953" t="n">
        <v>18.06865119934082</v>
      </c>
      <c r="G1953" t="n">
        <v>72.97237396240234</v>
      </c>
      <c r="H1953">
        <f>AVERAGE(D1754:D1953)</f>
        <v/>
      </c>
      <c r="I1953">
        <f>AVERAGE(E1754:E1953)</f>
        <v/>
      </c>
      <c r="J1953">
        <f>AVERAGE(F1754:F1953)</f>
        <v/>
      </c>
    </row>
    <row r="1954">
      <c r="C1954" s="539" t="n">
        <v>42283</v>
      </c>
      <c r="D1954" t="n">
        <v>109.8600006103516</v>
      </c>
      <c r="E1954" t="n">
        <v>125.9199981689453</v>
      </c>
      <c r="F1954" t="n">
        <v>18.30074310302734</v>
      </c>
      <c r="G1954" t="n">
        <v>72.97237396240234</v>
      </c>
      <c r="H1954">
        <f>AVERAGE(D1755:D1954)</f>
        <v/>
      </c>
      <c r="I1954">
        <f>AVERAGE(E1755:E1954)</f>
        <v/>
      </c>
      <c r="J1954">
        <f>AVERAGE(F1755:F1954)</f>
        <v/>
      </c>
    </row>
    <row r="1955">
      <c r="C1955" s="539" t="n">
        <v>42284</v>
      </c>
      <c r="D1955" t="n">
        <v>109.6999969482422</v>
      </c>
      <c r="E1955" t="n">
        <v>124.5599975585938</v>
      </c>
      <c r="F1955" t="n">
        <v>18.27495002746582</v>
      </c>
      <c r="G1955" t="n">
        <v>72.97237396240234</v>
      </c>
      <c r="H1955">
        <f>AVERAGE(D1756:D1955)</f>
        <v/>
      </c>
      <c r="I1955">
        <f>AVERAGE(E1756:E1955)</f>
        <v/>
      </c>
      <c r="J1955">
        <f>AVERAGE(F1756:F1955)</f>
        <v/>
      </c>
    </row>
    <row r="1956">
      <c r="C1956" s="539" t="n">
        <v>42285</v>
      </c>
      <c r="D1956" t="n">
        <v>109.1399993896484</v>
      </c>
      <c r="E1956" t="n">
        <v>128.3200073242188</v>
      </c>
      <c r="F1956" t="n">
        <v>18.26635932922363</v>
      </c>
      <c r="G1956" t="n">
        <v>72.97237396240234</v>
      </c>
      <c r="H1956">
        <f>AVERAGE(D1757:D1956)</f>
        <v/>
      </c>
      <c r="I1956">
        <f>AVERAGE(E1757:E1956)</f>
        <v/>
      </c>
      <c r="J1956">
        <f>AVERAGE(F1757:F1956)</f>
        <v/>
      </c>
    </row>
    <row r="1957">
      <c r="C1957" s="539" t="n">
        <v>42286</v>
      </c>
      <c r="D1957" t="n">
        <v>110.870002746582</v>
      </c>
      <c r="E1957" t="n">
        <v>127.9199981689453</v>
      </c>
      <c r="F1957" t="n">
        <v>18.29214477539062</v>
      </c>
      <c r="G1957" t="n">
        <v>72.97237396240234</v>
      </c>
      <c r="H1957">
        <f>AVERAGE(D1758:D1957)</f>
        <v/>
      </c>
      <c r="I1957">
        <f>AVERAGE(E1758:E1957)</f>
        <v/>
      </c>
      <c r="J1957">
        <f>AVERAGE(F1758:F1957)</f>
        <v/>
      </c>
    </row>
    <row r="1958">
      <c r="C1958" s="539" t="n">
        <v>42289</v>
      </c>
      <c r="D1958" t="n">
        <v>111.3099975585938</v>
      </c>
      <c r="E1958" t="n">
        <v>122.4800033569336</v>
      </c>
      <c r="F1958" t="n">
        <v>18.36950874328613</v>
      </c>
      <c r="G1958" t="n">
        <v>72.97237396240234</v>
      </c>
      <c r="H1958">
        <f>AVERAGE(D1759:D1958)</f>
        <v/>
      </c>
      <c r="I1958">
        <f>AVERAGE(E1759:E1958)</f>
        <v/>
      </c>
      <c r="J1958">
        <f>AVERAGE(F1759:F1958)</f>
        <v/>
      </c>
    </row>
    <row r="1959">
      <c r="C1959" s="539" t="n">
        <v>42290</v>
      </c>
      <c r="D1959" t="n">
        <v>111.8600006103516</v>
      </c>
      <c r="E1959" t="n">
        <v>120.4800033569336</v>
      </c>
      <c r="F1959" t="n">
        <v>18.48985290527344</v>
      </c>
      <c r="G1959" t="n">
        <v>72.97237396240234</v>
      </c>
      <c r="H1959">
        <f>AVERAGE(D1760:D1959)</f>
        <v/>
      </c>
      <c r="I1959">
        <f>AVERAGE(E1760:E1959)</f>
        <v/>
      </c>
      <c r="J1959">
        <f>AVERAGE(F1760:F1959)</f>
        <v/>
      </c>
    </row>
    <row r="1960">
      <c r="C1960" s="539" t="n">
        <v>42291</v>
      </c>
      <c r="D1960" t="n">
        <v>113.8099975585938</v>
      </c>
      <c r="E1960" t="n">
        <v>120.4000015258789</v>
      </c>
      <c r="F1960" t="n">
        <v>18.4124870300293</v>
      </c>
      <c r="G1960" t="n">
        <v>72.97237396240234</v>
      </c>
      <c r="H1960">
        <f>AVERAGE(D1761:D1960)</f>
        <v/>
      </c>
      <c r="I1960">
        <f>AVERAGE(E1761:E1960)</f>
        <v/>
      </c>
      <c r="J1960">
        <f>AVERAGE(F1761:F1960)</f>
        <v/>
      </c>
    </row>
    <row r="1961">
      <c r="C1961" s="539" t="n">
        <v>42292</v>
      </c>
      <c r="D1961" t="n">
        <v>113.2900009155273</v>
      </c>
      <c r="E1961" t="n">
        <v>121.0400009155273</v>
      </c>
      <c r="F1961" t="n">
        <v>18.30074310302734</v>
      </c>
      <c r="G1961" t="n">
        <v>72.97237396240234</v>
      </c>
      <c r="H1961">
        <f>AVERAGE(D1762:D1961)</f>
        <v/>
      </c>
      <c r="I1961">
        <f>AVERAGE(E1762:E1961)</f>
        <v/>
      </c>
      <c r="J1961">
        <f>AVERAGE(F1762:F1961)</f>
        <v/>
      </c>
    </row>
    <row r="1962">
      <c r="C1962" s="539" t="n">
        <v>42293</v>
      </c>
      <c r="D1962" t="n">
        <v>112.4899978637695</v>
      </c>
      <c r="E1962" t="n">
        <v>121.7600021362305</v>
      </c>
      <c r="F1962" t="n">
        <v>18.22337913513184</v>
      </c>
      <c r="G1962" t="n">
        <v>72.97237396240234</v>
      </c>
      <c r="H1962">
        <f>AVERAGE(D1763:D1962)</f>
        <v/>
      </c>
      <c r="I1962">
        <f>AVERAGE(E1763:E1962)</f>
        <v/>
      </c>
      <c r="J1962">
        <f>AVERAGE(F1763:F1962)</f>
        <v/>
      </c>
    </row>
    <row r="1963">
      <c r="C1963" s="539" t="n">
        <v>42296</v>
      </c>
      <c r="D1963" t="n">
        <v>112.0199966430664</v>
      </c>
      <c r="E1963" t="n">
        <v>118.6399993896484</v>
      </c>
      <c r="F1963" t="n">
        <v>18.19758987426758</v>
      </c>
      <c r="G1963" t="n">
        <v>72.97237396240234</v>
      </c>
      <c r="H1963">
        <f>AVERAGE(D1764:D1963)</f>
        <v/>
      </c>
      <c r="I1963">
        <f>AVERAGE(E1764:E1963)</f>
        <v/>
      </c>
      <c r="J1963">
        <f>AVERAGE(F1764:F1963)</f>
        <v/>
      </c>
    </row>
    <row r="1964">
      <c r="C1964" s="539" t="n">
        <v>42297</v>
      </c>
      <c r="D1964" t="n">
        <v>112.7300033569336</v>
      </c>
      <c r="E1964" t="n">
        <v>117.8399963378906</v>
      </c>
      <c r="F1964" t="n">
        <v>18.3867015838623</v>
      </c>
      <c r="G1964" t="n">
        <v>72.95643615722656</v>
      </c>
      <c r="H1964">
        <f>AVERAGE(D1765:D1964)</f>
        <v/>
      </c>
      <c r="I1964">
        <f>AVERAGE(E1765:E1964)</f>
        <v/>
      </c>
      <c r="J1964">
        <f>AVERAGE(F1765:F1964)</f>
        <v/>
      </c>
    </row>
    <row r="1965">
      <c r="C1965" s="539" t="n">
        <v>42298</v>
      </c>
      <c r="D1965" t="n">
        <v>111.7300033569336</v>
      </c>
      <c r="E1965" t="n">
        <v>115.4400024414062</v>
      </c>
      <c r="F1965" t="n">
        <v>18.31793212890625</v>
      </c>
      <c r="G1965" t="n">
        <v>72.97237396240234</v>
      </c>
      <c r="H1965">
        <f>AVERAGE(D1766:D1965)</f>
        <v/>
      </c>
      <c r="I1965">
        <f>AVERAGE(E1766:E1965)</f>
        <v/>
      </c>
      <c r="J1965">
        <f>AVERAGE(F1766:F1965)</f>
        <v/>
      </c>
    </row>
    <row r="1966">
      <c r="C1966" s="539" t="n">
        <v>42299</v>
      </c>
      <c r="D1966" t="n">
        <v>111.6900024414062</v>
      </c>
      <c r="E1966" t="n">
        <v>116.0800018310547</v>
      </c>
      <c r="F1966" t="n">
        <v>18.23196983337402</v>
      </c>
      <c r="G1966" t="n">
        <v>72.97237396240234</v>
      </c>
      <c r="H1966">
        <f>AVERAGE(D1767:D1966)</f>
        <v/>
      </c>
      <c r="I1966">
        <f>AVERAGE(E1767:E1966)</f>
        <v/>
      </c>
      <c r="J1966">
        <f>AVERAGE(F1767:F1966)</f>
        <v/>
      </c>
    </row>
    <row r="1967">
      <c r="C1967" s="539" t="n">
        <v>42300</v>
      </c>
      <c r="D1967" t="n">
        <v>111.5</v>
      </c>
      <c r="E1967" t="n">
        <v>114.1600036621094</v>
      </c>
      <c r="F1967" t="n">
        <v>18.11162948608398</v>
      </c>
      <c r="G1967" t="n">
        <v>72.97237396240234</v>
      </c>
      <c r="H1967">
        <f>AVERAGE(D1768:D1967)</f>
        <v/>
      </c>
      <c r="I1967">
        <f>AVERAGE(E1768:E1967)</f>
        <v/>
      </c>
      <c r="J1967">
        <f>AVERAGE(F1768:F1967)</f>
        <v/>
      </c>
    </row>
    <row r="1968">
      <c r="C1968" s="539" t="n">
        <v>42303</v>
      </c>
      <c r="D1968" t="n">
        <v>111.4300003051758</v>
      </c>
      <c r="E1968" t="n">
        <v>112.0800018310547</v>
      </c>
      <c r="F1968" t="n">
        <v>18.21478080749512</v>
      </c>
      <c r="G1968" t="n">
        <v>72.95643615722656</v>
      </c>
      <c r="H1968">
        <f>AVERAGE(D1769:D1968)</f>
        <v/>
      </c>
      <c r="I1968">
        <f>AVERAGE(E1769:E1968)</f>
        <v/>
      </c>
      <c r="J1968">
        <f>AVERAGE(F1769:F1968)</f>
        <v/>
      </c>
    </row>
    <row r="1969">
      <c r="C1969" s="539" t="n">
        <v>42304</v>
      </c>
      <c r="D1969" t="n">
        <v>111.6800003051758</v>
      </c>
      <c r="E1969" t="n">
        <v>110.5599975585938</v>
      </c>
      <c r="F1969" t="n">
        <v>18.12022590637207</v>
      </c>
      <c r="G1969" t="n">
        <v>72.95643615722656</v>
      </c>
      <c r="H1969">
        <f>AVERAGE(D1770:D1969)</f>
        <v/>
      </c>
      <c r="I1969">
        <f>AVERAGE(E1770:E1969)</f>
        <v/>
      </c>
      <c r="J1969">
        <f>AVERAGE(F1770:F1969)</f>
        <v/>
      </c>
    </row>
    <row r="1970">
      <c r="C1970" s="539" t="n">
        <v>42305</v>
      </c>
      <c r="D1970" t="n">
        <v>110.7799987792969</v>
      </c>
      <c r="E1970" t="n">
        <v>117.5199966430664</v>
      </c>
      <c r="F1970" t="n">
        <v>18.20618629455566</v>
      </c>
      <c r="G1970" t="n">
        <v>72.95643615722656</v>
      </c>
      <c r="H1970">
        <f>AVERAGE(D1771:D1970)</f>
        <v/>
      </c>
      <c r="I1970">
        <f>AVERAGE(E1771:E1970)</f>
        <v/>
      </c>
      <c r="J1970">
        <f>AVERAGE(F1771:F1970)</f>
        <v/>
      </c>
    </row>
    <row r="1971">
      <c r="C1971" s="539" t="n">
        <v>42306</v>
      </c>
      <c r="D1971" t="n">
        <v>109.7200012207031</v>
      </c>
      <c r="E1971" t="n">
        <v>117.0400009155273</v>
      </c>
      <c r="F1971" t="n">
        <v>18.16320419311523</v>
      </c>
      <c r="G1971" t="n">
        <v>72.95643615722656</v>
      </c>
      <c r="H1971">
        <f>AVERAGE(D1772:D1971)</f>
        <v/>
      </c>
      <c r="I1971">
        <f>AVERAGE(E1772:E1971)</f>
        <v/>
      </c>
      <c r="J1971">
        <f>AVERAGE(F1772:F1971)</f>
        <v/>
      </c>
    </row>
    <row r="1972">
      <c r="C1972" s="539" t="n">
        <v>42307</v>
      </c>
      <c r="D1972" t="n">
        <v>109.3000030517578</v>
      </c>
      <c r="E1972" t="n">
        <v>118.4800033569336</v>
      </c>
      <c r="F1972" t="n">
        <v>18.29214477539062</v>
      </c>
      <c r="G1972" t="n">
        <v>72.95643615722656</v>
      </c>
      <c r="H1972">
        <f>AVERAGE(D1773:D1972)</f>
        <v/>
      </c>
      <c r="I1972">
        <f>AVERAGE(E1773:E1972)</f>
        <v/>
      </c>
      <c r="J1972">
        <f>AVERAGE(F1773:F1972)</f>
        <v/>
      </c>
    </row>
    <row r="1973">
      <c r="C1973" s="539" t="n">
        <v>42310</v>
      </c>
      <c r="D1973" t="n">
        <v>108.5899963378906</v>
      </c>
      <c r="E1973" t="n">
        <v>118</v>
      </c>
      <c r="F1973" t="n">
        <v>18.20618629455566</v>
      </c>
      <c r="G1973" t="n">
        <v>72.95643615722656</v>
      </c>
      <c r="H1973">
        <f>AVERAGE(D1774:D1973)</f>
        <v/>
      </c>
      <c r="I1973">
        <f>AVERAGE(E1774:E1973)</f>
        <v/>
      </c>
      <c r="J1973">
        <f>AVERAGE(F1774:F1973)</f>
        <v/>
      </c>
    </row>
    <row r="1974">
      <c r="C1974" s="539" t="n">
        <v>42311</v>
      </c>
      <c r="D1974" t="n">
        <v>106.9800033569336</v>
      </c>
      <c r="E1974" t="n">
        <v>122.2399978637695</v>
      </c>
      <c r="F1974" t="n">
        <v>18.24056816101074</v>
      </c>
      <c r="G1974" t="n">
        <v>72.97237396240234</v>
      </c>
      <c r="H1974">
        <f>AVERAGE(D1775:D1974)</f>
        <v/>
      </c>
      <c r="I1974">
        <f>AVERAGE(E1775:E1974)</f>
        <v/>
      </c>
      <c r="J1974">
        <f>AVERAGE(F1775:F1974)</f>
        <v/>
      </c>
    </row>
    <row r="1975">
      <c r="C1975" s="539" t="n">
        <v>42312</v>
      </c>
      <c r="D1975" t="n">
        <v>105.9700012207031</v>
      </c>
      <c r="E1975" t="n">
        <v>118.8000030517578</v>
      </c>
      <c r="F1975" t="n">
        <v>18.07724761962891</v>
      </c>
      <c r="G1975" t="n">
        <v>72.95643615722656</v>
      </c>
      <c r="H1975">
        <f>AVERAGE(D1776:D1975)</f>
        <v/>
      </c>
      <c r="I1975">
        <f>AVERAGE(E1776:E1975)</f>
        <v/>
      </c>
      <c r="J1975">
        <f>AVERAGE(F1776:F1975)</f>
        <v/>
      </c>
    </row>
    <row r="1976">
      <c r="C1976" s="539" t="n">
        <v>42313</v>
      </c>
      <c r="D1976" t="n">
        <v>105.6399993896484</v>
      </c>
      <c r="E1976" t="n">
        <v>115.8399963378906</v>
      </c>
      <c r="F1976" t="n">
        <v>17.94830703735352</v>
      </c>
      <c r="G1976" t="n">
        <v>72.95643615722656</v>
      </c>
      <c r="H1976">
        <f>AVERAGE(D1777:D1976)</f>
        <v/>
      </c>
      <c r="I1976">
        <f>AVERAGE(E1777:E1976)</f>
        <v/>
      </c>
      <c r="J1976">
        <f>AVERAGE(F1777:F1976)</f>
        <v/>
      </c>
    </row>
    <row r="1977">
      <c r="C1977" s="539" t="n">
        <v>42314</v>
      </c>
      <c r="D1977" t="n">
        <v>104.0999984741211</v>
      </c>
      <c r="E1977" t="n">
        <v>113.8399963378906</v>
      </c>
      <c r="F1977" t="n">
        <v>17.84515380859375</v>
      </c>
      <c r="G1977" t="n">
        <v>72.95643615722656</v>
      </c>
      <c r="H1977">
        <f>AVERAGE(D1778:D1977)</f>
        <v/>
      </c>
      <c r="I1977">
        <f>AVERAGE(E1778:E1977)</f>
        <v/>
      </c>
      <c r="J1977">
        <f>AVERAGE(F1778:F1977)</f>
        <v/>
      </c>
    </row>
    <row r="1978">
      <c r="C1978" s="539" t="n">
        <v>42317</v>
      </c>
      <c r="D1978" t="n">
        <v>104.4000015258789</v>
      </c>
      <c r="E1978" t="n">
        <v>112.6399993896484</v>
      </c>
      <c r="F1978" t="n">
        <v>17.52710723876953</v>
      </c>
      <c r="G1978" t="n">
        <v>72.97237396240234</v>
      </c>
      <c r="H1978">
        <f>AVERAGE(D1779:D1978)</f>
        <v/>
      </c>
      <c r="I1978">
        <f>AVERAGE(E1779:E1978)</f>
        <v/>
      </c>
      <c r="J1978">
        <f>AVERAGE(F1779:F1978)</f>
        <v/>
      </c>
    </row>
    <row r="1979">
      <c r="C1979" s="539" t="n">
        <v>42318</v>
      </c>
      <c r="D1979" t="n">
        <v>104.1800003051758</v>
      </c>
      <c r="E1979" t="n">
        <v>112.7200012207031</v>
      </c>
      <c r="F1979" t="n">
        <v>17.45834159851074</v>
      </c>
      <c r="G1979" t="n">
        <v>72.95643615722656</v>
      </c>
      <c r="H1979">
        <f>AVERAGE(D1780:D1979)</f>
        <v/>
      </c>
      <c r="I1979">
        <f>AVERAGE(E1780:E1979)</f>
        <v/>
      </c>
      <c r="J1979">
        <f>AVERAGE(F1780:F1979)</f>
        <v/>
      </c>
    </row>
    <row r="1980">
      <c r="C1980" s="539" t="n">
        <v>42319</v>
      </c>
      <c r="D1980" t="n">
        <v>103.8300018310547</v>
      </c>
      <c r="E1980" t="n">
        <v>110.0800018310547</v>
      </c>
      <c r="F1980" t="n">
        <v>17.63885307312012</v>
      </c>
      <c r="G1980" t="n">
        <v>72.97237396240234</v>
      </c>
      <c r="H1980">
        <f>AVERAGE(D1781:D1980)</f>
        <v/>
      </c>
      <c r="I1980">
        <f>AVERAGE(E1781:E1980)</f>
        <v/>
      </c>
      <c r="J1980">
        <f>AVERAGE(F1781:F1980)</f>
        <v/>
      </c>
    </row>
    <row r="1981">
      <c r="C1981" s="539" t="n">
        <v>42320</v>
      </c>
      <c r="D1981" t="n">
        <v>103.8499984741211</v>
      </c>
      <c r="E1981" t="n">
        <v>106.8000030517578</v>
      </c>
      <c r="F1981" t="n">
        <v>17.73340797424316</v>
      </c>
      <c r="G1981" t="n">
        <v>72.97237396240234</v>
      </c>
      <c r="H1981">
        <f>AVERAGE(D1782:D1981)</f>
        <v/>
      </c>
      <c r="I1981">
        <f>AVERAGE(E1782:E1981)</f>
        <v/>
      </c>
      <c r="J1981">
        <f>AVERAGE(F1782:F1981)</f>
        <v/>
      </c>
    </row>
    <row r="1982">
      <c r="C1982" s="539" t="n">
        <v>42321</v>
      </c>
      <c r="D1982" t="n">
        <v>103.5599975585938</v>
      </c>
      <c r="E1982" t="n">
        <v>104.4800033569336</v>
      </c>
      <c r="F1982" t="n">
        <v>17.54429626464844</v>
      </c>
      <c r="G1982" t="n">
        <v>72.95643615722656</v>
      </c>
      <c r="H1982">
        <f>AVERAGE(D1783:D1982)</f>
        <v/>
      </c>
      <c r="I1982">
        <f>AVERAGE(E1783:E1982)</f>
        <v/>
      </c>
      <c r="J1982">
        <f>AVERAGE(F1783:F1982)</f>
        <v/>
      </c>
    </row>
    <row r="1983">
      <c r="C1983" s="539" t="n">
        <v>42324</v>
      </c>
      <c r="D1983" t="n">
        <v>103.7099990844727</v>
      </c>
      <c r="E1983" t="n">
        <v>107.120002746582</v>
      </c>
      <c r="F1983" t="n">
        <v>17.50131797790527</v>
      </c>
      <c r="G1983" t="n">
        <v>72.97237396240234</v>
      </c>
      <c r="H1983">
        <f>AVERAGE(D1784:D1983)</f>
        <v/>
      </c>
      <c r="I1983">
        <f>AVERAGE(E1784:E1983)</f>
        <v/>
      </c>
      <c r="J1983">
        <f>AVERAGE(F1784:F1983)</f>
        <v/>
      </c>
    </row>
    <row r="1984">
      <c r="C1984" s="539" t="n">
        <v>42325</v>
      </c>
      <c r="D1984" t="n">
        <v>102.3399963378906</v>
      </c>
      <c r="E1984" t="n">
        <v>104.0800018310547</v>
      </c>
      <c r="F1984" t="n">
        <v>17.51851081848145</v>
      </c>
      <c r="G1984" t="n">
        <v>72.95643615722656</v>
      </c>
      <c r="H1984">
        <f>AVERAGE(D1785:D1984)</f>
        <v/>
      </c>
      <c r="I1984">
        <f>AVERAGE(E1785:E1984)</f>
        <v/>
      </c>
      <c r="J1984">
        <f>AVERAGE(F1785:F1984)</f>
        <v/>
      </c>
    </row>
    <row r="1985">
      <c r="C1985" s="539" t="n">
        <v>42326</v>
      </c>
      <c r="D1985" t="n">
        <v>102.4300003051758</v>
      </c>
      <c r="E1985" t="n">
        <v>104.4000015258789</v>
      </c>
      <c r="F1985" t="n">
        <v>17.47553062438965</v>
      </c>
      <c r="G1985" t="n">
        <v>72.95643615722656</v>
      </c>
      <c r="H1985">
        <f>AVERAGE(D1786:D1985)</f>
        <v/>
      </c>
      <c r="I1985">
        <f>AVERAGE(E1786:E1985)</f>
        <v/>
      </c>
      <c r="J1985">
        <f>AVERAGE(F1786:F1985)</f>
        <v/>
      </c>
    </row>
    <row r="1986">
      <c r="C1986" s="539" t="n">
        <v>42327</v>
      </c>
      <c r="D1986" t="n">
        <v>103.5599975585938</v>
      </c>
      <c r="E1986" t="n">
        <v>103.6800003051758</v>
      </c>
      <c r="F1986" t="n">
        <v>17.69902610778809</v>
      </c>
      <c r="G1986" t="n">
        <v>72.97237396240234</v>
      </c>
      <c r="H1986">
        <f>AVERAGE(D1787:D1986)</f>
        <v/>
      </c>
      <c r="I1986">
        <f>AVERAGE(E1787:E1986)</f>
        <v/>
      </c>
      <c r="J1986">
        <f>AVERAGE(F1787:F1986)</f>
        <v/>
      </c>
    </row>
    <row r="1987">
      <c r="C1987" s="539" t="n">
        <v>42328</v>
      </c>
      <c r="D1987" t="n">
        <v>103.0899963378906</v>
      </c>
      <c r="E1987" t="n">
        <v>103.4400024414062</v>
      </c>
      <c r="F1987" t="n">
        <v>17.77638816833496</v>
      </c>
      <c r="G1987" t="n">
        <v>72.95643615722656</v>
      </c>
      <c r="H1987">
        <f>AVERAGE(D1788:D1987)</f>
        <v/>
      </c>
      <c r="I1987">
        <f>AVERAGE(E1788:E1987)</f>
        <v/>
      </c>
      <c r="J1987">
        <f>AVERAGE(F1788:F1987)</f>
        <v/>
      </c>
    </row>
    <row r="1988">
      <c r="C1988" s="539" t="n">
        <v>42331</v>
      </c>
      <c r="D1988" t="n">
        <v>102.2600021362305</v>
      </c>
      <c r="E1988" t="n">
        <v>104.1600036621094</v>
      </c>
      <c r="F1988" t="n">
        <v>17.82796478271484</v>
      </c>
      <c r="G1988" t="n">
        <v>72.97237396240234</v>
      </c>
      <c r="H1988">
        <f>AVERAGE(D1789:D1988)</f>
        <v/>
      </c>
      <c r="I1988">
        <f>AVERAGE(E1789:E1988)</f>
        <v/>
      </c>
      <c r="J1988">
        <f>AVERAGE(F1789:F1988)</f>
        <v/>
      </c>
    </row>
    <row r="1989">
      <c r="C1989" s="539" t="n">
        <v>42332</v>
      </c>
      <c r="D1989" t="n">
        <v>102.9400024414062</v>
      </c>
      <c r="E1989" t="n">
        <v>106.5599975585938</v>
      </c>
      <c r="F1989" t="n">
        <v>17.72481346130371</v>
      </c>
      <c r="G1989" t="n">
        <v>72.95643615722656</v>
      </c>
      <c r="H1989">
        <f>AVERAGE(D1790:D1989)</f>
        <v/>
      </c>
      <c r="I1989">
        <f>AVERAGE(E1790:E1989)</f>
        <v/>
      </c>
      <c r="J1989">
        <f>AVERAGE(F1790:F1989)</f>
        <v/>
      </c>
    </row>
    <row r="1990">
      <c r="C1990" s="539" t="n">
        <v>42333</v>
      </c>
      <c r="D1990" t="n">
        <v>102.4599990844727</v>
      </c>
      <c r="E1990" t="n">
        <v>107.120002746582</v>
      </c>
      <c r="F1990" t="n">
        <v>17.81077194213867</v>
      </c>
      <c r="G1990" t="n">
        <v>72.95643615722656</v>
      </c>
      <c r="H1990">
        <f>AVERAGE(D1791:D1990)</f>
        <v/>
      </c>
      <c r="I1990">
        <f>AVERAGE(E1791:E1990)</f>
        <v/>
      </c>
      <c r="J1990">
        <f>AVERAGE(F1791:F1990)</f>
        <v/>
      </c>
    </row>
    <row r="1991">
      <c r="C1991" s="539" t="n">
        <v>42335</v>
      </c>
      <c r="D1991" t="n">
        <v>101.25</v>
      </c>
      <c r="E1991" t="n">
        <v>104.2399978637695</v>
      </c>
      <c r="F1991" t="n">
        <v>17.69042778015137</v>
      </c>
      <c r="G1991" t="n">
        <v>72.97237396240234</v>
      </c>
      <c r="H1991">
        <f>AVERAGE(D1792:D1991)</f>
        <v/>
      </c>
      <c r="I1991">
        <f>AVERAGE(E1792:E1991)</f>
        <v/>
      </c>
      <c r="J1991">
        <f>AVERAGE(F1792:F1991)</f>
        <v/>
      </c>
    </row>
    <row r="1992">
      <c r="C1992" s="539" t="n">
        <v>42338</v>
      </c>
      <c r="D1992" t="n">
        <v>101.9199981689453</v>
      </c>
      <c r="E1992" t="n">
        <v>103.4400024414062</v>
      </c>
      <c r="F1992" t="n">
        <v>17.63025856018066</v>
      </c>
      <c r="G1992" t="n">
        <v>72.97237396240234</v>
      </c>
      <c r="H1992">
        <f>AVERAGE(D1793:D1992)</f>
        <v/>
      </c>
      <c r="I1992">
        <f>AVERAGE(E1793:E1992)</f>
        <v/>
      </c>
      <c r="J1992">
        <f>AVERAGE(F1793:F1992)</f>
        <v/>
      </c>
    </row>
    <row r="1993">
      <c r="C1993" s="539" t="n">
        <v>42339</v>
      </c>
      <c r="D1993" t="n">
        <v>102.2799987792969</v>
      </c>
      <c r="E1993" t="n">
        <v>103.5999984741211</v>
      </c>
      <c r="F1993" t="n">
        <v>17.87954139709473</v>
      </c>
      <c r="G1993" t="n">
        <v>72.95643615722656</v>
      </c>
      <c r="H1993">
        <f>AVERAGE(D1794:D1993)</f>
        <v/>
      </c>
      <c r="I1993">
        <f>AVERAGE(E1794:E1993)</f>
        <v/>
      </c>
      <c r="J1993">
        <f>AVERAGE(F1794:F1993)</f>
        <v/>
      </c>
    </row>
    <row r="1994">
      <c r="C1994" s="539" t="n">
        <v>42340</v>
      </c>
      <c r="D1994" t="n">
        <v>100.6900024414062</v>
      </c>
      <c r="E1994" t="n">
        <v>99.83999633789062</v>
      </c>
      <c r="F1994" t="n">
        <v>17.70762252807617</v>
      </c>
      <c r="G1994" t="n">
        <v>72.95643615722656</v>
      </c>
      <c r="H1994">
        <f>AVERAGE(D1795:D1994)</f>
        <v/>
      </c>
      <c r="I1994">
        <f>AVERAGE(E1795:E1994)</f>
        <v/>
      </c>
      <c r="J1994">
        <f>AVERAGE(F1795:F1994)</f>
        <v/>
      </c>
    </row>
    <row r="1995">
      <c r="C1995" s="539" t="n">
        <v>42341</v>
      </c>
      <c r="D1995" t="n">
        <v>101.7600021362305</v>
      </c>
      <c r="E1995" t="n">
        <v>102.1600036621094</v>
      </c>
      <c r="F1995" t="n">
        <v>17.91392517089844</v>
      </c>
      <c r="G1995" t="n">
        <v>72.97237396240234</v>
      </c>
      <c r="H1995">
        <f>AVERAGE(D1796:D1995)</f>
        <v/>
      </c>
      <c r="I1995">
        <f>AVERAGE(E1796:E1995)</f>
        <v/>
      </c>
      <c r="J1995">
        <f>AVERAGE(F1796:F1995)</f>
        <v/>
      </c>
    </row>
    <row r="1996">
      <c r="C1996" s="539" t="n">
        <v>42342</v>
      </c>
      <c r="D1996" t="n">
        <v>104.0199966430664</v>
      </c>
      <c r="E1996" t="n">
        <v>99.68000030517578</v>
      </c>
      <c r="F1996" t="n">
        <v>18.00848197937012</v>
      </c>
      <c r="G1996" t="n">
        <v>72.97237396240234</v>
      </c>
      <c r="H1996">
        <f>AVERAGE(D1797:D1996)</f>
        <v/>
      </c>
      <c r="I1996">
        <f>AVERAGE(E1797:E1996)</f>
        <v/>
      </c>
      <c r="J1996">
        <f>AVERAGE(F1797:F1996)</f>
        <v/>
      </c>
    </row>
    <row r="1997">
      <c r="C1997" s="539" t="n">
        <v>42345</v>
      </c>
      <c r="D1997" t="n">
        <v>102.6699981689453</v>
      </c>
      <c r="E1997" t="n">
        <v>93.76000213623047</v>
      </c>
      <c r="F1997" t="n">
        <v>17.75060081481934</v>
      </c>
      <c r="G1997" t="n">
        <v>72.97237396240234</v>
      </c>
      <c r="H1997">
        <f>AVERAGE(D1798:D1997)</f>
        <v/>
      </c>
      <c r="I1997">
        <f>AVERAGE(E1798:E1997)</f>
        <v/>
      </c>
      <c r="J1997">
        <f>AVERAGE(F1798:F1997)</f>
        <v/>
      </c>
    </row>
    <row r="1998">
      <c r="C1998" s="539" t="n">
        <v>42346</v>
      </c>
      <c r="D1998" t="n">
        <v>102.8399963378906</v>
      </c>
      <c r="E1998" t="n">
        <v>93.44000244140625</v>
      </c>
      <c r="F1998" t="n">
        <v>17.61306571960449</v>
      </c>
      <c r="G1998" t="n">
        <v>72.95643615722656</v>
      </c>
      <c r="H1998">
        <f>AVERAGE(D1799:D1998)</f>
        <v/>
      </c>
      <c r="I1998">
        <f>AVERAGE(E1799:E1998)</f>
        <v/>
      </c>
      <c r="J1998">
        <f>AVERAGE(F1799:F1998)</f>
        <v/>
      </c>
    </row>
    <row r="1999">
      <c r="C1999" s="539" t="n">
        <v>42347</v>
      </c>
      <c r="D1999" t="n">
        <v>102.6399993896484</v>
      </c>
      <c r="E1999" t="n">
        <v>92.48000335693359</v>
      </c>
      <c r="F1999" t="n">
        <v>17.71621704101562</v>
      </c>
      <c r="G1999" t="n">
        <v>72.94042205810547</v>
      </c>
      <c r="H1999">
        <f>AVERAGE(D1800:D1999)</f>
        <v/>
      </c>
      <c r="I1999">
        <f>AVERAGE(E1800:E1999)</f>
        <v/>
      </c>
      <c r="J1999">
        <f>AVERAGE(F1800:F1999)</f>
        <v/>
      </c>
    </row>
    <row r="2000">
      <c r="C2000" s="539" t="n">
        <v>42348</v>
      </c>
      <c r="D2000" t="n">
        <v>102.5500030517578</v>
      </c>
      <c r="E2000" t="n">
        <v>90.95999908447266</v>
      </c>
      <c r="F2000" t="n">
        <v>17.73340797424316</v>
      </c>
      <c r="G2000" t="n">
        <v>72.95643615722656</v>
      </c>
      <c r="H2000">
        <f>AVERAGE(D1801:D2000)</f>
        <v/>
      </c>
      <c r="I2000">
        <f>AVERAGE(E1801:E2000)</f>
        <v/>
      </c>
      <c r="J2000">
        <f>AVERAGE(F1801:F2000)</f>
        <v/>
      </c>
    </row>
    <row r="2001">
      <c r="C2001" s="539" t="n">
        <v>42349</v>
      </c>
      <c r="D2001" t="n">
        <v>103.1100006103516</v>
      </c>
      <c r="E2001" t="n">
        <v>88.55999755859375</v>
      </c>
      <c r="F2001" t="n">
        <v>17.61306571960449</v>
      </c>
      <c r="G2001" t="n">
        <v>72.97237396240234</v>
      </c>
      <c r="H2001">
        <f>AVERAGE(D1802:D2001)</f>
        <v/>
      </c>
      <c r="I2001">
        <f>AVERAGE(E1802:E2001)</f>
        <v/>
      </c>
      <c r="J2001">
        <f>AVERAGE(F1802:F2001)</f>
        <v/>
      </c>
    </row>
    <row r="2002">
      <c r="C2002" s="539" t="n">
        <v>42352</v>
      </c>
      <c r="D2002" t="n">
        <v>101.7900009155273</v>
      </c>
      <c r="E2002" t="n">
        <v>89.27999877929688</v>
      </c>
      <c r="F2002" t="n">
        <v>17.55289459228516</v>
      </c>
      <c r="G2002" t="n">
        <v>72.97237396240234</v>
      </c>
      <c r="H2002">
        <f>AVERAGE(D1803:D2002)</f>
        <v/>
      </c>
      <c r="I2002">
        <f>AVERAGE(E1803:E2002)</f>
        <v/>
      </c>
      <c r="J2002">
        <f>AVERAGE(F1803:F2002)</f>
        <v/>
      </c>
    </row>
    <row r="2003">
      <c r="C2003" s="539" t="n">
        <v>42353</v>
      </c>
      <c r="D2003" t="n">
        <v>101.5199966430664</v>
      </c>
      <c r="E2003" t="n">
        <v>91.19999694824219</v>
      </c>
      <c r="F2003" t="n">
        <v>17.51851081848145</v>
      </c>
      <c r="G2003" t="n">
        <v>72.95643615722656</v>
      </c>
      <c r="H2003">
        <f>AVERAGE(D1804:D2003)</f>
        <v/>
      </c>
      <c r="I2003">
        <f>AVERAGE(E1804:E2003)</f>
        <v/>
      </c>
      <c r="J2003">
        <f>AVERAGE(F1804:F2003)</f>
        <v/>
      </c>
    </row>
    <row r="2004">
      <c r="C2004" s="539" t="n">
        <v>42354</v>
      </c>
      <c r="D2004" t="n">
        <v>102.75</v>
      </c>
      <c r="E2004" t="n">
        <v>87.91999816894531</v>
      </c>
      <c r="F2004" t="n">
        <v>17.3809757232666</v>
      </c>
      <c r="G2004" t="n">
        <v>72.97237396240234</v>
      </c>
      <c r="H2004">
        <f>AVERAGE(D1805:D2004)</f>
        <v/>
      </c>
      <c r="I2004">
        <f>AVERAGE(E1805:E2004)</f>
        <v/>
      </c>
      <c r="J2004">
        <f>AVERAGE(F1805:F2004)</f>
        <v/>
      </c>
    </row>
    <row r="2005">
      <c r="C2005" s="539" t="n">
        <v>42355</v>
      </c>
      <c r="D2005" t="n">
        <v>100.5</v>
      </c>
      <c r="E2005" t="n">
        <v>85.91999816894531</v>
      </c>
      <c r="F2005" t="n">
        <v>17.33799743652344</v>
      </c>
      <c r="G2005" t="n">
        <v>72.95643615722656</v>
      </c>
      <c r="H2005">
        <f>AVERAGE(D1806:D2005)</f>
        <v/>
      </c>
      <c r="I2005">
        <f>AVERAGE(E1806:E2005)</f>
        <v/>
      </c>
      <c r="J2005">
        <f>AVERAGE(F1806:F2005)</f>
        <v/>
      </c>
    </row>
    <row r="2006">
      <c r="C2006" s="539" t="n">
        <v>42356</v>
      </c>
      <c r="D2006" t="n">
        <v>102.0400009155273</v>
      </c>
      <c r="E2006" t="n">
        <v>85.27999877929688</v>
      </c>
      <c r="F2006" t="n">
        <v>17.53570175170898</v>
      </c>
      <c r="G2006" t="n">
        <v>72.97237396240234</v>
      </c>
      <c r="H2006">
        <f>AVERAGE(D1807:D2006)</f>
        <v/>
      </c>
      <c r="I2006">
        <f>AVERAGE(E1807:E2006)</f>
        <v/>
      </c>
      <c r="J2006">
        <f>AVERAGE(F1807:F2006)</f>
        <v/>
      </c>
    </row>
    <row r="2007">
      <c r="C2007" s="539" t="n">
        <v>42359</v>
      </c>
      <c r="D2007" t="n">
        <v>103.1500015258789</v>
      </c>
      <c r="E2007" t="n">
        <v>85.27999877929688</v>
      </c>
      <c r="F2007" t="n">
        <v>17.47553062438965</v>
      </c>
      <c r="G2007" t="n">
        <v>72.95643615722656</v>
      </c>
      <c r="H2007">
        <f>AVERAGE(D1808:D2007)</f>
        <v/>
      </c>
      <c r="I2007">
        <f>AVERAGE(E1808:E2007)</f>
        <v/>
      </c>
      <c r="J2007">
        <f>AVERAGE(F1808:F2007)</f>
        <v/>
      </c>
    </row>
    <row r="2008">
      <c r="C2008" s="539" t="n">
        <v>42360</v>
      </c>
      <c r="D2008" t="n">
        <v>102.6100006103516</v>
      </c>
      <c r="E2008" t="n">
        <v>86.16000366210938</v>
      </c>
      <c r="F2008" t="n">
        <v>17.48412704467773</v>
      </c>
      <c r="G2008" t="n">
        <v>72.95643615722656</v>
      </c>
      <c r="H2008">
        <f>AVERAGE(D1809:D2008)</f>
        <v/>
      </c>
      <c r="I2008">
        <f>AVERAGE(E1809:E2008)</f>
        <v/>
      </c>
      <c r="J2008">
        <f>AVERAGE(F1809:F2008)</f>
        <v/>
      </c>
    </row>
    <row r="2009">
      <c r="C2009" s="539" t="n">
        <v>42361</v>
      </c>
      <c r="D2009" t="n">
        <v>102.3099975585938</v>
      </c>
      <c r="E2009" t="n">
        <v>90.08000183105469</v>
      </c>
      <c r="F2009" t="n">
        <v>17.60447120666504</v>
      </c>
      <c r="G2009" t="n">
        <v>72.95643615722656</v>
      </c>
      <c r="H2009">
        <f>AVERAGE(D1810:D2009)</f>
        <v/>
      </c>
      <c r="I2009">
        <f>AVERAGE(E1810:E2009)</f>
        <v/>
      </c>
      <c r="J2009">
        <f>AVERAGE(F1810:F2009)</f>
        <v/>
      </c>
    </row>
    <row r="2010">
      <c r="C2010" s="539" t="n">
        <v>42362</v>
      </c>
      <c r="D2010" t="n">
        <v>103.0500030517578</v>
      </c>
      <c r="E2010" t="n">
        <v>90.40000152587891</v>
      </c>
      <c r="F2010" t="n">
        <v>17.60447120666504</v>
      </c>
      <c r="G2010" t="n">
        <v>72.97237396240234</v>
      </c>
      <c r="H2010">
        <f>AVERAGE(D1811:D2010)</f>
        <v/>
      </c>
      <c r="I2010">
        <f>AVERAGE(E1811:E2010)</f>
        <v/>
      </c>
      <c r="J2010">
        <f>AVERAGE(F1811:F2010)</f>
        <v/>
      </c>
    </row>
    <row r="2011">
      <c r="C2011" s="539" t="n">
        <v>42366</v>
      </c>
      <c r="D2011" t="n">
        <v>102.2699966430664</v>
      </c>
      <c r="E2011" t="n">
        <v>87.44000244140625</v>
      </c>
      <c r="F2011" t="n">
        <v>17.51851081848145</v>
      </c>
      <c r="G2011" t="n">
        <v>72.95643615722656</v>
      </c>
      <c r="H2011">
        <f>AVERAGE(D1812:D2011)</f>
        <v/>
      </c>
      <c r="I2011">
        <f>AVERAGE(E1812:E2011)</f>
        <v/>
      </c>
      <c r="J2011">
        <f>AVERAGE(F1812:F2011)</f>
        <v/>
      </c>
    </row>
    <row r="2012">
      <c r="C2012" s="539" t="n">
        <v>42367</v>
      </c>
      <c r="D2012" t="n">
        <v>102.1999969482422</v>
      </c>
      <c r="E2012" t="n">
        <v>90.08000183105469</v>
      </c>
      <c r="F2012" t="n">
        <v>17.61306571960449</v>
      </c>
      <c r="G2012" t="n">
        <v>72.95643615722656</v>
      </c>
      <c r="H2012">
        <f>AVERAGE(D1813:D2012)</f>
        <v/>
      </c>
      <c r="I2012">
        <f>AVERAGE(E1813:E2012)</f>
        <v/>
      </c>
      <c r="J2012">
        <f>AVERAGE(F1813:F2012)</f>
        <v/>
      </c>
    </row>
    <row r="2013">
      <c r="C2013" s="539" t="n">
        <v>42368</v>
      </c>
      <c r="D2013" t="n">
        <v>101.4199981689453</v>
      </c>
      <c r="E2013" t="n">
        <v>87.44000244140625</v>
      </c>
      <c r="F2013" t="n">
        <v>17.69042778015137</v>
      </c>
      <c r="G2013" t="n">
        <v>72.97237396240234</v>
      </c>
      <c r="H2013">
        <f>AVERAGE(D1814:D2013)</f>
        <v/>
      </c>
      <c r="I2013">
        <f>AVERAGE(E1814:E2013)</f>
        <v/>
      </c>
      <c r="J2013">
        <f>AVERAGE(F1814:F2013)</f>
        <v/>
      </c>
    </row>
    <row r="2014">
      <c r="C2014" s="539" t="n">
        <v>42369</v>
      </c>
      <c r="D2014" t="n">
        <v>101.4599990844727</v>
      </c>
      <c r="E2014" t="n">
        <v>88</v>
      </c>
      <c r="F2014" t="n">
        <v>17.71621704101562</v>
      </c>
      <c r="G2014" t="n">
        <v>72.95643615722656</v>
      </c>
      <c r="H2014">
        <f>AVERAGE(D1815:D2014)</f>
        <v/>
      </c>
      <c r="I2014">
        <f>AVERAGE(E1815:E2014)</f>
        <v/>
      </c>
      <c r="J2014">
        <f>AVERAGE(F1815:F2014)</f>
        <v/>
      </c>
    </row>
    <row r="2015">
      <c r="C2015" s="539" t="n">
        <v>42373</v>
      </c>
      <c r="D2015" t="n">
        <v>102.8899993896484</v>
      </c>
      <c r="E2015" t="n">
        <v>87.83999633789062</v>
      </c>
      <c r="F2015" t="n">
        <v>17.54429626464844</v>
      </c>
      <c r="G2015" t="n">
        <v>72.97237396240234</v>
      </c>
      <c r="H2015">
        <f>AVERAGE(D1816:D2015)</f>
        <v/>
      </c>
      <c r="I2015">
        <f>AVERAGE(E1816:E2015)</f>
        <v/>
      </c>
      <c r="J2015">
        <f>AVERAGE(F1816:F2015)</f>
        <v/>
      </c>
    </row>
    <row r="2016">
      <c r="C2016" s="539" t="n">
        <v>42374</v>
      </c>
      <c r="D2016" t="n">
        <v>103.1800003051758</v>
      </c>
      <c r="E2016" t="n">
        <v>85.27999877929688</v>
      </c>
      <c r="F2016" t="n">
        <v>17.43255233764648</v>
      </c>
      <c r="G2016" t="n">
        <v>72.97237396240234</v>
      </c>
      <c r="H2016">
        <f>AVERAGE(D1817:D2016)</f>
        <v/>
      </c>
      <c r="I2016">
        <f>AVERAGE(E1817:E2016)</f>
        <v/>
      </c>
      <c r="J2016">
        <f>AVERAGE(F1817:F2016)</f>
        <v/>
      </c>
    </row>
    <row r="2017">
      <c r="C2017" s="539" t="n">
        <v>42375</v>
      </c>
      <c r="D2017" t="n">
        <v>104.6699981689453</v>
      </c>
      <c r="E2017" t="n">
        <v>80.87999725341797</v>
      </c>
      <c r="F2017" t="n">
        <v>17.31221008300781</v>
      </c>
      <c r="G2017" t="n">
        <v>72.94042205810547</v>
      </c>
      <c r="H2017">
        <f>AVERAGE(D1818:D2017)</f>
        <v/>
      </c>
      <c r="I2017">
        <f>AVERAGE(E1818:E2017)</f>
        <v/>
      </c>
      <c r="J2017">
        <f>AVERAGE(F1818:F2017)</f>
        <v/>
      </c>
    </row>
    <row r="2018">
      <c r="C2018" s="539" t="n">
        <v>42376</v>
      </c>
      <c r="D2018" t="n">
        <v>106.1500015258789</v>
      </c>
      <c r="E2018" t="n">
        <v>79.19999694824219</v>
      </c>
      <c r="F2018" t="n">
        <v>17.24344062805176</v>
      </c>
      <c r="G2018" t="n">
        <v>72.95643615722656</v>
      </c>
      <c r="H2018">
        <f>AVERAGE(D1819:D2018)</f>
        <v/>
      </c>
      <c r="I2018">
        <f>AVERAGE(E1819:E2018)</f>
        <v/>
      </c>
      <c r="J2018">
        <f>AVERAGE(F1819:F2018)</f>
        <v/>
      </c>
    </row>
    <row r="2019">
      <c r="C2019" s="539" t="n">
        <v>42377</v>
      </c>
      <c r="D2019" t="n">
        <v>105.6800003051758</v>
      </c>
      <c r="E2019" t="n">
        <v>78.40000152587891</v>
      </c>
      <c r="F2019" t="n">
        <v>17.30361175537109</v>
      </c>
      <c r="G2019" t="n">
        <v>72.95643615722656</v>
      </c>
      <c r="H2019">
        <f>AVERAGE(D1820:D2019)</f>
        <v/>
      </c>
      <c r="I2019">
        <f>AVERAGE(E1820:E2019)</f>
        <v/>
      </c>
      <c r="J2019">
        <f>AVERAGE(F1820:F2019)</f>
        <v/>
      </c>
    </row>
    <row r="2020">
      <c r="C2020" s="539" t="n">
        <v>42380</v>
      </c>
      <c r="D2020" t="n">
        <v>104.7399978637695</v>
      </c>
      <c r="E2020" t="n">
        <v>74</v>
      </c>
      <c r="F2020" t="n">
        <v>17.04573440551758</v>
      </c>
      <c r="G2020" t="n">
        <v>72.95643615722656</v>
      </c>
      <c r="H2020">
        <f>AVERAGE(D1821:D2020)</f>
        <v/>
      </c>
      <c r="I2020">
        <f>AVERAGE(E1821:E2020)</f>
        <v/>
      </c>
      <c r="J2020">
        <f>AVERAGE(F1821:F2020)</f>
        <v/>
      </c>
    </row>
    <row r="2021">
      <c r="C2021" s="539" t="n">
        <v>42381</v>
      </c>
      <c r="D2021" t="n">
        <v>104.2099990844727</v>
      </c>
      <c r="E2021" t="n">
        <v>73.36000061035156</v>
      </c>
      <c r="F2021" t="n">
        <v>17.14888763427734</v>
      </c>
      <c r="G2021" t="n">
        <v>72.97237396240234</v>
      </c>
      <c r="H2021">
        <f>AVERAGE(D1822:D2021)</f>
        <v/>
      </c>
      <c r="I2021">
        <f>AVERAGE(E1822:E2021)</f>
        <v/>
      </c>
      <c r="J2021">
        <f>AVERAGE(F1822:F2021)</f>
        <v/>
      </c>
    </row>
    <row r="2022">
      <c r="C2022" s="539" t="n">
        <v>42382</v>
      </c>
      <c r="D2022" t="n">
        <v>104.7200012207031</v>
      </c>
      <c r="E2022" t="n">
        <v>72.72000122070312</v>
      </c>
      <c r="F2022" t="n">
        <v>17.19186401367188</v>
      </c>
      <c r="G2022" t="n">
        <v>72.95643615722656</v>
      </c>
      <c r="H2022">
        <f>AVERAGE(D1823:D2022)</f>
        <v/>
      </c>
      <c r="I2022">
        <f>AVERAGE(E1823:E2022)</f>
        <v/>
      </c>
      <c r="J2022">
        <f>AVERAGE(F1823:F2022)</f>
        <v/>
      </c>
    </row>
    <row r="2023">
      <c r="C2023" s="539" t="n">
        <v>42383</v>
      </c>
      <c r="D2023" t="n">
        <v>103.0199966430664</v>
      </c>
      <c r="E2023" t="n">
        <v>73.83999633789062</v>
      </c>
      <c r="F2023" t="n">
        <v>17.18326759338379</v>
      </c>
      <c r="G2023" t="n">
        <v>72.94042205810547</v>
      </c>
      <c r="H2023">
        <f>AVERAGE(D1824:D2023)</f>
        <v/>
      </c>
      <c r="I2023">
        <f>AVERAGE(E1824:E2023)</f>
        <v/>
      </c>
      <c r="J2023">
        <f>AVERAGE(F1824:F2023)</f>
        <v/>
      </c>
    </row>
    <row r="2024">
      <c r="C2024" s="539" t="n">
        <v>42384</v>
      </c>
      <c r="D2024" t="n">
        <v>104.0800018310547</v>
      </c>
      <c r="E2024" t="n">
        <v>70.31999969482422</v>
      </c>
      <c r="F2024" t="n">
        <v>17.16607666015625</v>
      </c>
      <c r="G2024" t="n">
        <v>72.94042205810547</v>
      </c>
      <c r="H2024">
        <f>AVERAGE(D1825:D2024)</f>
        <v/>
      </c>
      <c r="I2024">
        <f>AVERAGE(E1825:E2024)</f>
        <v/>
      </c>
      <c r="J2024">
        <f>AVERAGE(F1825:F2024)</f>
        <v/>
      </c>
    </row>
    <row r="2025">
      <c r="C2025" s="539" t="n">
        <v>42388</v>
      </c>
      <c r="D2025" t="n">
        <v>103.9800033569336</v>
      </c>
      <c r="E2025" t="n">
        <v>67.91999816894531</v>
      </c>
      <c r="F2025" t="n">
        <v>17.25203514099121</v>
      </c>
      <c r="G2025" t="n">
        <v>72.95643615722656</v>
      </c>
      <c r="H2025">
        <f>AVERAGE(D1826:D2025)</f>
        <v/>
      </c>
      <c r="I2025">
        <f>AVERAGE(E1826:E2025)</f>
        <v/>
      </c>
      <c r="J2025">
        <f>AVERAGE(F1826:F2025)</f>
        <v/>
      </c>
    </row>
    <row r="2026">
      <c r="C2026" s="539" t="n">
        <v>42389</v>
      </c>
      <c r="D2026" t="n">
        <v>105.370002746582</v>
      </c>
      <c r="E2026" t="n">
        <v>65.91999816894531</v>
      </c>
      <c r="F2026" t="n">
        <v>17.01135063171387</v>
      </c>
      <c r="G2026" t="n">
        <v>72.95643615722656</v>
      </c>
      <c r="H2026">
        <f>AVERAGE(D1827:D2026)</f>
        <v/>
      </c>
      <c r="I2026">
        <f>AVERAGE(E1827:E2026)</f>
        <v/>
      </c>
      <c r="J2026">
        <f>AVERAGE(F1827:F2026)</f>
        <v/>
      </c>
    </row>
    <row r="2027">
      <c r="C2027" s="539" t="n">
        <v>42390</v>
      </c>
      <c r="D2027" t="n">
        <v>105.4899978637695</v>
      </c>
      <c r="E2027" t="n">
        <v>68.48000335693359</v>
      </c>
      <c r="F2027" t="n">
        <v>17.20046043395996</v>
      </c>
      <c r="G2027" t="n">
        <v>72.97237396240234</v>
      </c>
      <c r="H2027">
        <f>AVERAGE(D1828:D2027)</f>
        <v/>
      </c>
      <c r="I2027">
        <f>AVERAGE(E1828:E2027)</f>
        <v/>
      </c>
      <c r="J2027">
        <f>AVERAGE(F1828:F2027)</f>
        <v/>
      </c>
    </row>
    <row r="2028">
      <c r="C2028" s="539" t="n">
        <v>42391</v>
      </c>
      <c r="D2028" t="n">
        <v>105</v>
      </c>
      <c r="E2028" t="n">
        <v>74.16000366210938</v>
      </c>
      <c r="F2028" t="n">
        <v>17.30361175537109</v>
      </c>
      <c r="G2028" t="n">
        <v>72.94042205810547</v>
      </c>
      <c r="H2028">
        <f>AVERAGE(D1829:D2028)</f>
        <v/>
      </c>
      <c r="I2028">
        <f>AVERAGE(E1829:E2028)</f>
        <v/>
      </c>
      <c r="J2028">
        <f>AVERAGE(F1829:F2028)</f>
        <v/>
      </c>
    </row>
    <row r="2029">
      <c r="C2029" s="539" t="n">
        <v>42394</v>
      </c>
      <c r="D2029" t="n">
        <v>106.0800018310547</v>
      </c>
      <c r="E2029" t="n">
        <v>68.31999969482422</v>
      </c>
      <c r="F2029" t="n">
        <v>17.2778263092041</v>
      </c>
      <c r="G2029" t="n">
        <v>72.95643615722656</v>
      </c>
      <c r="H2029">
        <f>AVERAGE(D1830:D2029)</f>
        <v/>
      </c>
      <c r="I2029">
        <f>AVERAGE(E1830:E2029)</f>
        <v/>
      </c>
      <c r="J2029">
        <f>AVERAGE(F1830:F2029)</f>
        <v/>
      </c>
    </row>
    <row r="2030">
      <c r="C2030" s="539" t="n">
        <v>42395</v>
      </c>
      <c r="D2030" t="n">
        <v>107.2900009155273</v>
      </c>
      <c r="E2030" t="n">
        <v>71.76000213623047</v>
      </c>
      <c r="F2030" t="n">
        <v>17.30361175537109</v>
      </c>
      <c r="G2030" t="n">
        <v>72.94042205810547</v>
      </c>
      <c r="H2030">
        <f>AVERAGE(D1831:D2030)</f>
        <v/>
      </c>
      <c r="I2030">
        <f>AVERAGE(E1831:E2030)</f>
        <v/>
      </c>
      <c r="J2030">
        <f>AVERAGE(F1831:F2030)</f>
        <v/>
      </c>
    </row>
    <row r="2031">
      <c r="C2031" s="539" t="n">
        <v>42396</v>
      </c>
      <c r="D2031" t="n">
        <v>107.6900024414062</v>
      </c>
      <c r="E2031" t="n">
        <v>73.44000244140625</v>
      </c>
      <c r="F2031" t="n">
        <v>17.2778263092041</v>
      </c>
      <c r="G2031" t="n">
        <v>72.95643615722656</v>
      </c>
      <c r="H2031">
        <f>AVERAGE(D1832:D2031)</f>
        <v/>
      </c>
      <c r="I2031">
        <f>AVERAGE(E1832:E2031)</f>
        <v/>
      </c>
      <c r="J2031">
        <f>AVERAGE(F1832:F2031)</f>
        <v/>
      </c>
    </row>
    <row r="2032">
      <c r="C2032" s="539" t="n">
        <v>42397</v>
      </c>
      <c r="D2032" t="n">
        <v>106.5400009155273</v>
      </c>
      <c r="E2032" t="n">
        <v>77.59999847412109</v>
      </c>
      <c r="F2032" t="n">
        <v>17.21765518188477</v>
      </c>
      <c r="G2032" t="n">
        <v>72.95643615722656</v>
      </c>
      <c r="H2032">
        <f>AVERAGE(D1833:D2032)</f>
        <v/>
      </c>
      <c r="I2032">
        <f>AVERAGE(E1833:E2032)</f>
        <v/>
      </c>
      <c r="J2032">
        <f>AVERAGE(F1833:F2032)</f>
        <v/>
      </c>
    </row>
    <row r="2033">
      <c r="C2033" s="539" t="n">
        <v>42398</v>
      </c>
      <c r="D2033" t="n">
        <v>106.9499969482422</v>
      </c>
      <c r="E2033" t="n">
        <v>77.19999694824219</v>
      </c>
      <c r="F2033" t="n">
        <v>17.18326759338379</v>
      </c>
      <c r="G2033" t="n">
        <v>72.97237396240234</v>
      </c>
      <c r="H2033">
        <f>AVERAGE(D1834:D2033)</f>
        <v/>
      </c>
      <c r="I2033">
        <f>AVERAGE(E1834:E2033)</f>
        <v/>
      </c>
      <c r="J2033">
        <f>AVERAGE(F1834:F2033)</f>
        <v/>
      </c>
    </row>
    <row r="2034">
      <c r="C2034" s="539" t="n">
        <v>42401</v>
      </c>
      <c r="D2034" t="n">
        <v>108.0500030517578</v>
      </c>
      <c r="E2034" t="n">
        <v>72.16000366210938</v>
      </c>
      <c r="F2034" t="n">
        <v>17.26063346862793</v>
      </c>
      <c r="G2034" t="n">
        <v>72.94042205810547</v>
      </c>
      <c r="H2034">
        <f>AVERAGE(D1835:D2034)</f>
        <v/>
      </c>
      <c r="I2034">
        <f>AVERAGE(E1835:E2034)</f>
        <v/>
      </c>
      <c r="J2034">
        <f>AVERAGE(F1835:F2034)</f>
        <v/>
      </c>
    </row>
    <row r="2035">
      <c r="C2035" s="539" t="n">
        <v>42402</v>
      </c>
      <c r="D2035" t="n">
        <v>108.0899963378906</v>
      </c>
      <c r="E2035" t="n">
        <v>68.55999755859375</v>
      </c>
      <c r="F2035" t="n">
        <v>17.23484230041504</v>
      </c>
      <c r="G2035" t="n">
        <v>72.94042205810547</v>
      </c>
      <c r="H2035">
        <f>AVERAGE(D1836:D2035)</f>
        <v/>
      </c>
      <c r="I2035">
        <f>AVERAGE(E1836:E2035)</f>
        <v/>
      </c>
      <c r="J2035">
        <f>AVERAGE(F1836:F2035)</f>
        <v/>
      </c>
    </row>
    <row r="2036">
      <c r="C2036" s="539" t="n">
        <v>42403</v>
      </c>
      <c r="D2036" t="n">
        <v>109.25</v>
      </c>
      <c r="E2036" t="n">
        <v>74.72000122070312</v>
      </c>
      <c r="F2036" t="n">
        <v>17.30361175537109</v>
      </c>
      <c r="G2036" t="n">
        <v>72.95643615722656</v>
      </c>
      <c r="H2036">
        <f>AVERAGE(D1837:D2036)</f>
        <v/>
      </c>
      <c r="I2036">
        <f>AVERAGE(E1837:E2036)</f>
        <v/>
      </c>
      <c r="J2036">
        <f>AVERAGE(F1837:F2036)</f>
        <v/>
      </c>
    </row>
    <row r="2037">
      <c r="C2037" s="539" t="n">
        <v>42404</v>
      </c>
      <c r="D2037" t="n">
        <v>110.5699996948242</v>
      </c>
      <c r="E2037" t="n">
        <v>72.95999908447266</v>
      </c>
      <c r="F2037" t="n">
        <v>17.21765518188477</v>
      </c>
      <c r="G2037" t="n">
        <v>72.97237396240234</v>
      </c>
      <c r="H2037">
        <f>AVERAGE(D1838:D2037)</f>
        <v/>
      </c>
      <c r="I2037">
        <f>AVERAGE(E1838:E2037)</f>
        <v/>
      </c>
      <c r="J2037">
        <f>AVERAGE(F1838:F2037)</f>
        <v/>
      </c>
    </row>
    <row r="2038">
      <c r="C2038" s="539" t="n">
        <v>42405</v>
      </c>
      <c r="D2038" t="n">
        <v>112.3199996948242</v>
      </c>
      <c r="E2038" t="n">
        <v>71.27999877929688</v>
      </c>
      <c r="F2038" t="n">
        <v>17.12309837341309</v>
      </c>
      <c r="G2038" t="n">
        <v>72.97237396240234</v>
      </c>
      <c r="H2038">
        <f>AVERAGE(D1839:D2038)</f>
        <v/>
      </c>
      <c r="I2038">
        <f>AVERAGE(E1839:E2038)</f>
        <v/>
      </c>
      <c r="J2038">
        <f>AVERAGE(F1839:F2038)</f>
        <v/>
      </c>
    </row>
    <row r="2039">
      <c r="C2039" s="539" t="n">
        <v>42408</v>
      </c>
      <c r="D2039" t="n">
        <v>113.8300018310547</v>
      </c>
      <c r="E2039" t="n">
        <v>69.12000274658203</v>
      </c>
      <c r="F2039" t="n">
        <v>17.00275611877441</v>
      </c>
      <c r="G2039" t="n">
        <v>72.95643615722656</v>
      </c>
      <c r="H2039">
        <f>AVERAGE(D1840:D2039)</f>
        <v/>
      </c>
      <c r="I2039">
        <f>AVERAGE(E1840:E2039)</f>
        <v/>
      </c>
      <c r="J2039">
        <f>AVERAGE(F1840:F2039)</f>
        <v/>
      </c>
    </row>
    <row r="2040">
      <c r="C2040" s="539" t="n">
        <v>42409</v>
      </c>
      <c r="D2040" t="n">
        <v>113.5800018310547</v>
      </c>
      <c r="E2040" t="n">
        <v>65.44000244140625</v>
      </c>
      <c r="F2040" t="n">
        <v>16.94258117675781</v>
      </c>
      <c r="G2040" t="n">
        <v>72.97237396240234</v>
      </c>
      <c r="H2040">
        <f>AVERAGE(D1841:D2040)</f>
        <v/>
      </c>
      <c r="I2040">
        <f>AVERAGE(E1841:E2040)</f>
        <v/>
      </c>
      <c r="J2040">
        <f>AVERAGE(F1841:F2040)</f>
        <v/>
      </c>
    </row>
    <row r="2041">
      <c r="C2041" s="539" t="n">
        <v>42410</v>
      </c>
      <c r="D2041" t="n">
        <v>114.4599990844727</v>
      </c>
      <c r="E2041" t="n">
        <v>63.68000030517578</v>
      </c>
      <c r="F2041" t="n">
        <v>16.95117950439453</v>
      </c>
      <c r="G2041" t="n">
        <v>72.95643615722656</v>
      </c>
      <c r="H2041">
        <f>AVERAGE(D1842:D2041)</f>
        <v/>
      </c>
      <c r="I2041">
        <f>AVERAGE(E1842:E2041)</f>
        <v/>
      </c>
      <c r="J2041">
        <f>AVERAGE(F1842:F2041)</f>
        <v/>
      </c>
    </row>
    <row r="2042">
      <c r="C2042" s="539" t="n">
        <v>42411</v>
      </c>
      <c r="D2042" t="n">
        <v>119.0599975585938</v>
      </c>
      <c r="E2042" t="n">
        <v>63.91999816894531</v>
      </c>
      <c r="F2042" t="n">
        <v>16.87381553649902</v>
      </c>
      <c r="G2042" t="n">
        <v>72.97237396240234</v>
      </c>
      <c r="H2042">
        <f>AVERAGE(D1843:D2042)</f>
        <v/>
      </c>
      <c r="I2042">
        <f>AVERAGE(E1843:E2042)</f>
        <v/>
      </c>
      <c r="J2042">
        <f>AVERAGE(F1843:F2042)</f>
        <v/>
      </c>
    </row>
    <row r="2043">
      <c r="C2043" s="539" t="n">
        <v>42412</v>
      </c>
      <c r="D2043" t="n">
        <v>118.3600006103516</v>
      </c>
      <c r="E2043" t="n">
        <v>66.63999938964844</v>
      </c>
      <c r="F2043" t="n">
        <v>16.93398857116699</v>
      </c>
      <c r="G2043" t="n">
        <v>72.95643615722656</v>
      </c>
      <c r="H2043">
        <f>AVERAGE(D1844:D2043)</f>
        <v/>
      </c>
      <c r="I2043">
        <f>AVERAGE(E1844:E2043)</f>
        <v/>
      </c>
      <c r="J2043">
        <f>AVERAGE(F1844:F2043)</f>
        <v/>
      </c>
    </row>
    <row r="2044">
      <c r="C2044" s="539" t="n">
        <v>42416</v>
      </c>
      <c r="D2044" t="n">
        <v>114.7699966430664</v>
      </c>
      <c r="E2044" t="n">
        <v>66.48000335693359</v>
      </c>
      <c r="F2044" t="n">
        <v>17.07152366638184</v>
      </c>
      <c r="G2044" t="n">
        <v>72.95643615722656</v>
      </c>
      <c r="H2044">
        <f>AVERAGE(D1845:D2044)</f>
        <v/>
      </c>
      <c r="I2044">
        <f>AVERAGE(E1845:E2044)</f>
        <v/>
      </c>
      <c r="J2044">
        <f>AVERAGE(F1845:F2044)</f>
        <v/>
      </c>
    </row>
    <row r="2045">
      <c r="C2045" s="539" t="n">
        <v>42417</v>
      </c>
      <c r="D2045" t="n">
        <v>115.4800033569336</v>
      </c>
      <c r="E2045" t="n">
        <v>70.23999786376953</v>
      </c>
      <c r="F2045" t="n">
        <v>17.11450004577637</v>
      </c>
      <c r="G2045" t="n">
        <v>72.95643615722656</v>
      </c>
      <c r="H2045">
        <f>AVERAGE(D1846:D2045)</f>
        <v/>
      </c>
      <c r="I2045">
        <f>AVERAGE(E1846:E2045)</f>
        <v/>
      </c>
      <c r="J2045">
        <f>AVERAGE(F1846:F2045)</f>
        <v/>
      </c>
    </row>
    <row r="2046">
      <c r="C2046" s="539" t="n">
        <v>42418</v>
      </c>
      <c r="D2046" t="n">
        <v>118.2900009155273</v>
      </c>
      <c r="E2046" t="n">
        <v>69.27999877929688</v>
      </c>
      <c r="F2046" t="n">
        <v>17.07152366638184</v>
      </c>
      <c r="G2046" t="n">
        <v>72.97237396240234</v>
      </c>
      <c r="H2046">
        <f>AVERAGE(D1847:D2046)</f>
        <v/>
      </c>
      <c r="I2046">
        <f>AVERAGE(E1847:E2046)</f>
        <v/>
      </c>
      <c r="J2046">
        <f>AVERAGE(F1847:F2046)</f>
        <v/>
      </c>
    </row>
    <row r="2047">
      <c r="C2047" s="539" t="n">
        <v>42419</v>
      </c>
      <c r="D2047" t="n">
        <v>117.5800018310547</v>
      </c>
      <c r="E2047" t="n">
        <v>68.40000152587891</v>
      </c>
      <c r="F2047" t="n">
        <v>17.00275611877441</v>
      </c>
      <c r="G2047" t="n">
        <v>72.97237396240234</v>
      </c>
      <c r="H2047">
        <f>AVERAGE(D1848:D2047)</f>
        <v/>
      </c>
      <c r="I2047">
        <f>AVERAGE(E1848:E2047)</f>
        <v/>
      </c>
      <c r="J2047">
        <f>AVERAGE(F1848:F2047)</f>
        <v/>
      </c>
    </row>
    <row r="2048">
      <c r="C2048" s="539" t="n">
        <v>42422</v>
      </c>
      <c r="D2048" t="n">
        <v>115.4899978637695</v>
      </c>
      <c r="E2048" t="n">
        <v>71.27999877929688</v>
      </c>
      <c r="F2048" t="n">
        <v>17.14028930664062</v>
      </c>
      <c r="G2048" t="n">
        <v>72.97237396240234</v>
      </c>
      <c r="H2048">
        <f>AVERAGE(D1849:D2048)</f>
        <v/>
      </c>
      <c r="I2048">
        <f>AVERAGE(E1849:E2048)</f>
        <v/>
      </c>
      <c r="J2048">
        <f>AVERAGE(F1849:F2048)</f>
        <v/>
      </c>
    </row>
    <row r="2049">
      <c r="C2049" s="539" t="n">
        <v>42423</v>
      </c>
      <c r="D2049" t="n">
        <v>117.2200012207031</v>
      </c>
      <c r="E2049" t="n">
        <v>67.83999633789062</v>
      </c>
      <c r="F2049" t="n">
        <v>17.18326759338379</v>
      </c>
      <c r="G2049" t="n">
        <v>72.95643615722656</v>
      </c>
      <c r="H2049">
        <f>AVERAGE(D1850:D2049)</f>
        <v/>
      </c>
      <c r="I2049">
        <f>AVERAGE(E1850:E2049)</f>
        <v/>
      </c>
      <c r="J2049">
        <f>AVERAGE(F1850:F2049)</f>
        <v/>
      </c>
    </row>
    <row r="2050">
      <c r="C2050" s="539" t="n">
        <v>42424</v>
      </c>
      <c r="D2050" t="n">
        <v>117.6100006103516</v>
      </c>
      <c r="E2050" t="n">
        <v>68.72000122070312</v>
      </c>
      <c r="F2050" t="n">
        <v>17.22624969482422</v>
      </c>
      <c r="G2050" t="n">
        <v>72.97237396240234</v>
      </c>
      <c r="H2050">
        <f>AVERAGE(D1851:D2050)</f>
        <v/>
      </c>
      <c r="I2050">
        <f>AVERAGE(E1851:E2050)</f>
        <v/>
      </c>
      <c r="J2050">
        <f>AVERAGE(F1851:F2050)</f>
        <v/>
      </c>
    </row>
    <row r="2051">
      <c r="C2051" s="539" t="n">
        <v>42425</v>
      </c>
      <c r="D2051" t="n">
        <v>117.9199981689453</v>
      </c>
      <c r="E2051" t="n">
        <v>70.40000152587891</v>
      </c>
      <c r="F2051" t="n">
        <v>17.20046043395996</v>
      </c>
      <c r="G2051" t="n">
        <v>72.95643615722656</v>
      </c>
      <c r="H2051">
        <f>AVERAGE(D1852:D2051)</f>
        <v/>
      </c>
      <c r="I2051">
        <f>AVERAGE(E1852:E2051)</f>
        <v/>
      </c>
      <c r="J2051">
        <f>AVERAGE(F1852:F2051)</f>
        <v/>
      </c>
    </row>
    <row r="2052">
      <c r="C2052" s="539" t="n">
        <v>42426</v>
      </c>
      <c r="D2052" t="n">
        <v>117.1100006103516</v>
      </c>
      <c r="E2052" t="n">
        <v>70.23999786376953</v>
      </c>
      <c r="F2052" t="n">
        <v>17.16607666015625</v>
      </c>
      <c r="G2052" t="n">
        <v>72.95643615722656</v>
      </c>
      <c r="H2052">
        <f>AVERAGE(D1853:D2052)</f>
        <v/>
      </c>
      <c r="I2052">
        <f>AVERAGE(E1853:E2052)</f>
        <v/>
      </c>
      <c r="J2052">
        <f>AVERAGE(F1853:F2052)</f>
        <v/>
      </c>
    </row>
    <row r="2053">
      <c r="C2053" s="539" t="n">
        <v>42429</v>
      </c>
      <c r="D2053" t="n">
        <v>118.6399993896484</v>
      </c>
      <c r="E2053" t="n">
        <v>72</v>
      </c>
      <c r="F2053" t="n">
        <v>17.16607666015625</v>
      </c>
      <c r="G2053" t="n">
        <v>72.97237396240234</v>
      </c>
      <c r="H2053">
        <f>AVERAGE(D1854:D2053)</f>
        <v/>
      </c>
      <c r="I2053">
        <f>AVERAGE(E1854:E2053)</f>
        <v/>
      </c>
      <c r="J2053">
        <f>AVERAGE(F1854:F2053)</f>
        <v/>
      </c>
    </row>
    <row r="2054">
      <c r="C2054" s="539" t="n">
        <v>42430</v>
      </c>
      <c r="D2054" t="n">
        <v>117.7699966430664</v>
      </c>
      <c r="E2054" t="n">
        <v>73.19999694824219</v>
      </c>
      <c r="F2054" t="n">
        <v>17.12309837341309</v>
      </c>
      <c r="G2054" t="n">
        <v>72.97237396240234</v>
      </c>
      <c r="H2054">
        <f>AVERAGE(D1855:D2054)</f>
        <v/>
      </c>
      <c r="I2054">
        <f>AVERAGE(E1855:E2054)</f>
        <v/>
      </c>
      <c r="J2054">
        <f>AVERAGE(F1855:F2054)</f>
        <v/>
      </c>
    </row>
    <row r="2055">
      <c r="C2055" s="539" t="n">
        <v>42431</v>
      </c>
      <c r="D2055" t="n">
        <v>118.6800003051758</v>
      </c>
      <c r="E2055" t="n">
        <v>74.40000152587891</v>
      </c>
      <c r="F2055" t="n">
        <v>17.17467308044434</v>
      </c>
      <c r="G2055" t="n">
        <v>72.95643615722656</v>
      </c>
      <c r="H2055">
        <f>AVERAGE(D1856:D2055)</f>
        <v/>
      </c>
      <c r="I2055">
        <f>AVERAGE(E1856:E2055)</f>
        <v/>
      </c>
      <c r="J2055">
        <f>AVERAGE(F1856:F2055)</f>
        <v/>
      </c>
    </row>
    <row r="2056">
      <c r="C2056" s="539" t="n">
        <v>42432</v>
      </c>
      <c r="D2056" t="n">
        <v>120.7300033569336</v>
      </c>
      <c r="E2056" t="n">
        <v>74</v>
      </c>
      <c r="F2056" t="n">
        <v>17.30361175537109</v>
      </c>
      <c r="G2056" t="n">
        <v>72.97237396240234</v>
      </c>
      <c r="H2056">
        <f>AVERAGE(D1857:D2056)</f>
        <v/>
      </c>
      <c r="I2056">
        <f>AVERAGE(E1857:E2056)</f>
        <v/>
      </c>
      <c r="J2056">
        <f>AVERAGE(F1857:F2056)</f>
        <v/>
      </c>
    </row>
    <row r="2057">
      <c r="C2057" s="539" t="n">
        <v>42433</v>
      </c>
      <c r="D2057" t="n">
        <v>120.5400009155273</v>
      </c>
      <c r="E2057" t="n">
        <v>77.19999694824219</v>
      </c>
      <c r="F2057" t="n">
        <v>17.50131797790527</v>
      </c>
      <c r="G2057" t="n">
        <v>72.97237396240234</v>
      </c>
      <c r="H2057">
        <f>AVERAGE(D1858:D2057)</f>
        <v/>
      </c>
      <c r="I2057">
        <f>AVERAGE(E1858:E2057)</f>
        <v/>
      </c>
      <c r="J2057">
        <f>AVERAGE(F1858:F2057)</f>
        <v/>
      </c>
    </row>
    <row r="2058">
      <c r="C2058" s="539" t="n">
        <v>42436</v>
      </c>
      <c r="D2058" t="n">
        <v>121.1399993896484</v>
      </c>
      <c r="E2058" t="n">
        <v>80.87999725341797</v>
      </c>
      <c r="F2058" t="n">
        <v>17.49272155761719</v>
      </c>
      <c r="G2058" t="n">
        <v>72.97237396240234</v>
      </c>
      <c r="H2058">
        <f>AVERAGE(D1859:D2058)</f>
        <v/>
      </c>
      <c r="I2058">
        <f>AVERAGE(E1859:E2058)</f>
        <v/>
      </c>
      <c r="J2058">
        <f>AVERAGE(F1859:F2058)</f>
        <v/>
      </c>
    </row>
    <row r="2059">
      <c r="C2059" s="539" t="n">
        <v>42437</v>
      </c>
      <c r="D2059" t="n">
        <v>120.5800018310547</v>
      </c>
      <c r="E2059" t="n">
        <v>77.19999694824219</v>
      </c>
      <c r="F2059" t="n">
        <v>17.54429626464844</v>
      </c>
      <c r="G2059" t="n">
        <v>72.95643615722656</v>
      </c>
      <c r="H2059">
        <f>AVERAGE(D1860:D2059)</f>
        <v/>
      </c>
      <c r="I2059">
        <f>AVERAGE(E1860:E2059)</f>
        <v/>
      </c>
      <c r="J2059">
        <f>AVERAGE(F1860:F2059)</f>
        <v/>
      </c>
    </row>
    <row r="2060">
      <c r="C2060" s="539" t="n">
        <v>42438</v>
      </c>
      <c r="D2060" t="n">
        <v>119.5800018310547</v>
      </c>
      <c r="E2060" t="n">
        <v>81.19999694824219</v>
      </c>
      <c r="F2060" t="n">
        <v>17.56149101257324</v>
      </c>
      <c r="G2060" t="n">
        <v>72.97237396240234</v>
      </c>
      <c r="H2060">
        <f>AVERAGE(D1861:D2060)</f>
        <v/>
      </c>
      <c r="I2060">
        <f>AVERAGE(E1861:E2060)</f>
        <v/>
      </c>
      <c r="J2060">
        <f>AVERAGE(F1861:F2060)</f>
        <v/>
      </c>
    </row>
    <row r="2061">
      <c r="C2061" s="539" t="n">
        <v>42439</v>
      </c>
      <c r="D2061" t="n">
        <v>121.5</v>
      </c>
      <c r="E2061" t="n">
        <v>80.31999969482422</v>
      </c>
      <c r="F2061" t="n">
        <v>17.72481346130371</v>
      </c>
      <c r="G2061" t="n">
        <v>72.97237396240234</v>
      </c>
      <c r="H2061">
        <f>AVERAGE(D1862:D2061)</f>
        <v/>
      </c>
      <c r="I2061">
        <f>AVERAGE(E1862:E2061)</f>
        <v/>
      </c>
      <c r="J2061">
        <f>AVERAGE(F1862:F2061)</f>
        <v/>
      </c>
    </row>
    <row r="2062">
      <c r="C2062" s="539" t="n">
        <v>42440</v>
      </c>
      <c r="D2062" t="n">
        <v>119.4100036621094</v>
      </c>
      <c r="E2062" t="n">
        <v>81.51999664306641</v>
      </c>
      <c r="F2062" t="n">
        <v>17.8967342376709</v>
      </c>
      <c r="G2062" t="n">
        <v>72.95643615722656</v>
      </c>
      <c r="H2062">
        <f>AVERAGE(D1863:D2062)</f>
        <v/>
      </c>
      <c r="I2062">
        <f>AVERAGE(E1863:E2062)</f>
        <v/>
      </c>
      <c r="J2062">
        <f>AVERAGE(F1863:F2062)</f>
        <v/>
      </c>
    </row>
    <row r="2063">
      <c r="C2063" s="539" t="n">
        <v>42443</v>
      </c>
      <c r="D2063" t="n">
        <v>117.870002746582</v>
      </c>
      <c r="E2063" t="n">
        <v>79.04000091552734</v>
      </c>
      <c r="F2063" t="n">
        <v>17.9998836517334</v>
      </c>
      <c r="G2063" t="n">
        <v>72.95643615722656</v>
      </c>
      <c r="H2063">
        <f>AVERAGE(D1864:D2063)</f>
        <v/>
      </c>
      <c r="I2063">
        <f>AVERAGE(E1864:E2063)</f>
        <v/>
      </c>
      <c r="J2063">
        <f>AVERAGE(F1864:F2063)</f>
        <v/>
      </c>
    </row>
    <row r="2064">
      <c r="C2064" s="539" t="n">
        <v>42444</v>
      </c>
      <c r="D2064" t="n">
        <v>117.9599990844727</v>
      </c>
      <c r="E2064" t="n">
        <v>77.59999847412109</v>
      </c>
      <c r="F2064" t="n">
        <v>17.98268890380859</v>
      </c>
      <c r="G2064" t="n">
        <v>72.95643615722656</v>
      </c>
      <c r="H2064">
        <f>AVERAGE(D1865:D2064)</f>
        <v/>
      </c>
      <c r="I2064">
        <f>AVERAGE(E1865:E2064)</f>
        <v/>
      </c>
      <c r="J2064">
        <f>AVERAGE(F1865:F2064)</f>
        <v/>
      </c>
    </row>
    <row r="2065">
      <c r="C2065" s="539" t="n">
        <v>42445</v>
      </c>
      <c r="D2065" t="n">
        <v>120.5899963378906</v>
      </c>
      <c r="E2065" t="n">
        <v>81.44000244140625</v>
      </c>
      <c r="F2065" t="n">
        <v>18.06865119934082</v>
      </c>
      <c r="G2065" t="n">
        <v>72.97237396240234</v>
      </c>
      <c r="H2065">
        <f>AVERAGE(D1866:D2065)</f>
        <v/>
      </c>
      <c r="I2065">
        <f>AVERAGE(E1866:E2065)</f>
        <v/>
      </c>
      <c r="J2065">
        <f>AVERAGE(F1866:F2065)</f>
        <v/>
      </c>
    </row>
    <row r="2066">
      <c r="C2066" s="539" t="n">
        <v>42446</v>
      </c>
      <c r="D2066" t="n">
        <v>120.129997253418</v>
      </c>
      <c r="E2066" t="n">
        <v>84.40000152587891</v>
      </c>
      <c r="F2066" t="n">
        <v>18.18039703369141</v>
      </c>
      <c r="G2066" t="n">
        <v>72.95643615722656</v>
      </c>
      <c r="H2066">
        <f>AVERAGE(D1867:D2066)</f>
        <v/>
      </c>
      <c r="I2066">
        <f>AVERAGE(E1867:E2066)</f>
        <v/>
      </c>
      <c r="J2066">
        <f>AVERAGE(F1867:F2066)</f>
        <v/>
      </c>
    </row>
    <row r="2067">
      <c r="C2067" s="539" t="n">
        <v>42447</v>
      </c>
      <c r="D2067" t="n">
        <v>119.8000030517578</v>
      </c>
      <c r="E2067" t="n">
        <v>83.83999633789062</v>
      </c>
      <c r="F2067" t="n">
        <v>18.12882232666016</v>
      </c>
      <c r="G2067" t="n">
        <v>72.95643615722656</v>
      </c>
      <c r="H2067">
        <f>AVERAGE(D1868:D2067)</f>
        <v/>
      </c>
      <c r="I2067">
        <f>AVERAGE(E1868:E2067)</f>
        <v/>
      </c>
      <c r="J2067">
        <f>AVERAGE(F1868:F2067)</f>
        <v/>
      </c>
    </row>
    <row r="2068">
      <c r="C2068" s="539" t="n">
        <v>42450</v>
      </c>
      <c r="D2068" t="n">
        <v>118.9599990844727</v>
      </c>
      <c r="E2068" t="n">
        <v>84.72000122070312</v>
      </c>
      <c r="F2068" t="n">
        <v>18.09443855285645</v>
      </c>
      <c r="G2068" t="n">
        <v>72.97237396240234</v>
      </c>
      <c r="H2068">
        <f>AVERAGE(D1869:D2068)</f>
        <v/>
      </c>
      <c r="I2068">
        <f>AVERAGE(E1869:E2068)</f>
        <v/>
      </c>
      <c r="J2068">
        <f>AVERAGE(F1869:F2068)</f>
        <v/>
      </c>
    </row>
    <row r="2069">
      <c r="C2069" s="539" t="n">
        <v>42451</v>
      </c>
      <c r="D2069" t="n">
        <v>119.3099975585938</v>
      </c>
      <c r="E2069" t="n">
        <v>84.31999969482422</v>
      </c>
      <c r="F2069" t="n">
        <v>18.18899536132812</v>
      </c>
      <c r="G2069" t="n">
        <v>72.97237396240234</v>
      </c>
      <c r="H2069">
        <f>AVERAGE(D1870:D2069)</f>
        <v/>
      </c>
      <c r="I2069">
        <f>AVERAGE(E1870:E2069)</f>
        <v/>
      </c>
      <c r="J2069">
        <f>AVERAGE(F1870:F2069)</f>
        <v/>
      </c>
    </row>
    <row r="2070">
      <c r="C2070" s="539" t="n">
        <v>42452</v>
      </c>
      <c r="D2070" t="n">
        <v>116.6100006103516</v>
      </c>
      <c r="E2070" t="n">
        <v>80.87999725341797</v>
      </c>
      <c r="F2070" t="n">
        <v>18.03426551818848</v>
      </c>
      <c r="G2070" t="n">
        <v>72.95643615722656</v>
      </c>
      <c r="H2070">
        <f>AVERAGE(D1871:D2070)</f>
        <v/>
      </c>
      <c r="I2070">
        <f>AVERAGE(E1871:E2070)</f>
        <v/>
      </c>
      <c r="J2070">
        <f>AVERAGE(F1871:F2070)</f>
        <v/>
      </c>
    </row>
    <row r="2071">
      <c r="C2071" s="539" t="n">
        <v>42453</v>
      </c>
      <c r="D2071" t="n">
        <v>116.3300018310547</v>
      </c>
      <c r="E2071" t="n">
        <v>80.48000335693359</v>
      </c>
      <c r="F2071" t="n">
        <v>17.87094497680664</v>
      </c>
      <c r="G2071" t="n">
        <v>72.97237396240234</v>
      </c>
      <c r="H2071">
        <f>AVERAGE(D1872:D2071)</f>
        <v/>
      </c>
      <c r="I2071">
        <f>AVERAGE(E1872:E2071)</f>
        <v/>
      </c>
      <c r="J2071">
        <f>AVERAGE(F1872:F2071)</f>
        <v/>
      </c>
    </row>
    <row r="2072">
      <c r="C2072" s="539" t="n">
        <v>42457</v>
      </c>
      <c r="D2072" t="n">
        <v>116.5999984741211</v>
      </c>
      <c r="E2072" t="n">
        <v>80.08000183105469</v>
      </c>
      <c r="F2072" t="n">
        <v>17.94830703735352</v>
      </c>
      <c r="G2072" t="n">
        <v>72.97237396240234</v>
      </c>
      <c r="H2072">
        <f>AVERAGE(D1873:D2072)</f>
        <v/>
      </c>
      <c r="I2072">
        <f>AVERAGE(E1873:E2072)</f>
        <v/>
      </c>
      <c r="J2072">
        <f>AVERAGE(F1873:F2072)</f>
        <v/>
      </c>
    </row>
    <row r="2073">
      <c r="C2073" s="539" t="n">
        <v>42458</v>
      </c>
      <c r="D2073" t="n">
        <v>118.7600021362305</v>
      </c>
      <c r="E2073" t="n">
        <v>78.40000152587891</v>
      </c>
      <c r="F2073" t="n">
        <v>17.99128723144531</v>
      </c>
      <c r="G2073" t="n">
        <v>72.97237396240234</v>
      </c>
      <c r="H2073">
        <f>AVERAGE(D1874:D2073)</f>
        <v/>
      </c>
      <c r="I2073">
        <f>AVERAGE(E1874:E2073)</f>
        <v/>
      </c>
      <c r="J2073">
        <f>AVERAGE(F1874:F2073)</f>
        <v/>
      </c>
    </row>
    <row r="2074">
      <c r="C2074" s="539" t="n">
        <v>42459</v>
      </c>
      <c r="D2074" t="n">
        <v>117.0999984741211</v>
      </c>
      <c r="E2074" t="n">
        <v>77.83999633789062</v>
      </c>
      <c r="F2074" t="n">
        <v>17.78498458862305</v>
      </c>
      <c r="G2074" t="n">
        <v>72.97237396240234</v>
      </c>
      <c r="H2074">
        <f>AVERAGE(D1875:D2074)</f>
        <v/>
      </c>
      <c r="I2074">
        <f>AVERAGE(E1875:E2074)</f>
        <v/>
      </c>
      <c r="J2074">
        <f>AVERAGE(F1875:F2074)</f>
        <v/>
      </c>
    </row>
    <row r="2075">
      <c r="C2075" s="539" t="n">
        <v>42460</v>
      </c>
      <c r="D2075" t="n">
        <v>117.6399993896484</v>
      </c>
      <c r="E2075" t="n">
        <v>77.59999847412109</v>
      </c>
      <c r="F2075" t="n">
        <v>17.70762252807617</v>
      </c>
      <c r="G2075" t="n">
        <v>72.97237396240234</v>
      </c>
      <c r="H2075">
        <f>AVERAGE(D1876:D2075)</f>
        <v/>
      </c>
      <c r="I2075">
        <f>AVERAGE(E1876:E2075)</f>
        <v/>
      </c>
      <c r="J2075">
        <f>AVERAGE(F1876:F2075)</f>
        <v/>
      </c>
    </row>
    <row r="2076">
      <c r="C2076" s="539" t="n">
        <v>42461</v>
      </c>
      <c r="D2076" t="n">
        <v>116.9300003051758</v>
      </c>
      <c r="E2076" t="n">
        <v>74.63999938964844</v>
      </c>
      <c r="F2076" t="n">
        <v>17.61306571960449</v>
      </c>
      <c r="G2076" t="n">
        <v>72.97237396240234</v>
      </c>
      <c r="H2076">
        <f>AVERAGE(D1877:D2076)</f>
        <v/>
      </c>
      <c r="I2076">
        <f>AVERAGE(E1877:E2076)</f>
        <v/>
      </c>
      <c r="J2076">
        <f>AVERAGE(F1877:F2076)</f>
        <v/>
      </c>
    </row>
    <row r="2077">
      <c r="C2077" s="539" t="n">
        <v>42464</v>
      </c>
      <c r="D2077" t="n">
        <v>116.1500015258789</v>
      </c>
      <c r="E2077" t="n">
        <v>72.63999938964844</v>
      </c>
      <c r="F2077" t="n">
        <v>17.4239559173584</v>
      </c>
      <c r="G2077" t="n">
        <v>72.97237396240234</v>
      </c>
      <c r="H2077">
        <f>AVERAGE(D1878:D2077)</f>
        <v/>
      </c>
      <c r="I2077">
        <f>AVERAGE(E1878:E2077)</f>
        <v/>
      </c>
      <c r="J2077">
        <f>AVERAGE(F1878:F2077)</f>
        <v/>
      </c>
    </row>
    <row r="2078">
      <c r="C2078" s="539" t="n">
        <v>42465</v>
      </c>
      <c r="D2078" t="n">
        <v>117.6600036621094</v>
      </c>
      <c r="E2078" t="n">
        <v>73.04000091552734</v>
      </c>
      <c r="F2078" t="n">
        <v>17.32939910888672</v>
      </c>
      <c r="G2078" t="n">
        <v>72.98836517333984</v>
      </c>
      <c r="H2078">
        <f>AVERAGE(D1879:D2078)</f>
        <v/>
      </c>
      <c r="I2078">
        <f>AVERAGE(E1879:E2078)</f>
        <v/>
      </c>
      <c r="J2078">
        <f>AVERAGE(F1879:F2078)</f>
        <v/>
      </c>
    </row>
    <row r="2079">
      <c r="C2079" s="539" t="n">
        <v>42466</v>
      </c>
      <c r="D2079" t="n">
        <v>116.9400024414062</v>
      </c>
      <c r="E2079" t="n">
        <v>76.80000305175781</v>
      </c>
      <c r="F2079" t="n">
        <v>17.34659004211426</v>
      </c>
      <c r="G2079" t="n">
        <v>72.98836517333984</v>
      </c>
      <c r="H2079">
        <f>AVERAGE(D1880:D2079)</f>
        <v/>
      </c>
      <c r="I2079">
        <f>AVERAGE(E1880:E2079)</f>
        <v/>
      </c>
      <c r="J2079">
        <f>AVERAGE(F1880:F2079)</f>
        <v/>
      </c>
    </row>
    <row r="2080">
      <c r="C2080" s="539" t="n">
        <v>42467</v>
      </c>
      <c r="D2080" t="n">
        <v>118.6100006103516</v>
      </c>
      <c r="E2080" t="n">
        <v>76.08000183105469</v>
      </c>
      <c r="F2080" t="n">
        <v>17.24344062805176</v>
      </c>
      <c r="G2080" t="n">
        <v>72.97237396240234</v>
      </c>
      <c r="H2080">
        <f>AVERAGE(D1881:D2080)</f>
        <v/>
      </c>
      <c r="I2080">
        <f>AVERAGE(E1881:E2080)</f>
        <v/>
      </c>
      <c r="J2080">
        <f>AVERAGE(F1881:F2080)</f>
        <v/>
      </c>
    </row>
    <row r="2081">
      <c r="C2081" s="539" t="n">
        <v>42468</v>
      </c>
      <c r="D2081" t="n">
        <v>118.4300003051758</v>
      </c>
      <c r="E2081" t="n">
        <v>80.23999786376953</v>
      </c>
      <c r="F2081" t="n">
        <v>17.44114875793457</v>
      </c>
      <c r="G2081" t="n">
        <v>72.98836517333984</v>
      </c>
      <c r="H2081">
        <f>AVERAGE(D1882:D2081)</f>
        <v/>
      </c>
      <c r="I2081">
        <f>AVERAGE(E1882:E2081)</f>
        <v/>
      </c>
      <c r="J2081">
        <f>AVERAGE(F1882:F2081)</f>
        <v/>
      </c>
    </row>
    <row r="2082">
      <c r="C2082" s="539" t="n">
        <v>42471</v>
      </c>
      <c r="D2082" t="n">
        <v>120.0299987792969</v>
      </c>
      <c r="E2082" t="n">
        <v>82.23999786376953</v>
      </c>
      <c r="F2082" t="n">
        <v>17.31221008300781</v>
      </c>
      <c r="G2082" t="n">
        <v>72.97237396240234</v>
      </c>
      <c r="H2082">
        <f>AVERAGE(D1883:D2082)</f>
        <v/>
      </c>
      <c r="I2082">
        <f>AVERAGE(E1883:E2082)</f>
        <v/>
      </c>
      <c r="J2082">
        <f>AVERAGE(F1883:F2082)</f>
        <v/>
      </c>
    </row>
    <row r="2083">
      <c r="C2083" s="539" t="n">
        <v>42472</v>
      </c>
      <c r="D2083" t="n">
        <v>120.0500030517578</v>
      </c>
      <c r="E2083" t="n">
        <v>85.12000274658203</v>
      </c>
      <c r="F2083" t="n">
        <v>17.40676307678223</v>
      </c>
      <c r="G2083" t="n">
        <v>72.97237396240234</v>
      </c>
      <c r="H2083">
        <f>AVERAGE(D1884:D2083)</f>
        <v/>
      </c>
      <c r="I2083">
        <f>AVERAGE(E1884:E2083)</f>
        <v/>
      </c>
      <c r="J2083">
        <f>AVERAGE(F1884:F2083)</f>
        <v/>
      </c>
    </row>
    <row r="2084">
      <c r="C2084" s="539" t="n">
        <v>42473</v>
      </c>
      <c r="D2084" t="n">
        <v>118.7699966430664</v>
      </c>
      <c r="E2084" t="n">
        <v>84.08000183105469</v>
      </c>
      <c r="F2084" t="n">
        <v>17.47553062438965</v>
      </c>
      <c r="G2084" t="n">
        <v>72.98836517333984</v>
      </c>
      <c r="H2084">
        <f>AVERAGE(D1885:D2084)</f>
        <v/>
      </c>
      <c r="I2084">
        <f>AVERAGE(E1885:E2084)</f>
        <v/>
      </c>
      <c r="J2084">
        <f>AVERAGE(F1885:F2084)</f>
        <v/>
      </c>
    </row>
    <row r="2085">
      <c r="C2085" s="539" t="n">
        <v>42474</v>
      </c>
      <c r="D2085" t="n">
        <v>117.1100006103516</v>
      </c>
      <c r="E2085" t="n">
        <v>83.83999633789062</v>
      </c>
      <c r="F2085" t="n">
        <v>17.4669361114502</v>
      </c>
      <c r="G2085" t="n">
        <v>72.98836517333984</v>
      </c>
      <c r="H2085">
        <f>AVERAGE(D1886:D2085)</f>
        <v/>
      </c>
      <c r="I2085">
        <f>AVERAGE(E1886:E2085)</f>
        <v/>
      </c>
      <c r="J2085">
        <f>AVERAGE(F1886:F2085)</f>
        <v/>
      </c>
    </row>
    <row r="2086">
      <c r="C2086" s="539" t="n">
        <v>42475</v>
      </c>
      <c r="D2086" t="n">
        <v>117.9199981689453</v>
      </c>
      <c r="E2086" t="n">
        <v>82</v>
      </c>
      <c r="F2086" t="n">
        <v>17.65604591369629</v>
      </c>
      <c r="G2086" t="n">
        <v>72.97237396240234</v>
      </c>
      <c r="H2086">
        <f>AVERAGE(D1887:D2086)</f>
        <v/>
      </c>
      <c r="I2086">
        <f>AVERAGE(E1887:E2086)</f>
        <v/>
      </c>
      <c r="J2086">
        <f>AVERAGE(F1887:F2086)</f>
        <v/>
      </c>
    </row>
    <row r="2087">
      <c r="C2087" s="539" t="n">
        <v>42478</v>
      </c>
      <c r="D2087" t="n">
        <v>117.7399978637695</v>
      </c>
      <c r="E2087" t="n">
        <v>81.36000061035156</v>
      </c>
      <c r="F2087" t="n">
        <v>17.75919723510742</v>
      </c>
      <c r="G2087" t="n">
        <v>72.98836517333984</v>
      </c>
      <c r="H2087">
        <f>AVERAGE(D1888:D2087)</f>
        <v/>
      </c>
      <c r="I2087">
        <f>AVERAGE(E1888:E2087)</f>
        <v/>
      </c>
      <c r="J2087">
        <f>AVERAGE(F1888:F2087)</f>
        <v/>
      </c>
    </row>
    <row r="2088">
      <c r="C2088" s="539" t="n">
        <v>42479</v>
      </c>
      <c r="D2088" t="n">
        <v>119.5800018310547</v>
      </c>
      <c r="E2088" t="n">
        <v>83.51999664306641</v>
      </c>
      <c r="F2088" t="n">
        <v>17.98268890380859</v>
      </c>
      <c r="G2088" t="n">
        <v>72.98836517333984</v>
      </c>
      <c r="H2088">
        <f>AVERAGE(D1889:D2088)</f>
        <v/>
      </c>
      <c r="I2088">
        <f>AVERAGE(E1889:E2088)</f>
        <v/>
      </c>
      <c r="J2088">
        <f>AVERAGE(F1889:F2088)</f>
        <v/>
      </c>
    </row>
    <row r="2089">
      <c r="C2089" s="539" t="n">
        <v>42480</v>
      </c>
      <c r="D2089" t="n">
        <v>118.9700012207031</v>
      </c>
      <c r="E2089" t="n">
        <v>86.08000183105469</v>
      </c>
      <c r="F2089" t="n">
        <v>18.19758987426758</v>
      </c>
      <c r="G2089" t="n">
        <v>72.98836517333984</v>
      </c>
      <c r="H2089">
        <f>AVERAGE(D1890:D2089)</f>
        <v/>
      </c>
      <c r="I2089">
        <f>AVERAGE(E1890:E2089)</f>
        <v/>
      </c>
      <c r="J2089">
        <f>AVERAGE(F1890:F2089)</f>
        <v/>
      </c>
    </row>
    <row r="2090">
      <c r="C2090" s="539" t="n">
        <v>42481</v>
      </c>
      <c r="D2090" t="n">
        <v>119.4199981689453</v>
      </c>
      <c r="E2090" t="n">
        <v>85.76000213623047</v>
      </c>
      <c r="F2090" t="n">
        <v>18.03426551818848</v>
      </c>
      <c r="G2090" t="n">
        <v>72.97237396240234</v>
      </c>
      <c r="H2090">
        <f>AVERAGE(D1891:D2090)</f>
        <v/>
      </c>
      <c r="I2090">
        <f>AVERAGE(E1891:E2090)</f>
        <v/>
      </c>
      <c r="J2090">
        <f>AVERAGE(F1891:F2090)</f>
        <v/>
      </c>
    </row>
    <row r="2091">
      <c r="C2091" s="539" t="n">
        <v>42482</v>
      </c>
      <c r="D2091" t="n">
        <v>117.8899993896484</v>
      </c>
      <c r="E2091" t="n">
        <v>86.08000183105469</v>
      </c>
      <c r="F2091" t="n">
        <v>17.66464042663574</v>
      </c>
      <c r="G2091" t="n">
        <v>72.98836517333984</v>
      </c>
      <c r="H2091">
        <f>AVERAGE(D1892:D2091)</f>
        <v/>
      </c>
      <c r="I2091">
        <f>AVERAGE(E1892:E2091)</f>
        <v/>
      </c>
      <c r="J2091">
        <f>AVERAGE(F1892:F2091)</f>
        <v/>
      </c>
    </row>
    <row r="2092">
      <c r="C2092" s="539" t="n">
        <v>42485</v>
      </c>
      <c r="D2092" t="n">
        <v>118.2300033569336</v>
      </c>
      <c r="E2092" t="n">
        <v>84.40000152587891</v>
      </c>
      <c r="F2092" t="n">
        <v>17.8967342376709</v>
      </c>
      <c r="G2092" t="n">
        <v>72.97237396240234</v>
      </c>
      <c r="H2092">
        <f>AVERAGE(D1893:D2092)</f>
        <v/>
      </c>
      <c r="I2092">
        <f>AVERAGE(E1893:E2092)</f>
        <v/>
      </c>
      <c r="J2092">
        <f>AVERAGE(F1893:F2092)</f>
        <v/>
      </c>
    </row>
    <row r="2093">
      <c r="C2093" s="539" t="n">
        <v>42486</v>
      </c>
      <c r="D2093" t="n">
        <v>118.6999969482422</v>
      </c>
      <c r="E2093" t="n">
        <v>86.48000335693359</v>
      </c>
      <c r="F2093" t="n">
        <v>18.1030330657959</v>
      </c>
      <c r="G2093" t="n">
        <v>72.98836517333984</v>
      </c>
      <c r="H2093">
        <f>AVERAGE(D1894:D2093)</f>
        <v/>
      </c>
      <c r="I2093">
        <f>AVERAGE(E1894:E2093)</f>
        <v/>
      </c>
      <c r="J2093">
        <f>AVERAGE(F1894:F2093)</f>
        <v/>
      </c>
    </row>
    <row r="2094">
      <c r="C2094" s="539" t="n">
        <v>42487</v>
      </c>
      <c r="D2094" t="n">
        <v>119.0400009155273</v>
      </c>
      <c r="E2094" t="n">
        <v>89.12000274658203</v>
      </c>
      <c r="F2094" t="n">
        <v>17.97409439086914</v>
      </c>
      <c r="G2094" t="n">
        <v>72.98836517333984</v>
      </c>
      <c r="H2094">
        <f>AVERAGE(D1895:D2094)</f>
        <v/>
      </c>
      <c r="I2094">
        <f>AVERAGE(E1895:E2094)</f>
        <v/>
      </c>
      <c r="J2094">
        <f>AVERAGE(F1895:F2094)</f>
        <v/>
      </c>
    </row>
    <row r="2095">
      <c r="C2095" s="539" t="n">
        <v>42488</v>
      </c>
      <c r="D2095" t="n">
        <v>121.2900009155273</v>
      </c>
      <c r="E2095" t="n">
        <v>89.76000213623047</v>
      </c>
      <c r="F2095" t="n">
        <v>17.93971252441406</v>
      </c>
      <c r="G2095" t="n">
        <v>72.98836517333984</v>
      </c>
      <c r="H2095">
        <f>AVERAGE(D1896:D2095)</f>
        <v/>
      </c>
      <c r="I2095">
        <f>AVERAGE(E1896:E2095)</f>
        <v/>
      </c>
      <c r="J2095">
        <f>AVERAGE(F1896:F2095)</f>
        <v/>
      </c>
    </row>
    <row r="2096">
      <c r="C2096" s="539" t="n">
        <v>42489</v>
      </c>
      <c r="D2096" t="n">
        <v>123.6500015258789</v>
      </c>
      <c r="E2096" t="n">
        <v>90.40000152587891</v>
      </c>
      <c r="F2096" t="n">
        <v>18.12022590637207</v>
      </c>
      <c r="G2096" t="n">
        <v>73.00429534912109</v>
      </c>
      <c r="H2096">
        <f>AVERAGE(D1897:D2096)</f>
        <v/>
      </c>
      <c r="I2096">
        <f>AVERAGE(E1897:E2096)</f>
        <v/>
      </c>
      <c r="J2096">
        <f>AVERAGE(F1897:F2096)</f>
        <v/>
      </c>
    </row>
    <row r="2097">
      <c r="C2097" s="539" t="n">
        <v>42492</v>
      </c>
      <c r="D2097" t="n">
        <v>123.2399978637695</v>
      </c>
      <c r="E2097" t="n">
        <v>88.40000152587891</v>
      </c>
      <c r="F2097" t="n">
        <v>18.13741874694824</v>
      </c>
      <c r="G2097" t="n">
        <v>72.98836517333984</v>
      </c>
      <c r="H2097">
        <f>AVERAGE(D1898:D2097)</f>
        <v/>
      </c>
      <c r="I2097">
        <f>AVERAGE(E1898:E2097)</f>
        <v/>
      </c>
      <c r="J2097">
        <f>AVERAGE(F1898:F2097)</f>
        <v/>
      </c>
    </row>
    <row r="2098">
      <c r="C2098" s="539" t="n">
        <v>42493</v>
      </c>
      <c r="D2098" t="n">
        <v>122.9599990844727</v>
      </c>
      <c r="E2098" t="n">
        <v>85.91999816894531</v>
      </c>
      <c r="F2098" t="n">
        <v>17.94830703735352</v>
      </c>
      <c r="G2098" t="n">
        <v>73.00429534912109</v>
      </c>
      <c r="H2098">
        <f>AVERAGE(D1899:D2098)</f>
        <v/>
      </c>
      <c r="I2098">
        <f>AVERAGE(E1899:E2098)</f>
        <v/>
      </c>
      <c r="J2098">
        <f>AVERAGE(F1899:F2098)</f>
        <v/>
      </c>
    </row>
    <row r="2099">
      <c r="C2099" s="539" t="n">
        <v>42494</v>
      </c>
      <c r="D2099" t="n">
        <v>122.2099990844727</v>
      </c>
      <c r="E2099" t="n">
        <v>86.31999969482422</v>
      </c>
      <c r="F2099" t="n">
        <v>18.02566909790039</v>
      </c>
      <c r="G2099" t="n">
        <v>72.98836517333984</v>
      </c>
      <c r="H2099">
        <f>AVERAGE(D1900:D2099)</f>
        <v/>
      </c>
      <c r="I2099">
        <f>AVERAGE(E1900:E2099)</f>
        <v/>
      </c>
      <c r="J2099">
        <f>AVERAGE(F1900:F2099)</f>
        <v/>
      </c>
    </row>
    <row r="2100">
      <c r="C2100" s="539" t="n">
        <v>42495</v>
      </c>
      <c r="D2100" t="n">
        <v>122.0699996948242</v>
      </c>
      <c r="E2100" t="n">
        <v>87.19999694824219</v>
      </c>
      <c r="F2100" t="n">
        <v>17.85375213623047</v>
      </c>
      <c r="G2100" t="n">
        <v>72.98836517333984</v>
      </c>
      <c r="H2100">
        <f>AVERAGE(D1901:D2100)</f>
        <v/>
      </c>
      <c r="I2100">
        <f>AVERAGE(E1901:E2100)</f>
        <v/>
      </c>
      <c r="J2100">
        <f>AVERAGE(F1901:F2100)</f>
        <v/>
      </c>
    </row>
    <row r="2101">
      <c r="C2101" s="539" t="n">
        <v>42496</v>
      </c>
      <c r="D2101" t="n">
        <v>123.1800003051758</v>
      </c>
      <c r="E2101" t="n">
        <v>87.68000030517578</v>
      </c>
      <c r="F2101" t="n">
        <v>17.94830703735352</v>
      </c>
      <c r="G2101" t="n">
        <v>73.00429534912109</v>
      </c>
      <c r="H2101">
        <f>AVERAGE(D1902:D2101)</f>
        <v/>
      </c>
      <c r="I2101">
        <f>AVERAGE(E1902:E2101)</f>
        <v/>
      </c>
      <c r="J2101">
        <f>AVERAGE(F1902:F2101)</f>
        <v/>
      </c>
    </row>
    <row r="2102">
      <c r="C2102" s="539" t="n">
        <v>42499</v>
      </c>
      <c r="D2102" t="n">
        <v>120.6500015258789</v>
      </c>
      <c r="E2102" t="n">
        <v>85.44000244140625</v>
      </c>
      <c r="F2102" t="n">
        <v>17.93971252441406</v>
      </c>
      <c r="G2102" t="n">
        <v>73.00429534912109</v>
      </c>
      <c r="H2102">
        <f>AVERAGE(D1903:D2102)</f>
        <v/>
      </c>
      <c r="I2102">
        <f>AVERAGE(E1903:E2102)</f>
        <v/>
      </c>
      <c r="J2102">
        <f>AVERAGE(F1903:F2102)</f>
        <v/>
      </c>
    </row>
    <row r="2103">
      <c r="C2103" s="539" t="n">
        <v>42500</v>
      </c>
      <c r="D2103" t="n">
        <v>120.9800033569336</v>
      </c>
      <c r="E2103" t="n">
        <v>87.91999816894531</v>
      </c>
      <c r="F2103" t="n">
        <v>18.21478080749512</v>
      </c>
      <c r="G2103" t="n">
        <v>73.00429534912109</v>
      </c>
      <c r="H2103">
        <f>AVERAGE(D1904:D2103)</f>
        <v/>
      </c>
      <c r="I2103">
        <f>AVERAGE(E1904:E2103)</f>
        <v/>
      </c>
      <c r="J2103">
        <f>AVERAGE(F1904:F2103)</f>
        <v/>
      </c>
    </row>
    <row r="2104">
      <c r="C2104" s="539" t="n">
        <v>42501</v>
      </c>
      <c r="D2104" t="n">
        <v>122.120002746582</v>
      </c>
      <c r="E2104" t="n">
        <v>90.72000122070312</v>
      </c>
      <c r="F2104" t="n">
        <v>18.29214477539062</v>
      </c>
      <c r="G2104" t="n">
        <v>72.97237396240234</v>
      </c>
      <c r="H2104">
        <f>AVERAGE(D1905:D2104)</f>
        <v/>
      </c>
      <c r="I2104">
        <f>AVERAGE(E1905:E2104)</f>
        <v/>
      </c>
      <c r="J2104">
        <f>AVERAGE(F1905:F2104)</f>
        <v/>
      </c>
    </row>
    <row r="2105">
      <c r="C2105" s="539" t="n">
        <v>42502</v>
      </c>
      <c r="D2105" t="n">
        <v>121.1600036621094</v>
      </c>
      <c r="E2105" t="n">
        <v>91.59999847412109</v>
      </c>
      <c r="F2105" t="n">
        <v>18.36950874328613</v>
      </c>
      <c r="G2105" t="n">
        <v>72.97237396240234</v>
      </c>
      <c r="H2105">
        <f>AVERAGE(D1906:D2105)</f>
        <v/>
      </c>
      <c r="I2105">
        <f>AVERAGE(E1906:E2105)</f>
        <v/>
      </c>
      <c r="J2105">
        <f>AVERAGE(F1906:F2105)</f>
        <v/>
      </c>
    </row>
    <row r="2106">
      <c r="C2106" s="539" t="n">
        <v>42503</v>
      </c>
      <c r="D2106" t="n">
        <v>121.7099990844727</v>
      </c>
      <c r="E2106" t="n">
        <v>90.95999908447266</v>
      </c>
      <c r="F2106" t="n">
        <v>18.28354835510254</v>
      </c>
      <c r="G2106" t="n">
        <v>72.97237396240234</v>
      </c>
      <c r="H2106">
        <f>AVERAGE(D1907:D2106)</f>
        <v/>
      </c>
      <c r="I2106">
        <f>AVERAGE(E1907:E2106)</f>
        <v/>
      </c>
      <c r="J2106">
        <f>AVERAGE(F1907:F2106)</f>
        <v/>
      </c>
    </row>
    <row r="2107">
      <c r="C2107" s="539" t="n">
        <v>42506</v>
      </c>
      <c r="D2107" t="n">
        <v>121.8000030517578</v>
      </c>
      <c r="E2107" t="n">
        <v>94.08000183105469</v>
      </c>
      <c r="F2107" t="n">
        <v>18.39529609680176</v>
      </c>
      <c r="G2107" t="n">
        <v>72.97237396240234</v>
      </c>
      <c r="H2107">
        <f>AVERAGE(D1908:D2107)</f>
        <v/>
      </c>
      <c r="I2107">
        <f>AVERAGE(E1908:E2107)</f>
        <v/>
      </c>
      <c r="J2107">
        <f>AVERAGE(F1908:F2107)</f>
        <v/>
      </c>
    </row>
    <row r="2108">
      <c r="C2108" s="539" t="n">
        <v>42507</v>
      </c>
      <c r="D2108" t="n">
        <v>122.2200012207031</v>
      </c>
      <c r="E2108" t="n">
        <v>95.36000061035156</v>
      </c>
      <c r="F2108" t="n">
        <v>18.45546722412109</v>
      </c>
      <c r="G2108" t="n">
        <v>72.97237396240234</v>
      </c>
      <c r="H2108">
        <f>AVERAGE(D1909:D2108)</f>
        <v/>
      </c>
      <c r="I2108">
        <f>AVERAGE(E1909:E2108)</f>
        <v/>
      </c>
      <c r="J2108">
        <f>AVERAGE(F1909:F2108)</f>
        <v/>
      </c>
    </row>
    <row r="2109">
      <c r="C2109" s="539" t="n">
        <v>42508</v>
      </c>
      <c r="D2109" t="n">
        <v>120.0999984741211</v>
      </c>
      <c r="E2109" t="n">
        <v>93.59999847412109</v>
      </c>
      <c r="F2109" t="n">
        <v>18.36950874328613</v>
      </c>
      <c r="G2109" t="n">
        <v>72.98836517333984</v>
      </c>
      <c r="H2109">
        <f>AVERAGE(D1910:D2109)</f>
        <v/>
      </c>
      <c r="I2109">
        <f>AVERAGE(E1910:E2109)</f>
        <v/>
      </c>
      <c r="J2109">
        <f>AVERAGE(F1910:F2109)</f>
        <v/>
      </c>
    </row>
    <row r="2110">
      <c r="C2110" s="539" t="n">
        <v>42509</v>
      </c>
      <c r="D2110" t="n">
        <v>119.870002746582</v>
      </c>
      <c r="E2110" t="n">
        <v>94.31999969482422</v>
      </c>
      <c r="F2110" t="n">
        <v>18.09443855285645</v>
      </c>
      <c r="G2110" t="n">
        <v>72.97237396240234</v>
      </c>
      <c r="H2110">
        <f>AVERAGE(D1911:D2110)</f>
        <v/>
      </c>
      <c r="I2110">
        <f>AVERAGE(E1911:E2110)</f>
        <v/>
      </c>
      <c r="J2110">
        <f>AVERAGE(F1911:F2110)</f>
        <v/>
      </c>
    </row>
    <row r="2111">
      <c r="C2111" s="539" t="n">
        <v>42510</v>
      </c>
      <c r="D2111" t="n">
        <v>119.7099990844727</v>
      </c>
      <c r="E2111" t="n">
        <v>94</v>
      </c>
      <c r="F2111" t="n">
        <v>18.15460968017578</v>
      </c>
      <c r="G2111" t="n">
        <v>72.98836517333984</v>
      </c>
      <c r="H2111">
        <f>AVERAGE(D1912:D2111)</f>
        <v/>
      </c>
      <c r="I2111">
        <f>AVERAGE(E1912:E2111)</f>
        <v/>
      </c>
      <c r="J2111">
        <f>AVERAGE(F1912:F2111)</f>
        <v/>
      </c>
    </row>
    <row r="2112">
      <c r="C2112" s="539" t="n">
        <v>42513</v>
      </c>
      <c r="D2112" t="n">
        <v>119.370002746582</v>
      </c>
      <c r="E2112" t="n">
        <v>93.27999877929688</v>
      </c>
      <c r="F2112" t="n">
        <v>17.93971252441406</v>
      </c>
      <c r="G2112" t="n">
        <v>73.00429534912109</v>
      </c>
      <c r="H2112">
        <f>AVERAGE(D1913:D2112)</f>
        <v/>
      </c>
      <c r="I2112">
        <f>AVERAGE(E1913:E2112)</f>
        <v/>
      </c>
      <c r="J2112">
        <f>AVERAGE(F1913:F2112)</f>
        <v/>
      </c>
    </row>
    <row r="2113">
      <c r="C2113" s="539" t="n">
        <v>42514</v>
      </c>
      <c r="D2113" t="n">
        <v>117.3000030517578</v>
      </c>
      <c r="E2113" t="n">
        <v>94.55999755859375</v>
      </c>
      <c r="F2113" t="n">
        <v>17.90532684326172</v>
      </c>
      <c r="G2113" t="n">
        <v>72.97237396240234</v>
      </c>
      <c r="H2113">
        <f>AVERAGE(D1914:D2113)</f>
        <v/>
      </c>
      <c r="I2113">
        <f>AVERAGE(E1914:E2113)</f>
        <v/>
      </c>
      <c r="J2113">
        <f>AVERAGE(F1914:F2113)</f>
        <v/>
      </c>
    </row>
    <row r="2114">
      <c r="C2114" s="539" t="n">
        <v>42515</v>
      </c>
      <c r="D2114" t="n">
        <v>116.9800033569336</v>
      </c>
      <c r="E2114" t="n">
        <v>96.23999786376953</v>
      </c>
      <c r="F2114" t="n">
        <v>18.11162948608398</v>
      </c>
      <c r="G2114" t="n">
        <v>72.98836517333984</v>
      </c>
      <c r="H2114">
        <f>AVERAGE(D1915:D2114)</f>
        <v/>
      </c>
      <c r="I2114">
        <f>AVERAGE(E1915:E2114)</f>
        <v/>
      </c>
      <c r="J2114">
        <f>AVERAGE(F1915:F2114)</f>
        <v/>
      </c>
    </row>
    <row r="2115">
      <c r="C2115" s="539" t="n">
        <v>42516</v>
      </c>
      <c r="D2115" t="n">
        <v>116.5800018310547</v>
      </c>
      <c r="E2115" t="n">
        <v>95.59999847412109</v>
      </c>
      <c r="F2115" t="n">
        <v>18.30933570861816</v>
      </c>
      <c r="G2115" t="n">
        <v>72.98836517333984</v>
      </c>
      <c r="H2115">
        <f>AVERAGE(D1916:D2115)</f>
        <v/>
      </c>
      <c r="I2115">
        <f>AVERAGE(E1916:E2115)</f>
        <v/>
      </c>
      <c r="J2115">
        <f>AVERAGE(F1916:F2115)</f>
        <v/>
      </c>
    </row>
    <row r="2116">
      <c r="C2116" s="539" t="n">
        <v>42517</v>
      </c>
      <c r="D2116" t="n">
        <v>115.620002746582</v>
      </c>
      <c r="E2116" t="n">
        <v>95.83999633789062</v>
      </c>
      <c r="F2116" t="n">
        <v>18.40388870239258</v>
      </c>
      <c r="G2116" t="n">
        <v>73.00429534912109</v>
      </c>
      <c r="H2116">
        <f>AVERAGE(D1917:D2116)</f>
        <v/>
      </c>
      <c r="I2116">
        <f>AVERAGE(E1917:E2116)</f>
        <v/>
      </c>
      <c r="J2116">
        <f>AVERAGE(F1917:F2116)</f>
        <v/>
      </c>
    </row>
    <row r="2117">
      <c r="C2117" s="539" t="n">
        <v>42521</v>
      </c>
      <c r="D2117" t="n">
        <v>116.0599975585938</v>
      </c>
      <c r="E2117" t="n">
        <v>94.95999908447266</v>
      </c>
      <c r="F2117" t="n">
        <v>18.31793212890625</v>
      </c>
      <c r="G2117" t="n">
        <v>73.00429534912109</v>
      </c>
      <c r="H2117">
        <f>AVERAGE(D1918:D2117)</f>
        <v/>
      </c>
      <c r="I2117">
        <f>AVERAGE(E1918:E2117)</f>
        <v/>
      </c>
      <c r="J2117">
        <f>AVERAGE(F1918:F2117)</f>
        <v/>
      </c>
    </row>
    <row r="2118">
      <c r="C2118" s="539" t="n">
        <v>42522</v>
      </c>
      <c r="D2118" t="n">
        <v>115.9400024414062</v>
      </c>
      <c r="E2118" t="n">
        <v>95.44000244140625</v>
      </c>
      <c r="F2118" t="n">
        <v>18.44687271118164</v>
      </c>
      <c r="G2118" t="n">
        <v>73.00429534912109</v>
      </c>
      <c r="H2118">
        <f>AVERAGE(D1919:D2118)</f>
        <v/>
      </c>
      <c r="I2118">
        <f>AVERAGE(E1919:E2118)</f>
        <v/>
      </c>
      <c r="J2118">
        <f>AVERAGE(F1919:F2118)</f>
        <v/>
      </c>
    </row>
    <row r="2119">
      <c r="C2119" s="539" t="n">
        <v>42523</v>
      </c>
      <c r="D2119" t="n">
        <v>115.6699981689453</v>
      </c>
      <c r="E2119" t="n">
        <v>94.87999725341797</v>
      </c>
      <c r="F2119" t="n">
        <v>18.6789608001709</v>
      </c>
      <c r="G2119" t="n">
        <v>72.98836517333984</v>
      </c>
      <c r="H2119">
        <f>AVERAGE(D1920:D2119)</f>
        <v/>
      </c>
      <c r="I2119">
        <f>AVERAGE(E1920:E2119)</f>
        <v/>
      </c>
      <c r="J2119">
        <f>AVERAGE(F1920:F2119)</f>
        <v/>
      </c>
    </row>
    <row r="2120">
      <c r="C2120" s="539" t="n">
        <v>42524</v>
      </c>
      <c r="D2120" t="n">
        <v>118.879997253418</v>
      </c>
      <c r="E2120" t="n">
        <v>94.55999755859375</v>
      </c>
      <c r="F2120" t="n">
        <v>18.97122383117676</v>
      </c>
      <c r="G2120" t="n">
        <v>73.00429534912109</v>
      </c>
      <c r="H2120">
        <f>AVERAGE(D1921:D2120)</f>
        <v/>
      </c>
      <c r="I2120">
        <f>AVERAGE(E1921:E2120)</f>
        <v/>
      </c>
      <c r="J2120">
        <f>AVERAGE(F1921:F2120)</f>
        <v/>
      </c>
    </row>
    <row r="2121">
      <c r="C2121" s="539" t="n">
        <v>42527</v>
      </c>
      <c r="D2121" t="n">
        <v>118.9199981689453</v>
      </c>
      <c r="E2121" t="n">
        <v>96.31999969482422</v>
      </c>
      <c r="F2121" t="n">
        <v>19.19471549987793</v>
      </c>
      <c r="G2121" t="n">
        <v>73.02029418945312</v>
      </c>
      <c r="H2121">
        <f>AVERAGE(D1922:D2121)</f>
        <v/>
      </c>
      <c r="I2121">
        <f>AVERAGE(E1922:E2121)</f>
        <v/>
      </c>
      <c r="J2121">
        <f>AVERAGE(F1922:F2121)</f>
        <v/>
      </c>
    </row>
    <row r="2122">
      <c r="C2122" s="539" t="n">
        <v>42528</v>
      </c>
      <c r="D2122" t="n">
        <v>118.8199996948242</v>
      </c>
      <c r="E2122" t="n">
        <v>97.76000213623047</v>
      </c>
      <c r="F2122" t="n">
        <v>19.2978687286377</v>
      </c>
      <c r="G2122" t="n">
        <v>73.02029418945312</v>
      </c>
      <c r="H2122">
        <f>AVERAGE(D1923:D2122)</f>
        <v/>
      </c>
      <c r="I2122">
        <f>AVERAGE(E1923:E2122)</f>
        <v/>
      </c>
      <c r="J2122">
        <f>AVERAGE(F1923:F2122)</f>
        <v/>
      </c>
    </row>
    <row r="2123">
      <c r="C2123" s="539" t="n">
        <v>42529</v>
      </c>
      <c r="D2123" t="n">
        <v>120.5800018310547</v>
      </c>
      <c r="E2123" t="n">
        <v>99.44000244140625</v>
      </c>
      <c r="F2123" t="n">
        <v>19.73625946044922</v>
      </c>
      <c r="G2123" t="n">
        <v>73.02029418945312</v>
      </c>
      <c r="H2123">
        <f>AVERAGE(D1924:D2123)</f>
        <v/>
      </c>
      <c r="I2123">
        <f>AVERAGE(E1924:E2123)</f>
        <v/>
      </c>
      <c r="J2123">
        <f>AVERAGE(F1924:F2123)</f>
        <v/>
      </c>
    </row>
    <row r="2124">
      <c r="C2124" s="539" t="n">
        <v>42530</v>
      </c>
      <c r="D2124" t="n">
        <v>121.25</v>
      </c>
      <c r="E2124" t="n">
        <v>98</v>
      </c>
      <c r="F2124" t="n">
        <v>19.60732269287109</v>
      </c>
      <c r="G2124" t="n">
        <v>72.98836517333984</v>
      </c>
      <c r="H2124">
        <f>AVERAGE(D1925:D2124)</f>
        <v/>
      </c>
      <c r="I2124">
        <f>AVERAGE(E1925:E2124)</f>
        <v/>
      </c>
      <c r="J2124">
        <f>AVERAGE(F1925:F2124)</f>
        <v/>
      </c>
    </row>
    <row r="2125">
      <c r="C2125" s="539" t="n">
        <v>42531</v>
      </c>
      <c r="D2125" t="n">
        <v>121.7399978637695</v>
      </c>
      <c r="E2125" t="n">
        <v>94.95999908447266</v>
      </c>
      <c r="F2125" t="n">
        <v>19.59012985229492</v>
      </c>
      <c r="G2125" t="n">
        <v>72.98836517333984</v>
      </c>
      <c r="H2125">
        <f>AVERAGE(D1926:D2125)</f>
        <v/>
      </c>
      <c r="I2125">
        <f>AVERAGE(E1926:E2125)</f>
        <v/>
      </c>
      <c r="J2125">
        <f>AVERAGE(F1926:F2125)</f>
        <v/>
      </c>
    </row>
    <row r="2126">
      <c r="C2126" s="539" t="n">
        <v>42534</v>
      </c>
      <c r="D2126" t="n">
        <v>122.6399993896484</v>
      </c>
      <c r="E2126" t="n">
        <v>94.08000183105469</v>
      </c>
      <c r="F2126" t="n">
        <v>19.49557304382324</v>
      </c>
      <c r="G2126" t="n">
        <v>72.98836517333984</v>
      </c>
      <c r="H2126">
        <f>AVERAGE(D1927:D2126)</f>
        <v/>
      </c>
      <c r="I2126">
        <f>AVERAGE(E1927:E2126)</f>
        <v/>
      </c>
      <c r="J2126">
        <f>AVERAGE(F1927:F2126)</f>
        <v/>
      </c>
    </row>
    <row r="2127">
      <c r="C2127" s="539" t="n">
        <v>42535</v>
      </c>
      <c r="D2127" t="n">
        <v>122.7699966430664</v>
      </c>
      <c r="E2127" t="n">
        <v>93.83999633789062</v>
      </c>
      <c r="F2127" t="n">
        <v>19.51276588439941</v>
      </c>
      <c r="G2127" t="n">
        <v>72.98836517333984</v>
      </c>
      <c r="H2127">
        <f>AVERAGE(D1928:D2127)</f>
        <v/>
      </c>
      <c r="I2127">
        <f>AVERAGE(E1928:E2127)</f>
        <v/>
      </c>
      <c r="J2127">
        <f>AVERAGE(F1928:F2127)</f>
        <v/>
      </c>
    </row>
    <row r="2128">
      <c r="C2128" s="539" t="n">
        <v>42536</v>
      </c>
      <c r="D2128" t="n">
        <v>123.6800003051758</v>
      </c>
      <c r="E2128" t="n">
        <v>91.76000213623047</v>
      </c>
      <c r="F2128" t="n">
        <v>19.4783821105957</v>
      </c>
      <c r="G2128" t="n">
        <v>72.98836517333984</v>
      </c>
      <c r="H2128">
        <f>AVERAGE(D1929:D2128)</f>
        <v/>
      </c>
      <c r="I2128">
        <f>AVERAGE(E1929:E2128)</f>
        <v/>
      </c>
      <c r="J2128">
        <f>AVERAGE(F1929:F2128)</f>
        <v/>
      </c>
    </row>
    <row r="2129">
      <c r="C2129" s="539" t="n">
        <v>42537</v>
      </c>
      <c r="D2129" t="n">
        <v>122.379997253418</v>
      </c>
      <c r="E2129" t="n">
        <v>89.12000274658203</v>
      </c>
      <c r="F2129" t="n">
        <v>19.38382530212402</v>
      </c>
      <c r="G2129" t="n">
        <v>73.00429534912109</v>
      </c>
      <c r="H2129">
        <f>AVERAGE(D1930:D2129)</f>
        <v/>
      </c>
      <c r="I2129">
        <f>AVERAGE(E1930:E2129)</f>
        <v/>
      </c>
      <c r="J2129">
        <f>AVERAGE(F1930:F2129)</f>
        <v/>
      </c>
    </row>
    <row r="2130">
      <c r="C2130" s="539" t="n">
        <v>42538</v>
      </c>
      <c r="D2130" t="n">
        <v>123.9499969482422</v>
      </c>
      <c r="E2130" t="n">
        <v>93.27999877929688</v>
      </c>
      <c r="F2130" t="n">
        <v>19.57293891906738</v>
      </c>
      <c r="G2130" t="n">
        <v>72.98836517333984</v>
      </c>
      <c r="H2130">
        <f>AVERAGE(D1931:D2130)</f>
        <v/>
      </c>
      <c r="I2130">
        <f>AVERAGE(E1931:E2130)</f>
        <v/>
      </c>
      <c r="J2130">
        <f>AVERAGE(F1931:F2130)</f>
        <v/>
      </c>
    </row>
    <row r="2131">
      <c r="C2131" s="539" t="n">
        <v>42541</v>
      </c>
      <c r="D2131" t="n">
        <v>123.2099990844727</v>
      </c>
      <c r="E2131" t="n">
        <v>95.27999877929688</v>
      </c>
      <c r="F2131" t="n">
        <v>19.34944152832031</v>
      </c>
      <c r="G2131" t="n">
        <v>73.00429534912109</v>
      </c>
      <c r="H2131">
        <f>AVERAGE(D1932:D2131)</f>
        <v/>
      </c>
      <c r="I2131">
        <f>AVERAGE(E1932:E2131)</f>
        <v/>
      </c>
      <c r="J2131">
        <f>AVERAGE(F1932:F2131)</f>
        <v/>
      </c>
    </row>
    <row r="2132">
      <c r="C2132" s="539" t="n">
        <v>42542</v>
      </c>
      <c r="D2132" t="n">
        <v>120.8399963378906</v>
      </c>
      <c r="E2132" t="n">
        <v>95.12000274658203</v>
      </c>
      <c r="F2132" t="n">
        <v>19.0657787322998</v>
      </c>
      <c r="G2132" t="n">
        <v>73.00429534912109</v>
      </c>
      <c r="H2132">
        <f>AVERAGE(D1933:D2132)</f>
        <v/>
      </c>
      <c r="I2132">
        <f>AVERAGE(E1933:E2132)</f>
        <v/>
      </c>
      <c r="J2132">
        <f>AVERAGE(F1933:F2132)</f>
        <v/>
      </c>
    </row>
    <row r="2133">
      <c r="C2133" s="539" t="n">
        <v>42543</v>
      </c>
      <c r="D2133" t="n">
        <v>120.9000015258789</v>
      </c>
      <c r="E2133" t="n">
        <v>93.91999816894531</v>
      </c>
      <c r="F2133" t="n">
        <v>18.93684005737305</v>
      </c>
      <c r="G2133" t="n">
        <v>73.00429534912109</v>
      </c>
      <c r="H2133">
        <f>AVERAGE(D1934:D2133)</f>
        <v/>
      </c>
      <c r="I2133">
        <f>AVERAGE(E1934:E2133)</f>
        <v/>
      </c>
      <c r="J2133">
        <f>AVERAGE(F1934:F2133)</f>
        <v/>
      </c>
    </row>
    <row r="2134">
      <c r="C2134" s="539" t="n">
        <v>42544</v>
      </c>
      <c r="D2134" t="n">
        <v>120.1100006103516</v>
      </c>
      <c r="E2134" t="n">
        <v>95.83999633789062</v>
      </c>
      <c r="F2134" t="n">
        <v>18.99701118469238</v>
      </c>
      <c r="G2134" t="n">
        <v>73.00429534912109</v>
      </c>
      <c r="H2134">
        <f>AVERAGE(D1935:D2134)</f>
        <v/>
      </c>
      <c r="I2134">
        <f>AVERAGE(E1935:E2134)</f>
        <v/>
      </c>
      <c r="J2134">
        <f>AVERAGE(F1935:F2134)</f>
        <v/>
      </c>
    </row>
    <row r="2135">
      <c r="C2135" s="539" t="n">
        <v>42545</v>
      </c>
      <c r="D2135" t="n">
        <v>126</v>
      </c>
      <c r="E2135" t="n">
        <v>91.19999694824219</v>
      </c>
      <c r="F2135" t="n">
        <v>18.59300231933594</v>
      </c>
      <c r="G2135" t="n">
        <v>72.98836517333984</v>
      </c>
      <c r="H2135">
        <f>AVERAGE(D1936:D2135)</f>
        <v/>
      </c>
      <c r="I2135">
        <f>AVERAGE(E1936:E2135)</f>
        <v/>
      </c>
      <c r="J2135">
        <f>AVERAGE(F1936:F2135)</f>
        <v/>
      </c>
    </row>
    <row r="2136">
      <c r="C2136" s="539" t="n">
        <v>42548</v>
      </c>
      <c r="D2136" t="n">
        <v>126.6800003051758</v>
      </c>
      <c r="E2136" t="n">
        <v>89.51999664306641</v>
      </c>
      <c r="F2136" t="n">
        <v>18.72193908691406</v>
      </c>
      <c r="G2136" t="n">
        <v>72.98836517333984</v>
      </c>
      <c r="H2136">
        <f>AVERAGE(D1937:D2136)</f>
        <v/>
      </c>
      <c r="I2136">
        <f>AVERAGE(E1937:E2136)</f>
        <v/>
      </c>
      <c r="J2136">
        <f>AVERAGE(F1937:F2136)</f>
        <v/>
      </c>
    </row>
    <row r="2137">
      <c r="C2137" s="539" t="n">
        <v>42549</v>
      </c>
      <c r="D2137" t="n">
        <v>125.3199996948242</v>
      </c>
      <c r="E2137" t="n">
        <v>91.76000213623047</v>
      </c>
      <c r="F2137" t="n">
        <v>18.91104888916016</v>
      </c>
      <c r="G2137" t="n">
        <v>72.98836517333984</v>
      </c>
      <c r="H2137">
        <f>AVERAGE(D1938:D2137)</f>
        <v/>
      </c>
      <c r="I2137">
        <f>AVERAGE(E1938:E2137)</f>
        <v/>
      </c>
      <c r="J2137">
        <f>AVERAGE(F1938:F2137)</f>
        <v/>
      </c>
    </row>
    <row r="2138">
      <c r="C2138" s="539" t="n">
        <v>42550</v>
      </c>
      <c r="D2138" t="n">
        <v>125.8399963378906</v>
      </c>
      <c r="E2138" t="n">
        <v>94.31999969482422</v>
      </c>
      <c r="F2138" t="n">
        <v>19.07437324523926</v>
      </c>
      <c r="G2138" t="n">
        <v>72.98836517333984</v>
      </c>
      <c r="H2138">
        <f>AVERAGE(D1939:D2138)</f>
        <v/>
      </c>
      <c r="I2138">
        <f>AVERAGE(E1939:E2138)</f>
        <v/>
      </c>
      <c r="J2138">
        <f>AVERAGE(F1939:F2138)</f>
        <v/>
      </c>
    </row>
    <row r="2139">
      <c r="C2139" s="539" t="n">
        <v>42551</v>
      </c>
      <c r="D2139" t="n">
        <v>126.4700012207031</v>
      </c>
      <c r="E2139" t="n">
        <v>92.55999755859375</v>
      </c>
      <c r="F2139" t="n">
        <v>18.97122383117676</v>
      </c>
      <c r="G2139" t="n">
        <v>72.98836517333984</v>
      </c>
      <c r="H2139">
        <f>AVERAGE(D1940:D2139)</f>
        <v/>
      </c>
      <c r="I2139">
        <f>AVERAGE(E1940:E2139)</f>
        <v/>
      </c>
      <c r="J2139">
        <f>AVERAGE(F1940:F2139)</f>
        <v/>
      </c>
    </row>
    <row r="2140">
      <c r="C2140" s="539" t="n">
        <v>42552</v>
      </c>
      <c r="D2140" t="n">
        <v>128.4100036621094</v>
      </c>
      <c r="E2140" t="n">
        <v>94.23999786376953</v>
      </c>
      <c r="F2140" t="n">
        <v>18.89385604858398</v>
      </c>
      <c r="G2140" t="n">
        <v>73.02029418945312</v>
      </c>
      <c r="H2140">
        <f>AVERAGE(D1941:D2140)</f>
        <v/>
      </c>
      <c r="I2140">
        <f>AVERAGE(E1941:E2140)</f>
        <v/>
      </c>
      <c r="J2140">
        <f>AVERAGE(F1941:F2140)</f>
        <v/>
      </c>
    </row>
    <row r="2141">
      <c r="C2141" s="539" t="n">
        <v>42556</v>
      </c>
      <c r="D2141" t="n">
        <v>129.4700012207031</v>
      </c>
      <c r="E2141" t="n">
        <v>89.44000244140625</v>
      </c>
      <c r="F2141" t="n">
        <v>18.77351570129395</v>
      </c>
      <c r="G2141" t="n">
        <v>73.02029418945312</v>
      </c>
      <c r="H2141">
        <f>AVERAGE(D1942:D2141)</f>
        <v/>
      </c>
      <c r="I2141">
        <f>AVERAGE(E1942:E2141)</f>
        <v/>
      </c>
      <c r="J2141">
        <f>AVERAGE(F1942:F2141)</f>
        <v/>
      </c>
    </row>
    <row r="2142">
      <c r="C2142" s="539" t="n">
        <v>42557</v>
      </c>
      <c r="D2142" t="n">
        <v>130.2299957275391</v>
      </c>
      <c r="E2142" t="n">
        <v>90.63999938964844</v>
      </c>
      <c r="F2142" t="n">
        <v>18.55861854553223</v>
      </c>
      <c r="G2142" t="n">
        <v>73.00429534912109</v>
      </c>
      <c r="H2142">
        <f>AVERAGE(D1943:D2142)</f>
        <v/>
      </c>
      <c r="I2142">
        <f>AVERAGE(E1943:E2142)</f>
        <v/>
      </c>
      <c r="J2142">
        <f>AVERAGE(F1943:F2142)</f>
        <v/>
      </c>
    </row>
    <row r="2143">
      <c r="C2143" s="539" t="n">
        <v>42558</v>
      </c>
      <c r="D2143" t="n">
        <v>129.7400054931641</v>
      </c>
      <c r="E2143" t="n">
        <v>86.55999755859375</v>
      </c>
      <c r="F2143" t="n">
        <v>18.20618629455566</v>
      </c>
      <c r="G2143" t="n">
        <v>73.02029418945312</v>
      </c>
      <c r="H2143">
        <f>AVERAGE(D1944:D2143)</f>
        <v/>
      </c>
      <c r="I2143">
        <f>AVERAGE(E1944:E2143)</f>
        <v/>
      </c>
      <c r="J2143">
        <f>AVERAGE(F1944:F2143)</f>
        <v/>
      </c>
    </row>
    <row r="2144">
      <c r="C2144" s="539" t="n">
        <v>42559</v>
      </c>
      <c r="D2144" t="n">
        <v>130.5200042724609</v>
      </c>
      <c r="E2144" t="n">
        <v>86.63999938964844</v>
      </c>
      <c r="F2144" t="n">
        <v>18.42108345031738</v>
      </c>
      <c r="G2144" t="n">
        <v>73.00429534912109</v>
      </c>
      <c r="H2144">
        <f>AVERAGE(D1945:D2144)</f>
        <v/>
      </c>
      <c r="I2144">
        <f>AVERAGE(E1945:E2144)</f>
        <v/>
      </c>
      <c r="J2144">
        <f>AVERAGE(F1945:F2144)</f>
        <v/>
      </c>
    </row>
    <row r="2145">
      <c r="C2145" s="539" t="n">
        <v>42562</v>
      </c>
      <c r="D2145" t="n">
        <v>129.2899932861328</v>
      </c>
      <c r="E2145" t="n">
        <v>85.19999694824219</v>
      </c>
      <c r="F2145" t="n">
        <v>18.49844932556152</v>
      </c>
      <c r="G2145" t="n">
        <v>73.02029418945312</v>
      </c>
      <c r="H2145">
        <f>AVERAGE(D1946:D2145)</f>
        <v/>
      </c>
      <c r="I2145">
        <f>AVERAGE(E1946:E2145)</f>
        <v/>
      </c>
      <c r="J2145">
        <f>AVERAGE(F1946:F2145)</f>
        <v/>
      </c>
    </row>
    <row r="2146">
      <c r="C2146" s="539" t="n">
        <v>42563</v>
      </c>
      <c r="D2146" t="n">
        <v>127.1500015258789</v>
      </c>
      <c r="E2146" t="n">
        <v>89.51999664306641</v>
      </c>
      <c r="F2146" t="n">
        <v>18.51564025878906</v>
      </c>
      <c r="G2146" t="n">
        <v>72.98836517333984</v>
      </c>
      <c r="H2146">
        <f>AVERAGE(D1947:D2146)</f>
        <v/>
      </c>
      <c r="I2146">
        <f>AVERAGE(E1947:E2146)</f>
        <v/>
      </c>
      <c r="J2146">
        <f>AVERAGE(F1947:F2146)</f>
        <v/>
      </c>
    </row>
    <row r="2147">
      <c r="C2147" s="539" t="n">
        <v>42564</v>
      </c>
      <c r="D2147" t="n">
        <v>128.3200073242188</v>
      </c>
      <c r="E2147" t="n">
        <v>86</v>
      </c>
      <c r="F2147" t="n">
        <v>18.6359806060791</v>
      </c>
      <c r="G2147" t="n">
        <v>73.00429534912109</v>
      </c>
      <c r="H2147">
        <f>AVERAGE(D1948:D2147)</f>
        <v/>
      </c>
      <c r="I2147">
        <f>AVERAGE(E1948:E2147)</f>
        <v/>
      </c>
      <c r="J2147">
        <f>AVERAGE(F1948:F2147)</f>
        <v/>
      </c>
    </row>
    <row r="2148">
      <c r="C2148" s="539" t="n">
        <v>42565</v>
      </c>
      <c r="D2148" t="n">
        <v>127.3300018310547</v>
      </c>
      <c r="E2148" t="n">
        <v>86.95999908447266</v>
      </c>
      <c r="F2148" t="n">
        <v>18.72193908691406</v>
      </c>
      <c r="G2148" t="n">
        <v>73.02029418945312</v>
      </c>
      <c r="H2148">
        <f>AVERAGE(D1949:D2148)</f>
        <v/>
      </c>
      <c r="I2148">
        <f>AVERAGE(E1949:E2148)</f>
        <v/>
      </c>
      <c r="J2148">
        <f>AVERAGE(F1949:F2148)</f>
        <v/>
      </c>
    </row>
    <row r="2149">
      <c r="C2149" s="539" t="n">
        <v>42566</v>
      </c>
      <c r="D2149" t="n">
        <v>126.8399963378906</v>
      </c>
      <c r="E2149" t="n">
        <v>87.91999816894531</v>
      </c>
      <c r="F2149" t="n">
        <v>18.34372138977051</v>
      </c>
      <c r="G2149" t="n">
        <v>73.00429534912109</v>
      </c>
      <c r="H2149">
        <f>AVERAGE(D1950:D2149)</f>
        <v/>
      </c>
      <c r="I2149">
        <f>AVERAGE(E1950:E2149)</f>
        <v/>
      </c>
      <c r="J2149">
        <f>AVERAGE(F1950:F2149)</f>
        <v/>
      </c>
    </row>
    <row r="2150">
      <c r="C2150" s="539" t="n">
        <v>42569</v>
      </c>
      <c r="D2150" t="n">
        <v>127.0400009155273</v>
      </c>
      <c r="E2150" t="n">
        <v>86.55999755859375</v>
      </c>
      <c r="F2150" t="n">
        <v>18.48985290527344</v>
      </c>
      <c r="G2150" t="n">
        <v>73.00429534912109</v>
      </c>
      <c r="H2150">
        <f>AVERAGE(D1951:D2150)</f>
        <v/>
      </c>
      <c r="I2150">
        <f>AVERAGE(E1951:E2150)</f>
        <v/>
      </c>
      <c r="J2150">
        <f>AVERAGE(F1951:F2150)</f>
        <v/>
      </c>
    </row>
    <row r="2151">
      <c r="C2151" s="539" t="n">
        <v>42570</v>
      </c>
      <c r="D2151" t="n">
        <v>127.2099990844727</v>
      </c>
      <c r="E2151" t="n">
        <v>85.59999847412109</v>
      </c>
      <c r="F2151" t="n">
        <v>18.1030330657959</v>
      </c>
      <c r="G2151" t="n">
        <v>73.02029418945312</v>
      </c>
      <c r="H2151">
        <f>AVERAGE(D1952:D2151)</f>
        <v/>
      </c>
      <c r="I2151">
        <f>AVERAGE(E1952:E2151)</f>
        <v/>
      </c>
      <c r="J2151">
        <f>AVERAGE(F1952:F2151)</f>
        <v/>
      </c>
    </row>
    <row r="2152">
      <c r="C2152" s="539" t="n">
        <v>42571</v>
      </c>
      <c r="D2152" t="n">
        <v>125.3899993896484</v>
      </c>
      <c r="E2152" t="n">
        <v>85.83999633789062</v>
      </c>
      <c r="F2152" t="n">
        <v>17.88813400268555</v>
      </c>
      <c r="G2152" t="n">
        <v>73.02029418945312</v>
      </c>
      <c r="H2152">
        <f>AVERAGE(D1953:D2152)</f>
        <v/>
      </c>
      <c r="I2152">
        <f>AVERAGE(E1953:E2152)</f>
        <v/>
      </c>
      <c r="J2152">
        <f>AVERAGE(F1953:F2152)</f>
        <v/>
      </c>
    </row>
    <row r="2153">
      <c r="C2153" s="539" t="n">
        <v>42572</v>
      </c>
      <c r="D2153" t="n">
        <v>127.3000030517578</v>
      </c>
      <c r="E2153" t="n">
        <v>83.91999816894531</v>
      </c>
      <c r="F2153" t="n">
        <v>17.81936836242676</v>
      </c>
      <c r="G2153" t="n">
        <v>73.02029418945312</v>
      </c>
      <c r="H2153">
        <f>AVERAGE(D1954:D2153)</f>
        <v/>
      </c>
      <c r="I2153">
        <f>AVERAGE(E1954:E2153)</f>
        <v/>
      </c>
      <c r="J2153">
        <f>AVERAGE(F1954:F2153)</f>
        <v/>
      </c>
    </row>
    <row r="2154">
      <c r="C2154" s="539" t="n">
        <v>42573</v>
      </c>
      <c r="D2154" t="n">
        <v>126.3499984741211</v>
      </c>
      <c r="E2154" t="n">
        <v>83.36000061035156</v>
      </c>
      <c r="F2154" t="n">
        <v>17.81936836242676</v>
      </c>
      <c r="G2154" t="n">
        <v>73.02029418945312</v>
      </c>
      <c r="H2154">
        <f>AVERAGE(D1955:D2154)</f>
        <v/>
      </c>
      <c r="I2154">
        <f>AVERAGE(E1955:E2154)</f>
        <v/>
      </c>
      <c r="J2154">
        <f>AVERAGE(F1955:F2154)</f>
        <v/>
      </c>
    </row>
    <row r="2155">
      <c r="C2155" s="539" t="n">
        <v>42576</v>
      </c>
      <c r="D2155" t="n">
        <v>125.4700012207031</v>
      </c>
      <c r="E2155" t="n">
        <v>81.04000091552734</v>
      </c>
      <c r="F2155" t="n">
        <v>17.87954139709473</v>
      </c>
      <c r="G2155" t="n">
        <v>73.00429534912109</v>
      </c>
      <c r="H2155">
        <f>AVERAGE(D1956:D2155)</f>
        <v/>
      </c>
      <c r="I2155">
        <f>AVERAGE(E1956:E2155)</f>
        <v/>
      </c>
      <c r="J2155">
        <f>AVERAGE(F1956:F2155)</f>
        <v/>
      </c>
    </row>
    <row r="2156">
      <c r="C2156" s="539" t="n">
        <v>42577</v>
      </c>
      <c r="D2156" t="n">
        <v>126</v>
      </c>
      <c r="E2156" t="n">
        <v>80.63999938964844</v>
      </c>
      <c r="F2156" t="n">
        <v>17.81077194213867</v>
      </c>
      <c r="G2156" t="n">
        <v>73.00429534912109</v>
      </c>
      <c r="H2156">
        <f>AVERAGE(D1957:D2156)</f>
        <v/>
      </c>
      <c r="I2156">
        <f>AVERAGE(E1957:E2156)</f>
        <v/>
      </c>
      <c r="J2156">
        <f>AVERAGE(F1957:F2156)</f>
        <v/>
      </c>
    </row>
    <row r="2157">
      <c r="C2157" s="539" t="n">
        <v>42578</v>
      </c>
      <c r="D2157" t="n">
        <v>128.0299987792969</v>
      </c>
      <c r="E2157" t="n">
        <v>79.19999694824219</v>
      </c>
      <c r="F2157" t="n">
        <v>17.74200439453125</v>
      </c>
      <c r="G2157" t="n">
        <v>73.02029418945312</v>
      </c>
      <c r="H2157">
        <f>AVERAGE(D1958:D2157)</f>
        <v/>
      </c>
      <c r="I2157">
        <f>AVERAGE(E1958:E2157)</f>
        <v/>
      </c>
      <c r="J2157">
        <f>AVERAGE(F1958:F2157)</f>
        <v/>
      </c>
    </row>
    <row r="2158">
      <c r="C2158" s="539" t="n">
        <v>42579</v>
      </c>
      <c r="D2158" t="n">
        <v>127.6600036621094</v>
      </c>
      <c r="E2158" t="n">
        <v>77.36000061035156</v>
      </c>
      <c r="F2158" t="n">
        <v>17.58727836608887</v>
      </c>
      <c r="G2158" t="n">
        <v>73.00429534912109</v>
      </c>
      <c r="H2158">
        <f>AVERAGE(D1959:D2158)</f>
        <v/>
      </c>
      <c r="I2158">
        <f>AVERAGE(E1959:E2158)</f>
        <v/>
      </c>
      <c r="J2158">
        <f>AVERAGE(F1959:F2158)</f>
        <v/>
      </c>
    </row>
    <row r="2159">
      <c r="C2159" s="539" t="n">
        <v>42580</v>
      </c>
      <c r="D2159" t="n">
        <v>128.9799957275391</v>
      </c>
      <c r="E2159" t="n">
        <v>78.08000183105469</v>
      </c>
      <c r="F2159" t="n">
        <v>17.69902610778809</v>
      </c>
      <c r="G2159" t="n">
        <v>73.02029418945312</v>
      </c>
      <c r="H2159">
        <f>AVERAGE(D1960:D2159)</f>
        <v/>
      </c>
      <c r="I2159">
        <f>AVERAGE(E1960:E2159)</f>
        <v/>
      </c>
      <c r="J2159">
        <f>AVERAGE(F1960:F2159)</f>
        <v/>
      </c>
    </row>
    <row r="2160">
      <c r="C2160" s="539" t="n">
        <v>42583</v>
      </c>
      <c r="D2160" t="n">
        <v>129.2200012207031</v>
      </c>
      <c r="E2160" t="n">
        <v>75.27999877929688</v>
      </c>
      <c r="F2160" t="n">
        <v>17.65604591369629</v>
      </c>
      <c r="G2160" t="n">
        <v>73.00429534912109</v>
      </c>
      <c r="H2160">
        <f>AVERAGE(D1961:D2160)</f>
        <v/>
      </c>
      <c r="I2160">
        <f>AVERAGE(E1961:E2160)</f>
        <v/>
      </c>
      <c r="J2160">
        <f>AVERAGE(F1961:F2160)</f>
        <v/>
      </c>
    </row>
    <row r="2161">
      <c r="C2161" s="539" t="n">
        <v>42584</v>
      </c>
      <c r="D2161" t="n">
        <v>130.2700042724609</v>
      </c>
      <c r="E2161" t="n">
        <v>74.63999938964844</v>
      </c>
      <c r="F2161" t="n">
        <v>17.59587097167969</v>
      </c>
      <c r="G2161" t="n">
        <v>73.02029418945312</v>
      </c>
      <c r="H2161">
        <f>AVERAGE(D1962:D2161)</f>
        <v/>
      </c>
      <c r="I2161">
        <f>AVERAGE(E1962:E2161)</f>
        <v/>
      </c>
      <c r="J2161">
        <f>AVERAGE(F1962:F2161)</f>
        <v/>
      </c>
    </row>
    <row r="2162">
      <c r="C2162" s="539" t="n">
        <v>42585</v>
      </c>
      <c r="D2162" t="n">
        <v>129.6499938964844</v>
      </c>
      <c r="E2162" t="n">
        <v>77.51999664306641</v>
      </c>
      <c r="F2162" t="n">
        <v>17.6732349395752</v>
      </c>
      <c r="G2162" t="n">
        <v>73.00429534912109</v>
      </c>
      <c r="H2162">
        <f>AVERAGE(D1963:D2162)</f>
        <v/>
      </c>
      <c r="I2162">
        <f>AVERAGE(E1963:E2162)</f>
        <v/>
      </c>
      <c r="J2162">
        <f>AVERAGE(F1963:F2162)</f>
        <v/>
      </c>
    </row>
    <row r="2163">
      <c r="C2163" s="539" t="n">
        <v>42586</v>
      </c>
      <c r="D2163" t="n">
        <v>129.8699951171875</v>
      </c>
      <c r="E2163" t="n">
        <v>78.72000122070312</v>
      </c>
      <c r="F2163" t="n">
        <v>17.75060081481934</v>
      </c>
      <c r="G2163" t="n">
        <v>73.00429534912109</v>
      </c>
      <c r="H2163">
        <f>AVERAGE(D1964:D2163)</f>
        <v/>
      </c>
      <c r="I2163">
        <f>AVERAGE(E1964:E2163)</f>
        <v/>
      </c>
      <c r="J2163">
        <f>AVERAGE(F1964:F2163)</f>
        <v/>
      </c>
    </row>
    <row r="2164">
      <c r="C2164" s="539" t="n">
        <v>42587</v>
      </c>
      <c r="D2164" t="n">
        <v>127.5500030517578</v>
      </c>
      <c r="E2164" t="n">
        <v>78.87999725341797</v>
      </c>
      <c r="F2164" t="n">
        <v>17.98268890380859</v>
      </c>
      <c r="G2164" t="n">
        <v>73.00429534912109</v>
      </c>
      <c r="H2164">
        <f>AVERAGE(D1965:D2164)</f>
        <v/>
      </c>
      <c r="I2164">
        <f>AVERAGE(E1965:E2164)</f>
        <v/>
      </c>
      <c r="J2164">
        <f>AVERAGE(F1965:F2164)</f>
        <v/>
      </c>
    </row>
    <row r="2165">
      <c r="C2165" s="539" t="n">
        <v>42590</v>
      </c>
      <c r="D2165" t="n">
        <v>127.4400024414062</v>
      </c>
      <c r="E2165" t="n">
        <v>80.80000305175781</v>
      </c>
      <c r="F2165" t="n">
        <v>17.99128723144531</v>
      </c>
      <c r="G2165" t="n">
        <v>73.00429534912109</v>
      </c>
      <c r="H2165">
        <f>AVERAGE(D1966:D2165)</f>
        <v/>
      </c>
      <c r="I2165">
        <f>AVERAGE(E1966:E2165)</f>
        <v/>
      </c>
      <c r="J2165">
        <f>AVERAGE(F1966:F2165)</f>
        <v/>
      </c>
    </row>
    <row r="2166">
      <c r="C2166" s="539" t="n">
        <v>42591</v>
      </c>
      <c r="D2166" t="n">
        <v>127.9599990844727</v>
      </c>
      <c r="E2166" t="n">
        <v>80.55999755859375</v>
      </c>
      <c r="F2166" t="n">
        <v>17.91392517089844</v>
      </c>
      <c r="G2166" t="n">
        <v>73.00429534912109</v>
      </c>
      <c r="H2166">
        <f>AVERAGE(D1967:D2166)</f>
        <v/>
      </c>
      <c r="I2166">
        <f>AVERAGE(E1967:E2166)</f>
        <v/>
      </c>
      <c r="J2166">
        <f>AVERAGE(F1967:F2166)</f>
        <v/>
      </c>
    </row>
    <row r="2167">
      <c r="C2167" s="539" t="n">
        <v>42592</v>
      </c>
      <c r="D2167" t="n">
        <v>128.5599975585938</v>
      </c>
      <c r="E2167" t="n">
        <v>78.16000366210938</v>
      </c>
      <c r="F2167" t="n">
        <v>17.80217552185059</v>
      </c>
      <c r="G2167" t="n">
        <v>73.00429534912109</v>
      </c>
      <c r="H2167">
        <f>AVERAGE(D1968:D2167)</f>
        <v/>
      </c>
      <c r="I2167">
        <f>AVERAGE(E1968:E2167)</f>
        <v/>
      </c>
      <c r="J2167">
        <f>AVERAGE(F1968:F2167)</f>
        <v/>
      </c>
    </row>
    <row r="2168">
      <c r="C2168" s="539" t="n">
        <v>42593</v>
      </c>
      <c r="D2168" t="n">
        <v>127.6699981689453</v>
      </c>
      <c r="E2168" t="n">
        <v>81.68000030517578</v>
      </c>
      <c r="F2168" t="n">
        <v>17.72481346130371</v>
      </c>
      <c r="G2168" t="n">
        <v>73.00429534912109</v>
      </c>
      <c r="H2168">
        <f>AVERAGE(D1969:D2168)</f>
        <v/>
      </c>
      <c r="I2168">
        <f>AVERAGE(E1969:E2168)</f>
        <v/>
      </c>
      <c r="J2168">
        <f>AVERAGE(F1969:F2168)</f>
        <v/>
      </c>
    </row>
    <row r="2169">
      <c r="C2169" s="539" t="n">
        <v>42594</v>
      </c>
      <c r="D2169" t="n">
        <v>127.4000015258789</v>
      </c>
      <c r="E2169" t="n">
        <v>84</v>
      </c>
      <c r="F2169" t="n">
        <v>17.7935791015625</v>
      </c>
      <c r="G2169" t="n">
        <v>73.00429534912109</v>
      </c>
      <c r="H2169">
        <f>AVERAGE(D1970:D2169)</f>
        <v/>
      </c>
      <c r="I2169">
        <f>AVERAGE(E1970:E2169)</f>
        <v/>
      </c>
      <c r="J2169">
        <f>AVERAGE(F1970:F2169)</f>
        <v/>
      </c>
    </row>
    <row r="2170">
      <c r="C2170" s="539" t="n">
        <v>42597</v>
      </c>
      <c r="D2170" t="n">
        <v>127.8399963378906</v>
      </c>
      <c r="E2170" t="n">
        <v>86.08000183105469</v>
      </c>
      <c r="F2170" t="n">
        <v>17.94830703735352</v>
      </c>
      <c r="G2170" t="n">
        <v>73.00429534912109</v>
      </c>
      <c r="H2170">
        <f>AVERAGE(D1971:D2170)</f>
        <v/>
      </c>
      <c r="I2170">
        <f>AVERAGE(E1971:E2170)</f>
        <v/>
      </c>
      <c r="J2170">
        <f>AVERAGE(F1971:F2170)</f>
        <v/>
      </c>
    </row>
    <row r="2171">
      <c r="C2171" s="539" t="n">
        <v>42598</v>
      </c>
      <c r="D2171" t="n">
        <v>128.4700012207031</v>
      </c>
      <c r="E2171" t="n">
        <v>87.36000061035156</v>
      </c>
      <c r="F2171" t="n">
        <v>17.94830703735352</v>
      </c>
      <c r="G2171" t="n">
        <v>73.00429534912109</v>
      </c>
      <c r="H2171">
        <f>AVERAGE(D1972:D2171)</f>
        <v/>
      </c>
      <c r="I2171">
        <f>AVERAGE(E1972:E2171)</f>
        <v/>
      </c>
      <c r="J2171">
        <f>AVERAGE(F1972:F2171)</f>
        <v/>
      </c>
    </row>
    <row r="2172">
      <c r="C2172" s="539" t="n">
        <v>42599</v>
      </c>
      <c r="D2172" t="n">
        <v>128.5</v>
      </c>
      <c r="E2172" t="n">
        <v>87.91999816894531</v>
      </c>
      <c r="F2172" t="n">
        <v>17.87954139709473</v>
      </c>
      <c r="G2172" t="n">
        <v>73.00429534912109</v>
      </c>
      <c r="H2172">
        <f>AVERAGE(D1973:D2172)</f>
        <v/>
      </c>
      <c r="I2172">
        <f>AVERAGE(E1973:E2172)</f>
        <v/>
      </c>
      <c r="J2172">
        <f>AVERAGE(F1973:F2172)</f>
        <v/>
      </c>
    </row>
    <row r="2173">
      <c r="C2173" s="539" t="n">
        <v>42600</v>
      </c>
      <c r="D2173" t="n">
        <v>129.1100006103516</v>
      </c>
      <c r="E2173" t="n">
        <v>90.40000152587891</v>
      </c>
      <c r="F2173" t="n">
        <v>17.9998836517334</v>
      </c>
      <c r="G2173" t="n">
        <v>73.02029418945312</v>
      </c>
      <c r="H2173">
        <f>AVERAGE(D1974:D2173)</f>
        <v/>
      </c>
      <c r="I2173">
        <f>AVERAGE(E1974:E2173)</f>
        <v/>
      </c>
      <c r="J2173">
        <f>AVERAGE(F1974:F2173)</f>
        <v/>
      </c>
    </row>
    <row r="2174">
      <c r="C2174" s="539" t="n">
        <v>42601</v>
      </c>
      <c r="D2174" t="n">
        <v>127.9700012207031</v>
      </c>
      <c r="E2174" t="n">
        <v>90.72000122070312</v>
      </c>
      <c r="F2174" t="n">
        <v>17.93111419677734</v>
      </c>
      <c r="G2174" t="n">
        <v>73.00429534912109</v>
      </c>
      <c r="H2174">
        <f>AVERAGE(D1975:D2174)</f>
        <v/>
      </c>
      <c r="I2174">
        <f>AVERAGE(E1975:E2174)</f>
        <v/>
      </c>
      <c r="J2174">
        <f>AVERAGE(F1975:F2174)</f>
        <v/>
      </c>
    </row>
    <row r="2175">
      <c r="C2175" s="539" t="n">
        <v>42604</v>
      </c>
      <c r="D2175" t="n">
        <v>127.7799987792969</v>
      </c>
      <c r="E2175" t="n">
        <v>87.76000213623047</v>
      </c>
      <c r="F2175" t="n">
        <v>18.02566909790039</v>
      </c>
      <c r="G2175" t="n">
        <v>73.00429534912109</v>
      </c>
      <c r="H2175">
        <f>AVERAGE(D1976:D2175)</f>
        <v/>
      </c>
      <c r="I2175">
        <f>AVERAGE(E1976:E2175)</f>
        <v/>
      </c>
      <c r="J2175">
        <f>AVERAGE(F1976:F2175)</f>
        <v/>
      </c>
    </row>
    <row r="2176">
      <c r="C2176" s="539" t="n">
        <v>42605</v>
      </c>
      <c r="D2176" t="n">
        <v>127.7600021362305</v>
      </c>
      <c r="E2176" t="n">
        <v>88.72000122070312</v>
      </c>
      <c r="F2176" t="n">
        <v>18.0428638458252</v>
      </c>
      <c r="G2176" t="n">
        <v>73.00429534912109</v>
      </c>
      <c r="H2176">
        <f>AVERAGE(D1977:D2176)</f>
        <v/>
      </c>
      <c r="I2176">
        <f>AVERAGE(E1977:E2176)</f>
        <v/>
      </c>
      <c r="J2176">
        <f>AVERAGE(F1977:F2176)</f>
        <v/>
      </c>
    </row>
    <row r="2177">
      <c r="C2177" s="539" t="n">
        <v>42606</v>
      </c>
      <c r="D2177" t="n">
        <v>126.3399963378906</v>
      </c>
      <c r="E2177" t="n">
        <v>86.55999755859375</v>
      </c>
      <c r="F2177" t="n">
        <v>17.82796478271484</v>
      </c>
      <c r="G2177" t="n">
        <v>73.02029418945312</v>
      </c>
      <c r="H2177">
        <f>AVERAGE(D1978:D2177)</f>
        <v/>
      </c>
      <c r="I2177">
        <f>AVERAGE(E1978:E2177)</f>
        <v/>
      </c>
      <c r="J2177">
        <f>AVERAGE(F1978:F2177)</f>
        <v/>
      </c>
    </row>
    <row r="2178">
      <c r="C2178" s="539" t="n">
        <v>42607</v>
      </c>
      <c r="D2178" t="n">
        <v>126.2300033569336</v>
      </c>
      <c r="E2178" t="n">
        <v>87.59999847412109</v>
      </c>
      <c r="F2178" t="n">
        <v>17.75919723510742</v>
      </c>
      <c r="G2178" t="n">
        <v>73.00429534912109</v>
      </c>
      <c r="H2178">
        <f>AVERAGE(D1979:D2178)</f>
        <v/>
      </c>
      <c r="I2178">
        <f>AVERAGE(E1979:E2178)</f>
        <v/>
      </c>
      <c r="J2178">
        <f>AVERAGE(F1979:F2178)</f>
        <v/>
      </c>
    </row>
    <row r="2179">
      <c r="C2179" s="539" t="n">
        <v>42608</v>
      </c>
      <c r="D2179" t="n">
        <v>126.0500030517578</v>
      </c>
      <c r="E2179" t="n">
        <v>87.59999847412109</v>
      </c>
      <c r="F2179" t="n">
        <v>17.64745140075684</v>
      </c>
      <c r="G2179" t="n">
        <v>73.00429534912109</v>
      </c>
      <c r="H2179">
        <f>AVERAGE(D1980:D2179)</f>
        <v/>
      </c>
      <c r="I2179">
        <f>AVERAGE(E1980:E2179)</f>
        <v/>
      </c>
      <c r="J2179">
        <f>AVERAGE(F1980:F2179)</f>
        <v/>
      </c>
    </row>
    <row r="2180">
      <c r="C2180" s="539" t="n">
        <v>42611</v>
      </c>
      <c r="D2180" t="n">
        <v>126.3000030517578</v>
      </c>
      <c r="E2180" t="n">
        <v>86.80000305175781</v>
      </c>
      <c r="F2180" t="n">
        <v>17.51851081848145</v>
      </c>
      <c r="G2180" t="n">
        <v>73.02029418945312</v>
      </c>
      <c r="H2180">
        <f>AVERAGE(D1981:D2180)</f>
        <v/>
      </c>
      <c r="I2180">
        <f>AVERAGE(E1981:E2180)</f>
        <v/>
      </c>
      <c r="J2180">
        <f>AVERAGE(F1981:F2180)</f>
        <v/>
      </c>
    </row>
    <row r="2181">
      <c r="C2181" s="539" t="n">
        <v>42612</v>
      </c>
      <c r="D2181" t="n">
        <v>125.0299987792969</v>
      </c>
      <c r="E2181" t="n">
        <v>85.83999633789062</v>
      </c>
      <c r="F2181" t="n">
        <v>17.48412704467773</v>
      </c>
      <c r="G2181" t="n">
        <v>73.02029418945312</v>
      </c>
      <c r="H2181">
        <f>AVERAGE(D1982:D2181)</f>
        <v/>
      </c>
      <c r="I2181">
        <f>AVERAGE(E1982:E2181)</f>
        <v/>
      </c>
      <c r="J2181">
        <f>AVERAGE(F1982:F2181)</f>
        <v/>
      </c>
    </row>
    <row r="2182">
      <c r="C2182" s="539" t="n">
        <v>42613</v>
      </c>
      <c r="D2182" t="n">
        <v>124.7799987792969</v>
      </c>
      <c r="E2182" t="n">
        <v>82.87999725341797</v>
      </c>
      <c r="F2182" t="n">
        <v>17.38957214355469</v>
      </c>
      <c r="G2182" t="n">
        <v>73.02029418945312</v>
      </c>
      <c r="H2182">
        <f>AVERAGE(D1983:D2182)</f>
        <v/>
      </c>
      <c r="I2182">
        <f>AVERAGE(E1983:E2182)</f>
        <v/>
      </c>
      <c r="J2182">
        <f>AVERAGE(F1983:F2182)</f>
        <v/>
      </c>
    </row>
    <row r="2183">
      <c r="C2183" s="539" t="n">
        <v>42614</v>
      </c>
      <c r="D2183" t="n">
        <v>125.2900009155273</v>
      </c>
      <c r="E2183" t="n">
        <v>80.48000335693359</v>
      </c>
      <c r="F2183" t="n">
        <v>17.38957214355469</v>
      </c>
      <c r="G2183" t="n">
        <v>73.02029418945312</v>
      </c>
      <c r="H2183">
        <f>AVERAGE(D1984:D2183)</f>
        <v/>
      </c>
      <c r="I2183">
        <f>AVERAGE(E1984:E2183)</f>
        <v/>
      </c>
      <c r="J2183">
        <f>AVERAGE(F1984:F2183)</f>
        <v/>
      </c>
    </row>
    <row r="2184">
      <c r="C2184" s="539" t="n">
        <v>42615</v>
      </c>
      <c r="D2184" t="n">
        <v>126.5699996948242</v>
      </c>
      <c r="E2184" t="n">
        <v>81.91999816894531</v>
      </c>
      <c r="F2184" t="n">
        <v>17.44974136352539</v>
      </c>
      <c r="G2184" t="n">
        <v>73.03624725341797</v>
      </c>
      <c r="H2184">
        <f>AVERAGE(D1985:D2184)</f>
        <v/>
      </c>
      <c r="I2184">
        <f>AVERAGE(E1985:E2184)</f>
        <v/>
      </c>
      <c r="J2184">
        <f>AVERAGE(F1985:F2184)</f>
        <v/>
      </c>
    </row>
    <row r="2185">
      <c r="C2185" s="539" t="n">
        <v>42619</v>
      </c>
      <c r="D2185" t="n">
        <v>128.7100067138672</v>
      </c>
      <c r="E2185" t="n">
        <v>83.12000274658203</v>
      </c>
      <c r="F2185" t="n">
        <v>17.43255233764648</v>
      </c>
      <c r="G2185" t="n">
        <v>73.03624725341797</v>
      </c>
      <c r="H2185">
        <f>AVERAGE(D1986:D2185)</f>
        <v/>
      </c>
      <c r="I2185">
        <f>AVERAGE(E1986:E2185)</f>
        <v/>
      </c>
      <c r="J2185">
        <f>AVERAGE(F1986:F2185)</f>
        <v/>
      </c>
    </row>
    <row r="2186">
      <c r="C2186" s="539" t="n">
        <v>42620</v>
      </c>
      <c r="D2186" t="n">
        <v>128.2700042724609</v>
      </c>
      <c r="E2186" t="n">
        <v>84.16000366210938</v>
      </c>
      <c r="F2186" t="n">
        <v>17.62166213989258</v>
      </c>
      <c r="G2186" t="n">
        <v>73.02029418945312</v>
      </c>
      <c r="H2186">
        <f>AVERAGE(D1987:D2186)</f>
        <v/>
      </c>
      <c r="I2186">
        <f>AVERAGE(E1987:E2186)</f>
        <v/>
      </c>
      <c r="J2186">
        <f>AVERAGE(F1987:F2186)</f>
        <v/>
      </c>
    </row>
    <row r="2187">
      <c r="C2187" s="539" t="n">
        <v>42621</v>
      </c>
      <c r="D2187" t="n">
        <v>127.5899963378906</v>
      </c>
      <c r="E2187" t="n">
        <v>87.68000030517578</v>
      </c>
      <c r="F2187" t="n">
        <v>17.60447120666504</v>
      </c>
      <c r="G2187" t="n">
        <v>73.02029418945312</v>
      </c>
      <c r="H2187">
        <f>AVERAGE(D1988:D2187)</f>
        <v/>
      </c>
      <c r="I2187">
        <f>AVERAGE(E1988:E2187)</f>
        <v/>
      </c>
      <c r="J2187">
        <f>AVERAGE(F1988:F2187)</f>
        <v/>
      </c>
    </row>
    <row r="2188">
      <c r="C2188" s="539" t="n">
        <v>42622</v>
      </c>
      <c r="D2188" t="n">
        <v>126.75</v>
      </c>
      <c r="E2188" t="n">
        <v>84.72000122070312</v>
      </c>
      <c r="F2188" t="n">
        <v>17.48412704467773</v>
      </c>
      <c r="G2188" t="n">
        <v>73.03624725341797</v>
      </c>
      <c r="H2188">
        <f>AVERAGE(D1989:D2188)</f>
        <v/>
      </c>
      <c r="I2188">
        <f>AVERAGE(E1989:E2188)</f>
        <v/>
      </c>
      <c r="J2188">
        <f>AVERAGE(F1989:F2188)</f>
        <v/>
      </c>
    </row>
    <row r="2189">
      <c r="C2189" s="539" t="n">
        <v>42625</v>
      </c>
      <c r="D2189" t="n">
        <v>126.5899963378906</v>
      </c>
      <c r="E2189" t="n">
        <v>85.12000274658203</v>
      </c>
      <c r="F2189" t="n">
        <v>17.50131797790527</v>
      </c>
      <c r="G2189" t="n">
        <v>73.00429534912109</v>
      </c>
      <c r="H2189">
        <f>AVERAGE(D1990:D2189)</f>
        <v/>
      </c>
      <c r="I2189">
        <f>AVERAGE(E1990:E2189)</f>
        <v/>
      </c>
      <c r="J2189">
        <f>AVERAGE(F1990:F2189)</f>
        <v/>
      </c>
    </row>
    <row r="2190">
      <c r="C2190" s="539" t="n">
        <v>42626</v>
      </c>
      <c r="D2190" t="n">
        <v>125.75</v>
      </c>
      <c r="E2190" t="n">
        <v>82.95999908447266</v>
      </c>
      <c r="F2190" t="n">
        <v>17.26922798156738</v>
      </c>
      <c r="G2190" t="n">
        <v>73.02029418945312</v>
      </c>
      <c r="H2190">
        <f>AVERAGE(D1991:D2190)</f>
        <v/>
      </c>
      <c r="I2190">
        <f>AVERAGE(E1991:E2190)</f>
        <v/>
      </c>
      <c r="J2190">
        <f>AVERAGE(F1991:F2190)</f>
        <v/>
      </c>
    </row>
    <row r="2191">
      <c r="C2191" s="539" t="n">
        <v>42627</v>
      </c>
      <c r="D2191" t="n">
        <v>126.1800003051758</v>
      </c>
      <c r="E2191" t="n">
        <v>80.72000122070312</v>
      </c>
      <c r="F2191" t="n">
        <v>17.23484230041504</v>
      </c>
      <c r="G2191" t="n">
        <v>73.02029418945312</v>
      </c>
      <c r="H2191">
        <f>AVERAGE(D1992:D2191)</f>
        <v/>
      </c>
      <c r="I2191">
        <f>AVERAGE(E1992:E2191)</f>
        <v/>
      </c>
      <c r="J2191">
        <f>AVERAGE(F1992:F2191)</f>
        <v/>
      </c>
    </row>
    <row r="2192">
      <c r="C2192" s="539" t="n">
        <v>42628</v>
      </c>
      <c r="D2192" t="n">
        <v>125.370002746582</v>
      </c>
      <c r="E2192" t="n">
        <v>81.12000274658203</v>
      </c>
      <c r="F2192" t="n">
        <v>17.29501724243164</v>
      </c>
      <c r="G2192" t="n">
        <v>73.02029418945312</v>
      </c>
      <c r="H2192">
        <f>AVERAGE(D1993:D2192)</f>
        <v/>
      </c>
      <c r="I2192">
        <f>AVERAGE(E1993:E2192)</f>
        <v/>
      </c>
      <c r="J2192">
        <f>AVERAGE(F1993:F2192)</f>
        <v/>
      </c>
    </row>
    <row r="2193">
      <c r="C2193" s="539" t="n">
        <v>42629</v>
      </c>
      <c r="D2193" t="n">
        <v>125.0599975585938</v>
      </c>
      <c r="E2193" t="n">
        <v>80</v>
      </c>
      <c r="F2193" t="n">
        <v>17.47553062438965</v>
      </c>
      <c r="G2193" t="n">
        <v>73.02029418945312</v>
      </c>
      <c r="H2193">
        <f>AVERAGE(D1994:D2193)</f>
        <v/>
      </c>
      <c r="I2193">
        <f>AVERAGE(E1994:E2193)</f>
        <v/>
      </c>
      <c r="J2193">
        <f>AVERAGE(F1994:F2193)</f>
        <v/>
      </c>
    </row>
    <row r="2194">
      <c r="C2194" s="539" t="n">
        <v>42632</v>
      </c>
      <c r="D2194" t="n">
        <v>125.3199996948242</v>
      </c>
      <c r="E2194" t="n">
        <v>79.83999633789062</v>
      </c>
      <c r="F2194" t="n">
        <v>17.57008934020996</v>
      </c>
      <c r="G2194" t="n">
        <v>73.02029418945312</v>
      </c>
      <c r="H2194">
        <f>AVERAGE(D1995:D2194)</f>
        <v/>
      </c>
      <c r="I2194">
        <f>AVERAGE(E1995:E2194)</f>
        <v/>
      </c>
      <c r="J2194">
        <f>AVERAGE(F1995:F2194)</f>
        <v/>
      </c>
    </row>
    <row r="2195">
      <c r="C2195" s="539" t="n">
        <v>42633</v>
      </c>
      <c r="D2195" t="n">
        <v>125.4400024414062</v>
      </c>
      <c r="E2195" t="n">
        <v>80.55999755859375</v>
      </c>
      <c r="F2195" t="n">
        <v>17.72481346130371</v>
      </c>
      <c r="G2195" t="n">
        <v>73.02029418945312</v>
      </c>
      <c r="H2195">
        <f>AVERAGE(D1996:D2195)</f>
        <v/>
      </c>
      <c r="I2195">
        <f>AVERAGE(E1996:E2195)</f>
        <v/>
      </c>
      <c r="J2195">
        <f>AVERAGE(F1996:F2195)</f>
        <v/>
      </c>
    </row>
    <row r="2196">
      <c r="C2196" s="539" t="n">
        <v>42634</v>
      </c>
      <c r="D2196" t="n">
        <v>127.2699966430664</v>
      </c>
      <c r="E2196" t="n">
        <v>83.19999694824219</v>
      </c>
      <c r="F2196" t="n">
        <v>17.74200439453125</v>
      </c>
      <c r="G2196" t="n">
        <v>73.02029418945312</v>
      </c>
      <c r="H2196">
        <f>AVERAGE(D1997:D2196)</f>
        <v/>
      </c>
      <c r="I2196">
        <f>AVERAGE(E1997:E2196)</f>
        <v/>
      </c>
      <c r="J2196">
        <f>AVERAGE(F1997:F2196)</f>
        <v/>
      </c>
    </row>
    <row r="2197">
      <c r="C2197" s="539" t="n">
        <v>42635</v>
      </c>
      <c r="D2197" t="n">
        <v>127.5699996948242</v>
      </c>
      <c r="E2197" t="n">
        <v>84.23999786376953</v>
      </c>
      <c r="F2197" t="n">
        <v>17.6732349395752</v>
      </c>
      <c r="G2197" t="n">
        <v>73.03624725341797</v>
      </c>
      <c r="H2197">
        <f>AVERAGE(D1998:D2197)</f>
        <v/>
      </c>
      <c r="I2197">
        <f>AVERAGE(E1998:E2197)</f>
        <v/>
      </c>
      <c r="J2197">
        <f>AVERAGE(F1998:F2197)</f>
        <v/>
      </c>
    </row>
    <row r="2198">
      <c r="C2198" s="539" t="n">
        <v>42636</v>
      </c>
      <c r="D2198" t="n">
        <v>127.6500015258789</v>
      </c>
      <c r="E2198" t="n">
        <v>81.51999664306641</v>
      </c>
      <c r="F2198" t="n">
        <v>17.59587097167969</v>
      </c>
      <c r="G2198" t="n">
        <v>73.03624725341797</v>
      </c>
      <c r="H2198">
        <f>AVERAGE(D1999:D2198)</f>
        <v/>
      </c>
      <c r="I2198">
        <f>AVERAGE(E1999:E2198)</f>
        <v/>
      </c>
      <c r="J2198">
        <f>AVERAGE(F1999:F2198)</f>
        <v/>
      </c>
    </row>
    <row r="2199">
      <c r="C2199" s="539" t="n">
        <v>42639</v>
      </c>
      <c r="D2199" t="n">
        <v>127.5500030517578</v>
      </c>
      <c r="E2199" t="n">
        <v>83.44000244140625</v>
      </c>
      <c r="F2199" t="n">
        <v>17.54429626464844</v>
      </c>
      <c r="G2199" t="n">
        <v>73.03624725341797</v>
      </c>
      <c r="H2199">
        <f>AVERAGE(D2000:D2199)</f>
        <v/>
      </c>
      <c r="I2199">
        <f>AVERAGE(E2000:E2199)</f>
        <v/>
      </c>
      <c r="J2199">
        <f>AVERAGE(F2000:F2199)</f>
        <v/>
      </c>
    </row>
    <row r="2200">
      <c r="C2200" s="539" t="n">
        <v>42640</v>
      </c>
      <c r="D2200" t="n">
        <v>126.620002746582</v>
      </c>
      <c r="E2200" t="n">
        <v>81.19999694824219</v>
      </c>
      <c r="F2200" t="n">
        <v>17.49272155761719</v>
      </c>
      <c r="G2200" t="n">
        <v>73.02029418945312</v>
      </c>
      <c r="H2200">
        <f>AVERAGE(D2001:D2200)</f>
        <v/>
      </c>
      <c r="I2200">
        <f>AVERAGE(E2001:E2200)</f>
        <v/>
      </c>
      <c r="J2200">
        <f>AVERAGE(F2001:F2200)</f>
        <v/>
      </c>
    </row>
    <row r="2201">
      <c r="C2201" s="539" t="n">
        <v>42641</v>
      </c>
      <c r="D2201" t="n">
        <v>126.2200012207031</v>
      </c>
      <c r="E2201" t="n">
        <v>85.19999694824219</v>
      </c>
      <c r="F2201" t="n">
        <v>17.48412704467773</v>
      </c>
      <c r="G2201" t="n">
        <v>73.02029418945312</v>
      </c>
      <c r="H2201">
        <f>AVERAGE(D2002:D2201)</f>
        <v/>
      </c>
      <c r="I2201">
        <f>AVERAGE(E2002:E2201)</f>
        <v/>
      </c>
      <c r="J2201">
        <f>AVERAGE(F2002:F2201)</f>
        <v/>
      </c>
    </row>
    <row r="2202">
      <c r="C2202" s="539" t="n">
        <v>42642</v>
      </c>
      <c r="D2202" t="n">
        <v>126.0699996948242</v>
      </c>
      <c r="E2202" t="n">
        <v>86.95999908447266</v>
      </c>
      <c r="F2202" t="n">
        <v>17.32080459594727</v>
      </c>
      <c r="G2202" t="n">
        <v>73.02029418945312</v>
      </c>
      <c r="H2202">
        <f>AVERAGE(D2003:D2202)</f>
        <v/>
      </c>
      <c r="I2202">
        <f>AVERAGE(E2003:E2202)</f>
        <v/>
      </c>
      <c r="J2202">
        <f>AVERAGE(F2003:F2202)</f>
        <v/>
      </c>
    </row>
    <row r="2203">
      <c r="C2203" s="539" t="n">
        <v>42643</v>
      </c>
      <c r="D2203" t="n">
        <v>125.6399993896484</v>
      </c>
      <c r="E2203" t="n">
        <v>87.44000244140625</v>
      </c>
      <c r="F2203" t="n">
        <v>17.17467308044434</v>
      </c>
      <c r="G2203" t="n">
        <v>73.03624725341797</v>
      </c>
      <c r="H2203">
        <f>AVERAGE(D2004:D2203)</f>
        <v/>
      </c>
      <c r="I2203">
        <f>AVERAGE(E2004:E2203)</f>
        <v/>
      </c>
      <c r="J2203">
        <f>AVERAGE(F2004:F2203)</f>
        <v/>
      </c>
    </row>
    <row r="2204">
      <c r="C2204" s="539" t="n">
        <v>42646</v>
      </c>
      <c r="D2204" t="n">
        <v>125.3199996948242</v>
      </c>
      <c r="E2204" t="n">
        <v>88.80000305175781</v>
      </c>
      <c r="F2204" t="n">
        <v>17.19186401367188</v>
      </c>
      <c r="G2204" t="n">
        <v>73.02029418945312</v>
      </c>
      <c r="H2204">
        <f>AVERAGE(D2005:D2204)</f>
        <v/>
      </c>
      <c r="I2204">
        <f>AVERAGE(E2005:E2204)</f>
        <v/>
      </c>
      <c r="J2204">
        <f>AVERAGE(F2005:F2204)</f>
        <v/>
      </c>
    </row>
    <row r="2205">
      <c r="C2205" s="539" t="n">
        <v>42647</v>
      </c>
      <c r="D2205" t="n">
        <v>120.9700012207031</v>
      </c>
      <c r="E2205" t="n">
        <v>88.72000122070312</v>
      </c>
      <c r="F2205" t="n">
        <v>17.30361175537109</v>
      </c>
      <c r="G2205" t="n">
        <v>73.03624725341797</v>
      </c>
      <c r="H2205">
        <f>AVERAGE(D2006:D2205)</f>
        <v/>
      </c>
      <c r="I2205">
        <f>AVERAGE(E2006:E2205)</f>
        <v/>
      </c>
      <c r="J2205">
        <f>AVERAGE(F2006:F2205)</f>
        <v/>
      </c>
    </row>
    <row r="2206">
      <c r="C2206" s="539" t="n">
        <v>42648</v>
      </c>
      <c r="D2206" t="n">
        <v>120.7799987792969</v>
      </c>
      <c r="E2206" t="n">
        <v>90.80000305175781</v>
      </c>
      <c r="F2206" t="n">
        <v>17.33799743652344</v>
      </c>
      <c r="G2206" t="n">
        <v>73.03624725341797</v>
      </c>
      <c r="H2206">
        <f>AVERAGE(D2007:D2206)</f>
        <v/>
      </c>
      <c r="I2206">
        <f>AVERAGE(E2007:E2206)</f>
        <v/>
      </c>
      <c r="J2206">
        <f>AVERAGE(F2007:F2206)</f>
        <v/>
      </c>
    </row>
    <row r="2207">
      <c r="C2207" s="539" t="n">
        <v>42649</v>
      </c>
      <c r="D2207" t="n">
        <v>119.6600036621094</v>
      </c>
      <c r="E2207" t="n">
        <v>92.08000183105469</v>
      </c>
      <c r="F2207" t="n">
        <v>17.22624969482422</v>
      </c>
      <c r="G2207" t="n">
        <v>73.03624725341797</v>
      </c>
      <c r="H2207">
        <f>AVERAGE(D2008:D2207)</f>
        <v/>
      </c>
      <c r="I2207">
        <f>AVERAGE(E2008:E2207)</f>
        <v/>
      </c>
      <c r="J2207">
        <f>AVERAGE(F2008:F2207)</f>
        <v/>
      </c>
    </row>
    <row r="2208">
      <c r="C2208" s="539" t="n">
        <v>42650</v>
      </c>
      <c r="D2208" t="n">
        <v>119.7399978637695</v>
      </c>
      <c r="E2208" t="n">
        <v>90.63999938964844</v>
      </c>
      <c r="F2208" t="n">
        <v>17.23484230041504</v>
      </c>
      <c r="G2208" t="n">
        <v>73.03624725341797</v>
      </c>
      <c r="H2208">
        <f>AVERAGE(D2009:D2208)</f>
        <v/>
      </c>
      <c r="I2208">
        <f>AVERAGE(E2009:E2208)</f>
        <v/>
      </c>
      <c r="J2208">
        <f>AVERAGE(F2009:F2208)</f>
        <v/>
      </c>
    </row>
    <row r="2209">
      <c r="C2209" s="539" t="n">
        <v>42653</v>
      </c>
      <c r="D2209" t="n">
        <v>120.1600036621094</v>
      </c>
      <c r="E2209" t="n">
        <v>93.36000061035156</v>
      </c>
      <c r="F2209" t="n">
        <v>17.19186401367188</v>
      </c>
      <c r="G2209" t="n">
        <v>73.03624725341797</v>
      </c>
      <c r="H2209">
        <f>AVERAGE(D2010:D2209)</f>
        <v/>
      </c>
      <c r="I2209">
        <f>AVERAGE(E2010:E2209)</f>
        <v/>
      </c>
      <c r="J2209">
        <f>AVERAGE(F2010:F2209)</f>
        <v/>
      </c>
    </row>
    <row r="2210">
      <c r="C2210" s="539" t="n">
        <v>42654</v>
      </c>
      <c r="D2210" t="n">
        <v>119.5500030517578</v>
      </c>
      <c r="E2210" t="n">
        <v>92.63999938964844</v>
      </c>
      <c r="F2210" t="n">
        <v>17.20905685424805</v>
      </c>
      <c r="G2210" t="n">
        <v>73.02029418945312</v>
      </c>
      <c r="H2210">
        <f>AVERAGE(D2011:D2210)</f>
        <v/>
      </c>
      <c r="I2210">
        <f>AVERAGE(E2011:E2210)</f>
        <v/>
      </c>
      <c r="J2210">
        <f>AVERAGE(F2011:F2210)</f>
        <v/>
      </c>
    </row>
    <row r="2211">
      <c r="C2211" s="539" t="n">
        <v>42655</v>
      </c>
      <c r="D2211" t="n">
        <v>119.7399978637695</v>
      </c>
      <c r="E2211" t="n">
        <v>91.44000244140625</v>
      </c>
      <c r="F2211" t="n">
        <v>17.14028930664062</v>
      </c>
      <c r="G2211" t="n">
        <v>73.03624725341797</v>
      </c>
      <c r="H2211">
        <f>AVERAGE(D2012:D2211)</f>
        <v/>
      </c>
      <c r="I2211">
        <f>AVERAGE(E2012:E2211)</f>
        <v/>
      </c>
      <c r="J2211">
        <f>AVERAGE(F2012:F2211)</f>
        <v/>
      </c>
    </row>
    <row r="2212">
      <c r="C2212" s="539" t="n">
        <v>42656</v>
      </c>
      <c r="D2212" t="n">
        <v>120.0299987792969</v>
      </c>
      <c r="E2212" t="n">
        <v>91.91999816894531</v>
      </c>
      <c r="F2212" t="n">
        <v>17.26063346862793</v>
      </c>
      <c r="G2212" t="n">
        <v>73.02029418945312</v>
      </c>
      <c r="H2212">
        <f>AVERAGE(D2013:D2212)</f>
        <v/>
      </c>
      <c r="I2212">
        <f>AVERAGE(E2013:E2212)</f>
        <v/>
      </c>
      <c r="J2212">
        <f>AVERAGE(F2013:F2212)</f>
        <v/>
      </c>
    </row>
    <row r="2213">
      <c r="C2213" s="539" t="n">
        <v>42657</v>
      </c>
      <c r="D2213" t="n">
        <v>119.3600006103516</v>
      </c>
      <c r="E2213" t="n">
        <v>91.51999664306641</v>
      </c>
      <c r="F2213" t="n">
        <v>17.34659004211426</v>
      </c>
      <c r="G2213" t="n">
        <v>73.02029418945312</v>
      </c>
      <c r="H2213">
        <f>AVERAGE(D2014:D2213)</f>
        <v/>
      </c>
      <c r="I2213">
        <f>AVERAGE(E2014:E2213)</f>
        <v/>
      </c>
      <c r="J2213">
        <f>AVERAGE(F2014:F2213)</f>
        <v/>
      </c>
    </row>
    <row r="2214">
      <c r="C2214" s="539" t="n">
        <v>42660</v>
      </c>
      <c r="D2214" t="n">
        <v>119.6800003051758</v>
      </c>
      <c r="E2214" t="n">
        <v>90.95999908447266</v>
      </c>
      <c r="F2214" t="n">
        <v>17.43255233764648</v>
      </c>
      <c r="G2214" t="n">
        <v>73.02029418945312</v>
      </c>
      <c r="H2214">
        <f>AVERAGE(D2015:D2214)</f>
        <v/>
      </c>
      <c r="I2214">
        <f>AVERAGE(E2015:E2214)</f>
        <v/>
      </c>
      <c r="J2214">
        <f>AVERAGE(F2015:F2214)</f>
        <v/>
      </c>
    </row>
    <row r="2215">
      <c r="C2215" s="539" t="n">
        <v>42661</v>
      </c>
      <c r="D2215" t="n">
        <v>120.4199981689453</v>
      </c>
      <c r="E2215" t="n">
        <v>91.59999847412109</v>
      </c>
      <c r="F2215" t="n">
        <v>17.4239559173584</v>
      </c>
      <c r="G2215" t="n">
        <v>73.02029418945312</v>
      </c>
      <c r="H2215">
        <f>AVERAGE(D2016:D2215)</f>
        <v/>
      </c>
      <c r="I2215">
        <f>AVERAGE(E2016:E2215)</f>
        <v/>
      </c>
      <c r="J2215">
        <f>AVERAGE(F2016:F2215)</f>
        <v/>
      </c>
    </row>
    <row r="2216">
      <c r="C2216" s="539" t="n">
        <v>42662</v>
      </c>
      <c r="D2216" t="n">
        <v>121.1100006103516</v>
      </c>
      <c r="E2216" t="n">
        <v>93.27999877929688</v>
      </c>
      <c r="F2216" t="n">
        <v>17.41535949707031</v>
      </c>
      <c r="G2216" t="n">
        <v>73.03624725341797</v>
      </c>
      <c r="H2216">
        <f>AVERAGE(D2017:D2216)</f>
        <v/>
      </c>
      <c r="I2216">
        <f>AVERAGE(E2017:E2216)</f>
        <v/>
      </c>
      <c r="J2216">
        <f>AVERAGE(F2017:F2216)</f>
        <v/>
      </c>
    </row>
    <row r="2217">
      <c r="C2217" s="539" t="n">
        <v>42663</v>
      </c>
      <c r="D2217" t="n">
        <v>120.7399978637695</v>
      </c>
      <c r="E2217" t="n">
        <v>91.44000244140625</v>
      </c>
      <c r="F2217" t="n">
        <v>17.37237930297852</v>
      </c>
      <c r="G2217" t="n">
        <v>73.02029418945312</v>
      </c>
      <c r="H2217">
        <f>AVERAGE(D2018:D2217)</f>
        <v/>
      </c>
      <c r="I2217">
        <f>AVERAGE(E2018:E2217)</f>
        <v/>
      </c>
      <c r="J2217">
        <f>AVERAGE(F2018:F2217)</f>
        <v/>
      </c>
    </row>
    <row r="2218">
      <c r="C2218" s="539" t="n">
        <v>42664</v>
      </c>
      <c r="D2218" t="n">
        <v>120.8300018310547</v>
      </c>
      <c r="E2218" t="n">
        <v>91.83999633789062</v>
      </c>
      <c r="F2218" t="n">
        <v>17.43255233764648</v>
      </c>
      <c r="G2218" t="n">
        <v>73.02029418945312</v>
      </c>
      <c r="H2218">
        <f>AVERAGE(D2019:D2218)</f>
        <v/>
      </c>
      <c r="I2218">
        <f>AVERAGE(E2019:E2218)</f>
        <v/>
      </c>
      <c r="J2218">
        <f>AVERAGE(F2019:F2218)</f>
        <v/>
      </c>
    </row>
    <row r="2219">
      <c r="C2219" s="539" t="n">
        <v>42667</v>
      </c>
      <c r="D2219" t="n">
        <v>120.5599975585938</v>
      </c>
      <c r="E2219" t="n">
        <v>91.44000244140625</v>
      </c>
      <c r="F2219" t="n">
        <v>17.57868194580078</v>
      </c>
      <c r="G2219" t="n">
        <v>73.02029418945312</v>
      </c>
      <c r="H2219">
        <f>AVERAGE(D2020:D2219)</f>
        <v/>
      </c>
      <c r="I2219">
        <f>AVERAGE(E2020:E2219)</f>
        <v/>
      </c>
      <c r="J2219">
        <f>AVERAGE(F2020:F2219)</f>
        <v/>
      </c>
    </row>
    <row r="2220">
      <c r="C2220" s="539" t="n">
        <v>42668</v>
      </c>
      <c r="D2220" t="n">
        <v>121.4700012207031</v>
      </c>
      <c r="E2220" t="n">
        <v>89.91999816894531</v>
      </c>
      <c r="F2220" t="n">
        <v>17.69042778015137</v>
      </c>
      <c r="G2220" t="n">
        <v>73.02029418945312</v>
      </c>
      <c r="H2220">
        <f>AVERAGE(D2021:D2220)</f>
        <v/>
      </c>
      <c r="I2220">
        <f>AVERAGE(E2021:E2220)</f>
        <v/>
      </c>
      <c r="J2220">
        <f>AVERAGE(F2021:F2220)</f>
        <v/>
      </c>
    </row>
    <row r="2221">
      <c r="C2221" s="539" t="n">
        <v>42669</v>
      </c>
      <c r="D2221" t="n">
        <v>120.7900009155273</v>
      </c>
      <c r="E2221" t="n">
        <v>88.72000122070312</v>
      </c>
      <c r="F2221" t="n">
        <v>17.72481346130371</v>
      </c>
      <c r="G2221" t="n">
        <v>73.03624725341797</v>
      </c>
      <c r="H2221">
        <f>AVERAGE(D2022:D2221)</f>
        <v/>
      </c>
      <c r="I2221">
        <f>AVERAGE(E2022:E2221)</f>
        <v/>
      </c>
      <c r="J2221">
        <f>AVERAGE(F2022:F2221)</f>
        <v/>
      </c>
    </row>
    <row r="2222">
      <c r="C2222" s="539" t="n">
        <v>42670</v>
      </c>
      <c r="D2222" t="n">
        <v>121.0100021362305</v>
      </c>
      <c r="E2222" t="n">
        <v>89.68000030517578</v>
      </c>
      <c r="F2222" t="n">
        <v>17.7935791015625</v>
      </c>
      <c r="G2222" t="n">
        <v>73.02029418945312</v>
      </c>
      <c r="H2222">
        <f>AVERAGE(D2023:D2222)</f>
        <v/>
      </c>
      <c r="I2222">
        <f>AVERAGE(E2023:E2222)</f>
        <v/>
      </c>
      <c r="J2222">
        <f>AVERAGE(F2023:F2222)</f>
        <v/>
      </c>
    </row>
    <row r="2223">
      <c r="C2223" s="539" t="n">
        <v>42671</v>
      </c>
      <c r="D2223" t="n">
        <v>121.5800018310547</v>
      </c>
      <c r="E2223" t="n">
        <v>88.08000183105469</v>
      </c>
      <c r="F2223" t="n">
        <v>17.73340797424316</v>
      </c>
      <c r="G2223" t="n">
        <v>73.03624725341797</v>
      </c>
      <c r="H2223">
        <f>AVERAGE(D2024:D2223)</f>
        <v/>
      </c>
      <c r="I2223">
        <f>AVERAGE(E2024:E2223)</f>
        <v/>
      </c>
      <c r="J2223">
        <f>AVERAGE(F2024:F2223)</f>
        <v/>
      </c>
    </row>
    <row r="2224">
      <c r="C2224" s="539" t="n">
        <v>42674</v>
      </c>
      <c r="D2224" t="n">
        <v>121.9400024414062</v>
      </c>
      <c r="E2224" t="n">
        <v>84.23999786376953</v>
      </c>
      <c r="F2224" t="n">
        <v>17.63885307312012</v>
      </c>
      <c r="G2224" t="n">
        <v>73.05223083496094</v>
      </c>
      <c r="H2224">
        <f>AVERAGE(D2025:D2224)</f>
        <v/>
      </c>
      <c r="I2224">
        <f>AVERAGE(E2025:E2224)</f>
        <v/>
      </c>
      <c r="J2224">
        <f>AVERAGE(F2025:F2224)</f>
        <v/>
      </c>
    </row>
    <row r="2225">
      <c r="C2225" s="539" t="n">
        <v>42675</v>
      </c>
      <c r="D2225" t="n">
        <v>122.7300033569336</v>
      </c>
      <c r="E2225" t="n">
        <v>84.55999755859375</v>
      </c>
      <c r="F2225" t="n">
        <v>17.48412704467773</v>
      </c>
      <c r="G2225" t="n">
        <v>73.03624725341797</v>
      </c>
      <c r="H2225">
        <f>AVERAGE(D2026:D2225)</f>
        <v/>
      </c>
      <c r="I2225">
        <f>AVERAGE(E2026:E2225)</f>
        <v/>
      </c>
      <c r="J2225">
        <f>AVERAGE(F2026:F2225)</f>
        <v/>
      </c>
    </row>
    <row r="2226">
      <c r="C2226" s="539" t="n">
        <v>42676</v>
      </c>
      <c r="D2226" t="n">
        <v>123.6399993896484</v>
      </c>
      <c r="E2226" t="n">
        <v>82.23999786376953</v>
      </c>
      <c r="F2226" t="n">
        <v>17.58727836608887</v>
      </c>
      <c r="G2226" t="n">
        <v>73.05223083496094</v>
      </c>
      <c r="H2226">
        <f>AVERAGE(D2027:D2226)</f>
        <v/>
      </c>
      <c r="I2226">
        <f>AVERAGE(E2027:E2226)</f>
        <v/>
      </c>
      <c r="J2226">
        <f>AVERAGE(F2027:F2226)</f>
        <v/>
      </c>
    </row>
    <row r="2227">
      <c r="C2227" s="539" t="n">
        <v>42677</v>
      </c>
      <c r="D2227" t="n">
        <v>124.3000030517578</v>
      </c>
      <c r="E2227" t="n">
        <v>80.63999938964844</v>
      </c>
      <c r="F2227" t="n">
        <v>17.55289459228516</v>
      </c>
      <c r="G2227" t="n">
        <v>73.03624725341797</v>
      </c>
      <c r="H2227">
        <f>AVERAGE(D2028:D2227)</f>
        <v/>
      </c>
      <c r="I2227">
        <f>AVERAGE(E2028:E2227)</f>
        <v/>
      </c>
      <c r="J2227">
        <f>AVERAGE(F2028:F2227)</f>
        <v/>
      </c>
    </row>
    <row r="2228">
      <c r="C2228" s="539" t="n">
        <v>42678</v>
      </c>
      <c r="D2228" t="n">
        <v>124.3899993896484</v>
      </c>
      <c r="E2228" t="n">
        <v>79.83999633789062</v>
      </c>
      <c r="F2228" t="n">
        <v>17.55289459228516</v>
      </c>
      <c r="G2228" t="n">
        <v>73.05223083496094</v>
      </c>
      <c r="H2228">
        <f>AVERAGE(D2029:D2228)</f>
        <v/>
      </c>
      <c r="I2228">
        <f>AVERAGE(E2029:E2228)</f>
        <v/>
      </c>
      <c r="J2228">
        <f>AVERAGE(F2029:F2228)</f>
        <v/>
      </c>
    </row>
    <row r="2229">
      <c r="C2229" s="539" t="n">
        <v>42681</v>
      </c>
      <c r="D2229" t="n">
        <v>122.1500015258789</v>
      </c>
      <c r="E2229" t="n">
        <v>81.27999877929688</v>
      </c>
      <c r="F2229" t="n">
        <v>17.52710723876953</v>
      </c>
      <c r="G2229" t="n">
        <v>73.03624725341797</v>
      </c>
      <c r="H2229">
        <f>AVERAGE(D2030:D2229)</f>
        <v/>
      </c>
      <c r="I2229">
        <f>AVERAGE(E2030:E2229)</f>
        <v/>
      </c>
      <c r="J2229">
        <f>AVERAGE(F2030:F2229)</f>
        <v/>
      </c>
    </row>
    <row r="2230">
      <c r="C2230" s="539" t="n">
        <v>42682</v>
      </c>
      <c r="D2230" t="n">
        <v>121.6399993896484</v>
      </c>
      <c r="E2230" t="n">
        <v>80.80000305175781</v>
      </c>
      <c r="F2230" t="n">
        <v>17.56149101257324</v>
      </c>
      <c r="G2230" t="n">
        <v>73.05223083496094</v>
      </c>
      <c r="H2230">
        <f>AVERAGE(D2031:D2230)</f>
        <v/>
      </c>
      <c r="I2230">
        <f>AVERAGE(E2031:E2230)</f>
        <v/>
      </c>
      <c r="J2230">
        <f>AVERAGE(F2031:F2230)</f>
        <v/>
      </c>
    </row>
    <row r="2231">
      <c r="C2231" s="539" t="n">
        <v>42683</v>
      </c>
      <c r="D2231" t="n">
        <v>121.5599975585938</v>
      </c>
      <c r="E2231" t="n">
        <v>82.23999786376953</v>
      </c>
      <c r="F2231" t="n">
        <v>17.48412704467773</v>
      </c>
      <c r="G2231" t="n">
        <v>73.02029418945312</v>
      </c>
      <c r="H2231">
        <f>AVERAGE(D2032:D2231)</f>
        <v/>
      </c>
      <c r="I2231">
        <f>AVERAGE(E2032:E2231)</f>
        <v/>
      </c>
      <c r="J2231">
        <f>AVERAGE(F2032:F2231)</f>
        <v/>
      </c>
    </row>
    <row r="2232">
      <c r="C2232" s="539" t="n">
        <v>42684</v>
      </c>
      <c r="D2232" t="n">
        <v>119.75</v>
      </c>
      <c r="E2232" t="n">
        <v>80.31999969482422</v>
      </c>
      <c r="F2232" t="n">
        <v>17.37237930297852</v>
      </c>
      <c r="G2232" t="n">
        <v>73.02029418945312</v>
      </c>
      <c r="H2232">
        <f>AVERAGE(D2033:D2232)</f>
        <v/>
      </c>
      <c r="I2232">
        <f>AVERAGE(E2033:E2232)</f>
        <v/>
      </c>
      <c r="J2232">
        <f>AVERAGE(F2033:F2232)</f>
        <v/>
      </c>
    </row>
    <row r="2233">
      <c r="C2233" s="539" t="n">
        <v>42685</v>
      </c>
      <c r="D2233" t="n">
        <v>117.0999984741211</v>
      </c>
      <c r="E2233" t="n">
        <v>78.16000366210938</v>
      </c>
      <c r="F2233" t="n">
        <v>17.34659004211426</v>
      </c>
      <c r="G2233" t="n">
        <v>72.98836517333984</v>
      </c>
      <c r="H2233">
        <f>AVERAGE(D2034:D2233)</f>
        <v/>
      </c>
      <c r="I2233">
        <f>AVERAGE(E2034:E2233)</f>
        <v/>
      </c>
      <c r="J2233">
        <f>AVERAGE(F2034:F2233)</f>
        <v/>
      </c>
    </row>
    <row r="2234">
      <c r="C2234" s="539" t="n">
        <v>42688</v>
      </c>
      <c r="D2234" t="n">
        <v>116.1100006103516</v>
      </c>
      <c r="E2234" t="n">
        <v>78.95999908447266</v>
      </c>
      <c r="F2234" t="n">
        <v>17.24344062805176</v>
      </c>
      <c r="G2234" t="n">
        <v>73.02029418945312</v>
      </c>
      <c r="H2234">
        <f>AVERAGE(D2035:D2234)</f>
        <v/>
      </c>
      <c r="I2234">
        <f>AVERAGE(E2035:E2234)</f>
        <v/>
      </c>
      <c r="J2234">
        <f>AVERAGE(F2035:F2234)</f>
        <v/>
      </c>
    </row>
    <row r="2235">
      <c r="C2235" s="539" t="n">
        <v>42689</v>
      </c>
      <c r="D2235" t="n">
        <v>117.120002746582</v>
      </c>
      <c r="E2235" t="n">
        <v>82.72000122070312</v>
      </c>
      <c r="F2235" t="n">
        <v>17.23484230041504</v>
      </c>
      <c r="G2235" t="n">
        <v>73.03624725341797</v>
      </c>
      <c r="H2235">
        <f>AVERAGE(D2036:D2235)</f>
        <v/>
      </c>
      <c r="I2235">
        <f>AVERAGE(E2036:E2235)</f>
        <v/>
      </c>
      <c r="J2235">
        <f>AVERAGE(F2036:F2235)</f>
        <v/>
      </c>
    </row>
    <row r="2236">
      <c r="C2236" s="539" t="n">
        <v>42690</v>
      </c>
      <c r="D2236" t="n">
        <v>116.7699966430664</v>
      </c>
      <c r="E2236" t="n">
        <v>81.83999633789062</v>
      </c>
      <c r="F2236" t="n">
        <v>17.25203514099121</v>
      </c>
      <c r="G2236" t="n">
        <v>73.03624725341797</v>
      </c>
      <c r="H2236">
        <f>AVERAGE(D2037:D2236)</f>
        <v/>
      </c>
      <c r="I2236">
        <f>AVERAGE(E2037:E2236)</f>
        <v/>
      </c>
      <c r="J2236">
        <f>AVERAGE(F2037:F2236)</f>
        <v/>
      </c>
    </row>
    <row r="2237">
      <c r="C2237" s="539" t="n">
        <v>42691</v>
      </c>
      <c r="D2237" t="n">
        <v>116.1699981689453</v>
      </c>
      <c r="E2237" t="n">
        <v>81.04000091552734</v>
      </c>
      <c r="F2237" t="n">
        <v>17.30361175537109</v>
      </c>
      <c r="G2237" t="n">
        <v>73.05223083496094</v>
      </c>
      <c r="H2237">
        <f>AVERAGE(D2038:D2237)</f>
        <v/>
      </c>
      <c r="I2237">
        <f>AVERAGE(E2038:E2237)</f>
        <v/>
      </c>
      <c r="J2237">
        <f>AVERAGE(F2038:F2237)</f>
        <v/>
      </c>
    </row>
    <row r="2238">
      <c r="C2238" s="539" t="n">
        <v>42692</v>
      </c>
      <c r="D2238" t="n">
        <v>115.1500015258789</v>
      </c>
      <c r="E2238" t="n">
        <v>82.55999755859375</v>
      </c>
      <c r="F2238" t="n">
        <v>17.32939910888672</v>
      </c>
      <c r="G2238" t="n">
        <v>73.03624725341797</v>
      </c>
      <c r="H2238">
        <f>AVERAGE(D2039:D2238)</f>
        <v/>
      </c>
      <c r="I2238">
        <f>AVERAGE(E2039:E2238)</f>
        <v/>
      </c>
      <c r="J2238">
        <f>AVERAGE(F2039:F2238)</f>
        <v/>
      </c>
    </row>
    <row r="2239">
      <c r="C2239" s="539" t="n">
        <v>42695</v>
      </c>
      <c r="D2239" t="n">
        <v>115.5800018310547</v>
      </c>
      <c r="E2239" t="n">
        <v>86.16000366210938</v>
      </c>
      <c r="F2239" t="n">
        <v>17.48412704467773</v>
      </c>
      <c r="G2239" t="n">
        <v>73.02029418945312</v>
      </c>
      <c r="H2239">
        <f>AVERAGE(D2040:D2239)</f>
        <v/>
      </c>
      <c r="I2239">
        <f>AVERAGE(E2040:E2239)</f>
        <v/>
      </c>
      <c r="J2239">
        <f>AVERAGE(F2040:F2239)</f>
        <v/>
      </c>
    </row>
    <row r="2240">
      <c r="C2240" s="539" t="n">
        <v>42696</v>
      </c>
      <c r="D2240" t="n">
        <v>115.5400009155273</v>
      </c>
      <c r="E2240" t="n">
        <v>85.04000091552734</v>
      </c>
      <c r="F2240" t="n">
        <v>17.45834159851074</v>
      </c>
      <c r="G2240" t="n">
        <v>73.02029418945312</v>
      </c>
      <c r="H2240">
        <f>AVERAGE(D2041:D2240)</f>
        <v/>
      </c>
      <c r="I2240">
        <f>AVERAGE(E2041:E2240)</f>
        <v/>
      </c>
      <c r="J2240">
        <f>AVERAGE(F2041:F2240)</f>
        <v/>
      </c>
    </row>
    <row r="2241">
      <c r="C2241" s="539" t="n">
        <v>42697</v>
      </c>
      <c r="D2241" t="n">
        <v>113.25</v>
      </c>
      <c r="E2241" t="n">
        <v>85.36000061035156</v>
      </c>
      <c r="F2241" t="n">
        <v>17.43255233764648</v>
      </c>
      <c r="G2241" t="n">
        <v>73.02029418945312</v>
      </c>
      <c r="H2241">
        <f>AVERAGE(D2042:D2241)</f>
        <v/>
      </c>
      <c r="I2241">
        <f>AVERAGE(E2042:E2241)</f>
        <v/>
      </c>
      <c r="J2241">
        <f>AVERAGE(F2042:F2241)</f>
        <v/>
      </c>
    </row>
    <row r="2242">
      <c r="C2242" s="539" t="n">
        <v>42699</v>
      </c>
      <c r="D2242" t="n">
        <v>112.6100006103516</v>
      </c>
      <c r="E2242" t="n">
        <v>82.63999938964844</v>
      </c>
      <c r="F2242" t="n">
        <v>17.44974136352539</v>
      </c>
      <c r="G2242" t="n">
        <v>73.03624725341797</v>
      </c>
      <c r="H2242">
        <f>AVERAGE(D2043:D2242)</f>
        <v/>
      </c>
      <c r="I2242">
        <f>AVERAGE(E2043:E2242)</f>
        <v/>
      </c>
      <c r="J2242">
        <f>AVERAGE(F2043:F2242)</f>
        <v/>
      </c>
    </row>
    <row r="2243">
      <c r="C2243" s="539" t="n">
        <v>42702</v>
      </c>
      <c r="D2243" t="n">
        <v>113.8000030517578</v>
      </c>
      <c r="E2243" t="n">
        <v>83.51999664306641</v>
      </c>
      <c r="F2243" t="n">
        <v>17.40676307678223</v>
      </c>
      <c r="G2243" t="n">
        <v>73.02029418945312</v>
      </c>
      <c r="H2243">
        <f>AVERAGE(D2044:D2243)</f>
        <v/>
      </c>
      <c r="I2243">
        <f>AVERAGE(E2044:E2243)</f>
        <v/>
      </c>
      <c r="J2243">
        <f>AVERAGE(F2044:F2243)</f>
        <v/>
      </c>
    </row>
    <row r="2244">
      <c r="C2244" s="539" t="n">
        <v>42703</v>
      </c>
      <c r="D2244" t="n">
        <v>113.2699966430664</v>
      </c>
      <c r="E2244" t="n">
        <v>80.48000335693359</v>
      </c>
      <c r="F2244" t="n">
        <v>17.19186401367188</v>
      </c>
      <c r="G2244" t="n">
        <v>73.02029418945312</v>
      </c>
      <c r="H2244">
        <f>AVERAGE(D2045:D2244)</f>
        <v/>
      </c>
      <c r="I2244">
        <f>AVERAGE(E2045:E2244)</f>
        <v/>
      </c>
      <c r="J2244">
        <f>AVERAGE(F2045:F2244)</f>
        <v/>
      </c>
    </row>
    <row r="2245">
      <c r="C2245" s="539" t="n">
        <v>42704</v>
      </c>
      <c r="D2245" t="n">
        <v>111.75</v>
      </c>
      <c r="E2245" t="n">
        <v>87.44000244140625</v>
      </c>
      <c r="F2245" t="n">
        <v>17.14028930664062</v>
      </c>
      <c r="G2245" t="n">
        <v>73.02029418945312</v>
      </c>
      <c r="H2245">
        <f>AVERAGE(D2046:D2245)</f>
        <v/>
      </c>
      <c r="I2245">
        <f>AVERAGE(E2046:E2245)</f>
        <v/>
      </c>
      <c r="J2245">
        <f>AVERAGE(F2046:F2245)</f>
        <v/>
      </c>
    </row>
    <row r="2246">
      <c r="C2246" s="539" t="n">
        <v>42705</v>
      </c>
      <c r="D2246" t="n">
        <v>111.5400009155273</v>
      </c>
      <c r="E2246" t="n">
        <v>90.63999938964844</v>
      </c>
      <c r="F2246" t="n">
        <v>16.95117950439453</v>
      </c>
      <c r="G2246" t="n">
        <v>73.05384826660156</v>
      </c>
      <c r="H2246">
        <f>AVERAGE(D2047:D2246)</f>
        <v/>
      </c>
      <c r="I2246">
        <f>AVERAGE(E2047:E2246)</f>
        <v/>
      </c>
      <c r="J2246">
        <f>AVERAGE(F2047:F2246)</f>
        <v/>
      </c>
    </row>
    <row r="2247">
      <c r="C2247" s="539" t="n">
        <v>42706</v>
      </c>
      <c r="D2247" t="n">
        <v>112.1399993896484</v>
      </c>
      <c r="E2247" t="n">
        <v>91.83999633789062</v>
      </c>
      <c r="F2247" t="n">
        <v>16.91679573059082</v>
      </c>
      <c r="G2247" t="n">
        <v>73.03785705566406</v>
      </c>
      <c r="H2247">
        <f>AVERAGE(D2048:D2247)</f>
        <v/>
      </c>
      <c r="I2247">
        <f>AVERAGE(E2048:E2247)</f>
        <v/>
      </c>
      <c r="J2247">
        <f>AVERAGE(F2048:F2247)</f>
        <v/>
      </c>
    </row>
    <row r="2248">
      <c r="C2248" s="539" t="n">
        <v>42709</v>
      </c>
      <c r="D2248" t="n">
        <v>111.5400009155273</v>
      </c>
      <c r="E2248" t="n">
        <v>90.80000305175781</v>
      </c>
      <c r="F2248" t="n">
        <v>16.99415969848633</v>
      </c>
      <c r="G2248" t="n">
        <v>73.03785705566406</v>
      </c>
      <c r="H2248">
        <f>AVERAGE(D2049:D2248)</f>
        <v/>
      </c>
      <c r="I2248">
        <f>AVERAGE(E2049:E2248)</f>
        <v/>
      </c>
      <c r="J2248">
        <f>AVERAGE(F2049:F2248)</f>
        <v/>
      </c>
    </row>
    <row r="2249">
      <c r="C2249" s="539" t="n">
        <v>42710</v>
      </c>
      <c r="D2249" t="n">
        <v>111.4300003051758</v>
      </c>
      <c r="E2249" t="n">
        <v>90.31999969482422</v>
      </c>
      <c r="F2249" t="n">
        <v>17.11450004577637</v>
      </c>
      <c r="G2249" t="n">
        <v>73.05384826660156</v>
      </c>
      <c r="H2249">
        <f>AVERAGE(D2050:D2249)</f>
        <v/>
      </c>
      <c r="I2249">
        <f>AVERAGE(E2050:E2249)</f>
        <v/>
      </c>
      <c r="J2249">
        <f>AVERAGE(F2050:F2249)</f>
        <v/>
      </c>
    </row>
    <row r="2250">
      <c r="C2250" s="539" t="n">
        <v>42711</v>
      </c>
      <c r="D2250" t="n">
        <v>111.8300018310547</v>
      </c>
      <c r="E2250" t="n">
        <v>88.72000122070312</v>
      </c>
      <c r="F2250" t="n">
        <v>17.15748023986816</v>
      </c>
      <c r="G2250" t="n">
        <v>73.05384826660156</v>
      </c>
      <c r="H2250">
        <f>AVERAGE(D2051:D2250)</f>
        <v/>
      </c>
      <c r="I2250">
        <f>AVERAGE(E2051:E2250)</f>
        <v/>
      </c>
      <c r="J2250">
        <f>AVERAGE(F2051:F2250)</f>
        <v/>
      </c>
    </row>
    <row r="2251">
      <c r="C2251" s="539" t="n">
        <v>42712</v>
      </c>
      <c r="D2251" t="n">
        <v>111.5699996948242</v>
      </c>
      <c r="E2251" t="n">
        <v>90.48000335693359</v>
      </c>
      <c r="F2251" t="n">
        <v>17.03713798522949</v>
      </c>
      <c r="G2251" t="n">
        <v>73.05384826660156</v>
      </c>
      <c r="H2251">
        <f>AVERAGE(D2052:D2251)</f>
        <v/>
      </c>
      <c r="I2251">
        <f>AVERAGE(E2052:E2251)</f>
        <v/>
      </c>
      <c r="J2251">
        <f>AVERAGE(F2052:F2251)</f>
        <v/>
      </c>
    </row>
    <row r="2252">
      <c r="C2252" s="539" t="n">
        <v>42713</v>
      </c>
      <c r="D2252" t="n">
        <v>110.4000015258789</v>
      </c>
      <c r="E2252" t="n">
        <v>91.51999664306641</v>
      </c>
      <c r="F2252" t="n">
        <v>17.01994514465332</v>
      </c>
      <c r="G2252" t="n">
        <v>73.05384826660156</v>
      </c>
      <c r="H2252">
        <f>AVERAGE(D2053:D2252)</f>
        <v/>
      </c>
      <c r="I2252">
        <f>AVERAGE(E2053:E2252)</f>
        <v/>
      </c>
      <c r="J2252">
        <f>AVERAGE(F2053:F2252)</f>
        <v/>
      </c>
    </row>
    <row r="2253">
      <c r="C2253" s="539" t="n">
        <v>42716</v>
      </c>
      <c r="D2253" t="n">
        <v>110.8199996948242</v>
      </c>
      <c r="E2253" t="n">
        <v>92.95999908447266</v>
      </c>
      <c r="F2253" t="n">
        <v>17.2778263092041</v>
      </c>
      <c r="G2253" t="n">
        <v>73.03785705566406</v>
      </c>
      <c r="H2253">
        <f>AVERAGE(D2054:D2253)</f>
        <v/>
      </c>
      <c r="I2253">
        <f>AVERAGE(E2054:E2253)</f>
        <v/>
      </c>
      <c r="J2253">
        <f>AVERAGE(F2054:F2253)</f>
        <v/>
      </c>
    </row>
    <row r="2254">
      <c r="C2254" s="539" t="n">
        <v>42717</v>
      </c>
      <c r="D2254" t="n">
        <v>110.4499969482422</v>
      </c>
      <c r="E2254" t="n">
        <v>93.83999633789062</v>
      </c>
      <c r="F2254" t="n">
        <v>17.29501724243164</v>
      </c>
      <c r="G2254" t="n">
        <v>73.05384826660156</v>
      </c>
      <c r="H2254">
        <f>AVERAGE(D2055:D2254)</f>
        <v/>
      </c>
      <c r="I2254">
        <f>AVERAGE(E2055:E2254)</f>
        <v/>
      </c>
      <c r="J2254">
        <f>AVERAGE(F2055:F2254)</f>
        <v/>
      </c>
    </row>
    <row r="2255">
      <c r="C2255" s="539" t="n">
        <v>42718</v>
      </c>
      <c r="D2255" t="n">
        <v>108.8300018310547</v>
      </c>
      <c r="E2255" t="n">
        <v>90.55999755859375</v>
      </c>
      <c r="F2255" t="n">
        <v>17.25203514099121</v>
      </c>
      <c r="G2255" t="n">
        <v>73.05384826660156</v>
      </c>
      <c r="H2255">
        <f>AVERAGE(D2056:D2255)</f>
        <v/>
      </c>
      <c r="I2255">
        <f>AVERAGE(E2056:E2255)</f>
        <v/>
      </c>
      <c r="J2255">
        <f>AVERAGE(F2056:F2255)</f>
        <v/>
      </c>
    </row>
    <row r="2256">
      <c r="C2256" s="539" t="n">
        <v>42719</v>
      </c>
      <c r="D2256" t="n">
        <v>107.3399963378906</v>
      </c>
      <c r="E2256" t="n">
        <v>90.87999725341797</v>
      </c>
      <c r="F2256" t="n">
        <v>17.20046043395996</v>
      </c>
      <c r="G2256" t="n">
        <v>73.05384826660156</v>
      </c>
      <c r="H2256">
        <f>AVERAGE(D2057:D2256)</f>
        <v/>
      </c>
      <c r="I2256">
        <f>AVERAGE(E2057:E2256)</f>
        <v/>
      </c>
      <c r="J2256">
        <f>AVERAGE(F2057:F2256)</f>
        <v/>
      </c>
    </row>
    <row r="2257">
      <c r="C2257" s="539" t="n">
        <v>42720</v>
      </c>
      <c r="D2257" t="n">
        <v>108.0500030517578</v>
      </c>
      <c r="E2257" t="n">
        <v>92.40000152587891</v>
      </c>
      <c r="F2257" t="n">
        <v>17.31221008300781</v>
      </c>
      <c r="G2257" t="n">
        <v>73.03785705566406</v>
      </c>
      <c r="H2257">
        <f>AVERAGE(D2058:D2257)</f>
        <v/>
      </c>
      <c r="I2257">
        <f>AVERAGE(E2058:E2257)</f>
        <v/>
      </c>
      <c r="J2257">
        <f>AVERAGE(F2058:F2257)</f>
        <v/>
      </c>
    </row>
    <row r="2258">
      <c r="C2258" s="539" t="n">
        <v>42723</v>
      </c>
      <c r="D2258" t="n">
        <v>108.5899963378906</v>
      </c>
      <c r="E2258" t="n">
        <v>92</v>
      </c>
      <c r="F2258" t="n">
        <v>17.3809757232666</v>
      </c>
      <c r="G2258" t="n">
        <v>73.05384826660156</v>
      </c>
      <c r="H2258">
        <f>AVERAGE(D2059:D2258)</f>
        <v/>
      </c>
      <c r="I2258">
        <f>AVERAGE(E2059:E2258)</f>
        <v/>
      </c>
      <c r="J2258">
        <f>AVERAGE(F2059:F2258)</f>
        <v/>
      </c>
    </row>
    <row r="2259">
      <c r="C2259" s="539" t="n">
        <v>42724</v>
      </c>
      <c r="D2259" t="n">
        <v>107.7900009155273</v>
      </c>
      <c r="E2259" t="n">
        <v>92.95999908447266</v>
      </c>
      <c r="F2259" t="n">
        <v>17.20046043395996</v>
      </c>
      <c r="G2259" t="n">
        <v>73.03785705566406</v>
      </c>
      <c r="H2259">
        <f>AVERAGE(D2060:D2259)</f>
        <v/>
      </c>
      <c r="I2259">
        <f>AVERAGE(E2060:E2259)</f>
        <v/>
      </c>
      <c r="J2259">
        <f>AVERAGE(F2060:F2259)</f>
        <v/>
      </c>
    </row>
    <row r="2260">
      <c r="C2260" s="539" t="n">
        <v>42725</v>
      </c>
      <c r="D2260" t="n">
        <v>107.8499984741211</v>
      </c>
      <c r="E2260" t="n">
        <v>91.51999664306641</v>
      </c>
      <c r="F2260" t="n">
        <v>17.22624969482422</v>
      </c>
      <c r="G2260" t="n">
        <v>73.05384826660156</v>
      </c>
      <c r="H2260">
        <f>AVERAGE(D2061:D2260)</f>
        <v/>
      </c>
      <c r="I2260">
        <f>AVERAGE(E2061:E2260)</f>
        <v/>
      </c>
      <c r="J2260">
        <f>AVERAGE(F2061:F2260)</f>
        <v/>
      </c>
    </row>
    <row r="2261">
      <c r="C2261" s="539" t="n">
        <v>42726</v>
      </c>
      <c r="D2261" t="n">
        <v>107.5899963378906</v>
      </c>
      <c r="E2261" t="n">
        <v>91.68000030517578</v>
      </c>
      <c r="F2261" t="n">
        <v>17.04573440551758</v>
      </c>
      <c r="G2261" t="n">
        <v>73.03785705566406</v>
      </c>
      <c r="H2261">
        <f>AVERAGE(D2062:D2261)</f>
        <v/>
      </c>
      <c r="I2261">
        <f>AVERAGE(E2062:E2261)</f>
        <v/>
      </c>
      <c r="J2261">
        <f>AVERAGE(F2062:F2261)</f>
        <v/>
      </c>
    </row>
    <row r="2262">
      <c r="C2262" s="539" t="n">
        <v>42727</v>
      </c>
      <c r="D2262" t="n">
        <v>107.9300003051758</v>
      </c>
      <c r="E2262" t="n">
        <v>92.48000335693359</v>
      </c>
      <c r="F2262" t="n">
        <v>16.97696495056152</v>
      </c>
      <c r="G2262" t="n">
        <v>73.03785705566406</v>
      </c>
      <c r="H2262">
        <f>AVERAGE(D2063:D2262)</f>
        <v/>
      </c>
      <c r="I2262">
        <f>AVERAGE(E2063:E2262)</f>
        <v/>
      </c>
      <c r="J2262">
        <f>AVERAGE(F2063:F2262)</f>
        <v/>
      </c>
    </row>
    <row r="2263">
      <c r="C2263" s="539" t="n">
        <v>42731</v>
      </c>
      <c r="D2263" t="n">
        <v>108.5599975585938</v>
      </c>
      <c r="E2263" t="n">
        <v>93.83999633789062</v>
      </c>
      <c r="F2263" t="n">
        <v>17.14888763427734</v>
      </c>
      <c r="G2263" t="n">
        <v>73.05384826660156</v>
      </c>
      <c r="H2263">
        <f>AVERAGE(D2064:D2263)</f>
        <v/>
      </c>
      <c r="I2263">
        <f>AVERAGE(E2064:E2263)</f>
        <v/>
      </c>
      <c r="J2263">
        <f>AVERAGE(F2064:F2263)</f>
        <v/>
      </c>
    </row>
    <row r="2264">
      <c r="C2264" s="539" t="n">
        <v>42732</v>
      </c>
      <c r="D2264" t="n">
        <v>108.8600006103516</v>
      </c>
      <c r="E2264" t="n">
        <v>94</v>
      </c>
      <c r="F2264" t="n">
        <v>17.14028930664062</v>
      </c>
      <c r="G2264" t="n">
        <v>73.05223083496094</v>
      </c>
      <c r="H2264">
        <f>AVERAGE(D2065:D2264)</f>
        <v/>
      </c>
      <c r="I2264">
        <f>AVERAGE(E2065:E2264)</f>
        <v/>
      </c>
      <c r="J2264">
        <f>AVERAGE(F2065:F2264)</f>
        <v/>
      </c>
    </row>
    <row r="2265">
      <c r="C2265" s="539" t="n">
        <v>42733</v>
      </c>
      <c r="D2265" t="n">
        <v>110.2900009155273</v>
      </c>
      <c r="E2265" t="n">
        <v>93.76000213623047</v>
      </c>
      <c r="F2265" t="n">
        <v>17.14888763427734</v>
      </c>
      <c r="G2265" t="n">
        <v>73.06820678710938</v>
      </c>
      <c r="H2265">
        <f>AVERAGE(D2066:D2265)</f>
        <v/>
      </c>
      <c r="I2265">
        <f>AVERAGE(E2066:E2265)</f>
        <v/>
      </c>
      <c r="J2265">
        <f>AVERAGE(F2066:F2265)</f>
        <v/>
      </c>
    </row>
    <row r="2266">
      <c r="C2266" s="539" t="n">
        <v>42734</v>
      </c>
      <c r="D2266" t="n">
        <v>109.6100006103516</v>
      </c>
      <c r="E2266" t="n">
        <v>93.76000213623047</v>
      </c>
      <c r="F2266" t="n">
        <v>17.16607666015625</v>
      </c>
      <c r="G2266" t="n">
        <v>73.03623199462891</v>
      </c>
      <c r="H2266">
        <f>AVERAGE(D2067:D2266)</f>
        <v/>
      </c>
      <c r="I2266">
        <f>AVERAGE(E2067:E2266)</f>
        <v/>
      </c>
      <c r="J2266">
        <f>AVERAGE(F2067:F2266)</f>
        <v/>
      </c>
    </row>
    <row r="2267">
      <c r="C2267" s="539" t="n">
        <v>42738</v>
      </c>
      <c r="D2267" t="n">
        <v>110.4700012207031</v>
      </c>
      <c r="E2267" t="n">
        <v>91.51999664306641</v>
      </c>
      <c r="F2267" t="n">
        <v>17.15748023986816</v>
      </c>
      <c r="G2267" t="n">
        <v>73.06820678710938</v>
      </c>
      <c r="H2267">
        <f>AVERAGE(D2068:D2267)</f>
        <v/>
      </c>
      <c r="I2267">
        <f>AVERAGE(E2068:E2267)</f>
        <v/>
      </c>
      <c r="J2267">
        <f>AVERAGE(F2068:F2267)</f>
        <v/>
      </c>
    </row>
    <row r="2268">
      <c r="C2268" s="539" t="n">
        <v>42739</v>
      </c>
      <c r="D2268" t="n">
        <v>110.8600006103516</v>
      </c>
      <c r="E2268" t="n">
        <v>92.63999938964844</v>
      </c>
      <c r="F2268" t="n">
        <v>17.4669361114502</v>
      </c>
      <c r="G2268" t="n">
        <v>73.06820678710938</v>
      </c>
      <c r="H2268">
        <f>AVERAGE(D2069:D2268)</f>
        <v/>
      </c>
      <c r="I2268">
        <f>AVERAGE(E2069:E2268)</f>
        <v/>
      </c>
      <c r="J2268">
        <f>AVERAGE(F2069:F2268)</f>
        <v/>
      </c>
    </row>
    <row r="2269">
      <c r="C2269" s="539" t="n">
        <v>42740</v>
      </c>
      <c r="D2269" t="n">
        <v>112.5800018310547</v>
      </c>
      <c r="E2269" t="n">
        <v>93.59999847412109</v>
      </c>
      <c r="F2269" t="n">
        <v>17.55289459228516</v>
      </c>
      <c r="G2269" t="n">
        <v>73.05223083496094</v>
      </c>
      <c r="H2269">
        <f>AVERAGE(D2070:D2269)</f>
        <v/>
      </c>
      <c r="I2269">
        <f>AVERAGE(E2070:E2269)</f>
        <v/>
      </c>
      <c r="J2269">
        <f>AVERAGE(F2070:F2269)</f>
        <v/>
      </c>
    </row>
    <row r="2270">
      <c r="C2270" s="539" t="n">
        <v>42741</v>
      </c>
      <c r="D2270" t="n">
        <v>111.75</v>
      </c>
      <c r="E2270" t="n">
        <v>93.44000244140625</v>
      </c>
      <c r="F2270" t="n">
        <v>17.48412704467773</v>
      </c>
      <c r="G2270" t="n">
        <v>73.06820678710938</v>
      </c>
      <c r="H2270">
        <f>AVERAGE(D2071:D2270)</f>
        <v/>
      </c>
      <c r="I2270">
        <f>AVERAGE(E2071:E2270)</f>
        <v/>
      </c>
      <c r="J2270">
        <f>AVERAGE(F2071:F2270)</f>
        <v/>
      </c>
    </row>
    <row r="2271">
      <c r="C2271" s="539" t="n">
        <v>42744</v>
      </c>
      <c r="D2271" t="n">
        <v>112.6699981689453</v>
      </c>
      <c r="E2271" t="n">
        <v>90.48000335693359</v>
      </c>
      <c r="F2271" t="n">
        <v>17.51851081848145</v>
      </c>
      <c r="G2271" t="n">
        <v>73.06820678710938</v>
      </c>
      <c r="H2271">
        <f>AVERAGE(D2072:D2271)</f>
        <v/>
      </c>
      <c r="I2271">
        <f>AVERAGE(E2072:E2271)</f>
        <v/>
      </c>
      <c r="J2271">
        <f>AVERAGE(F2072:F2271)</f>
        <v/>
      </c>
    </row>
    <row r="2272">
      <c r="C2272" s="539" t="n">
        <v>42745</v>
      </c>
      <c r="D2272" t="n">
        <v>113.1500015258789</v>
      </c>
      <c r="E2272" t="n">
        <v>88.55999755859375</v>
      </c>
      <c r="F2272" t="n">
        <v>17.69042778015137</v>
      </c>
      <c r="G2272" t="n">
        <v>73.05223083496094</v>
      </c>
      <c r="H2272">
        <f>AVERAGE(D2073:D2272)</f>
        <v/>
      </c>
      <c r="I2272">
        <f>AVERAGE(E2073:E2272)</f>
        <v/>
      </c>
      <c r="J2272">
        <f>AVERAGE(F2073:F2272)</f>
        <v/>
      </c>
    </row>
    <row r="2273">
      <c r="C2273" s="539" t="n">
        <v>42746</v>
      </c>
      <c r="D2273" t="n">
        <v>113.5</v>
      </c>
      <c r="E2273" t="n">
        <v>90.95999908447266</v>
      </c>
      <c r="F2273" t="n">
        <v>17.59587097167969</v>
      </c>
      <c r="G2273" t="n">
        <v>73.06820678710938</v>
      </c>
      <c r="H2273">
        <f>AVERAGE(D2074:D2273)</f>
        <v/>
      </c>
      <c r="I2273">
        <f>AVERAGE(E2074:E2273)</f>
        <v/>
      </c>
      <c r="J2273">
        <f>AVERAGE(F2074:F2273)</f>
        <v/>
      </c>
    </row>
    <row r="2274">
      <c r="C2274" s="539" t="n">
        <v>42747</v>
      </c>
      <c r="D2274" t="n">
        <v>113.9100036621094</v>
      </c>
      <c r="E2274" t="n">
        <v>92.31999969482422</v>
      </c>
      <c r="F2274" t="n">
        <v>17.74200439453125</v>
      </c>
      <c r="G2274" t="n">
        <v>73.06820678710938</v>
      </c>
      <c r="H2274">
        <f>AVERAGE(D2075:D2274)</f>
        <v/>
      </c>
      <c r="I2274">
        <f>AVERAGE(E2075:E2274)</f>
        <v/>
      </c>
      <c r="J2274">
        <f>AVERAGE(F2075:F2274)</f>
        <v/>
      </c>
    </row>
    <row r="2275">
      <c r="C2275" s="539" t="n">
        <v>42748</v>
      </c>
      <c r="D2275" t="n">
        <v>114.2099990844727</v>
      </c>
      <c r="E2275" t="n">
        <v>91.27999877929688</v>
      </c>
      <c r="F2275" t="n">
        <v>17.81936836242676</v>
      </c>
      <c r="G2275" t="n">
        <v>73.06820678710938</v>
      </c>
      <c r="H2275">
        <f>AVERAGE(D2076:D2275)</f>
        <v/>
      </c>
      <c r="I2275">
        <f>AVERAGE(E2076:E2275)</f>
        <v/>
      </c>
      <c r="J2275">
        <f>AVERAGE(F2076:F2275)</f>
        <v/>
      </c>
    </row>
    <row r="2276">
      <c r="C2276" s="539" t="n">
        <v>42752</v>
      </c>
      <c r="D2276" t="n">
        <v>115.8499984741211</v>
      </c>
      <c r="E2276" t="n">
        <v>91.44000244140625</v>
      </c>
      <c r="F2276" t="n">
        <v>17.95690536499023</v>
      </c>
      <c r="G2276" t="n">
        <v>73.06820678710938</v>
      </c>
      <c r="H2276">
        <f>AVERAGE(D2077:D2276)</f>
        <v/>
      </c>
      <c r="I2276">
        <f>AVERAGE(E2077:E2276)</f>
        <v/>
      </c>
      <c r="J2276">
        <f>AVERAGE(F2077:F2276)</f>
        <v/>
      </c>
    </row>
    <row r="2277">
      <c r="C2277" s="539" t="n">
        <v>42753</v>
      </c>
      <c r="D2277" t="n">
        <v>114.870002746582</v>
      </c>
      <c r="E2277" t="n">
        <v>89.27999877929688</v>
      </c>
      <c r="F2277" t="n">
        <v>17.93971252441406</v>
      </c>
      <c r="G2277" t="n">
        <v>73.05223083496094</v>
      </c>
      <c r="H2277">
        <f>AVERAGE(D2078:D2277)</f>
        <v/>
      </c>
      <c r="I2277">
        <f>AVERAGE(E2078:E2277)</f>
        <v/>
      </c>
      <c r="J2277">
        <f>AVERAGE(F2078:F2277)</f>
        <v/>
      </c>
    </row>
    <row r="2278">
      <c r="C2278" s="539" t="n">
        <v>42754</v>
      </c>
      <c r="D2278" t="n">
        <v>114.7699966430664</v>
      </c>
      <c r="E2278" t="n">
        <v>89.36000061035156</v>
      </c>
      <c r="F2278" t="n">
        <v>17.8365592956543</v>
      </c>
      <c r="G2278" t="n">
        <v>73.05223083496094</v>
      </c>
      <c r="H2278">
        <f>AVERAGE(D2079:D2278)</f>
        <v/>
      </c>
      <c r="I2278">
        <f>AVERAGE(E2079:E2278)</f>
        <v/>
      </c>
      <c r="J2278">
        <f>AVERAGE(F2079:F2278)</f>
        <v/>
      </c>
    </row>
    <row r="2279">
      <c r="C2279" s="539" t="n">
        <v>42755</v>
      </c>
      <c r="D2279" t="n">
        <v>115.0500030517578</v>
      </c>
      <c r="E2279" t="n">
        <v>91.12000274658203</v>
      </c>
      <c r="F2279" t="n">
        <v>17.90532684326172</v>
      </c>
      <c r="G2279" t="n">
        <v>73.06820678710938</v>
      </c>
      <c r="H2279">
        <f>AVERAGE(D2080:D2279)</f>
        <v/>
      </c>
      <c r="I2279">
        <f>AVERAGE(E2080:E2279)</f>
        <v/>
      </c>
      <c r="J2279">
        <f>AVERAGE(F2080:F2279)</f>
        <v/>
      </c>
    </row>
    <row r="2280">
      <c r="C2280" s="539" t="n">
        <v>42758</v>
      </c>
      <c r="D2280" t="n">
        <v>115.7900009155273</v>
      </c>
      <c r="E2280" t="n">
        <v>90.55999755859375</v>
      </c>
      <c r="F2280" t="n">
        <v>17.93971252441406</v>
      </c>
      <c r="G2280" t="n">
        <v>73.05223083496094</v>
      </c>
      <c r="H2280">
        <f>AVERAGE(D2081:D2280)</f>
        <v/>
      </c>
      <c r="I2280">
        <f>AVERAGE(E2081:E2280)</f>
        <v/>
      </c>
      <c r="J2280">
        <f>AVERAGE(F2081:F2280)</f>
        <v/>
      </c>
    </row>
    <row r="2281">
      <c r="C2281" s="539" t="n">
        <v>42759</v>
      </c>
      <c r="D2281" t="n">
        <v>115.2699966430664</v>
      </c>
      <c r="E2281" t="n">
        <v>90.95999908447266</v>
      </c>
      <c r="F2281" t="n">
        <v>17.86235046386719</v>
      </c>
      <c r="G2281" t="n">
        <v>73.05223083496094</v>
      </c>
      <c r="H2281">
        <f>AVERAGE(D2082:D2281)</f>
        <v/>
      </c>
      <c r="I2281">
        <f>AVERAGE(E2082:E2281)</f>
        <v/>
      </c>
      <c r="J2281">
        <f>AVERAGE(F2082:F2281)</f>
        <v/>
      </c>
    </row>
    <row r="2282">
      <c r="C2282" s="539" t="n">
        <v>42760</v>
      </c>
      <c r="D2282" t="n">
        <v>114.3199996948242</v>
      </c>
      <c r="E2282" t="n">
        <v>90.48000335693359</v>
      </c>
      <c r="F2282" t="n">
        <v>17.92251968383789</v>
      </c>
      <c r="G2282" t="n">
        <v>73.06820678710938</v>
      </c>
      <c r="H2282">
        <f>AVERAGE(D2083:D2282)</f>
        <v/>
      </c>
      <c r="I2282">
        <f>AVERAGE(E2083:E2282)</f>
        <v/>
      </c>
      <c r="J2282">
        <f>AVERAGE(F2083:F2282)</f>
        <v/>
      </c>
    </row>
    <row r="2283">
      <c r="C2283" s="539" t="n">
        <v>42761</v>
      </c>
      <c r="D2283" t="n">
        <v>113.2600021362305</v>
      </c>
      <c r="E2283" t="n">
        <v>92.23999786376953</v>
      </c>
      <c r="F2283" t="n">
        <v>17.71621704101562</v>
      </c>
      <c r="G2283" t="n">
        <v>73.08419799804688</v>
      </c>
      <c r="H2283">
        <f>AVERAGE(D2084:D2283)</f>
        <v/>
      </c>
      <c r="I2283">
        <f>AVERAGE(E2084:E2283)</f>
        <v/>
      </c>
      <c r="J2283">
        <f>AVERAGE(F2084:F2283)</f>
        <v/>
      </c>
    </row>
    <row r="2284">
      <c r="C2284" s="539" t="n">
        <v>42762</v>
      </c>
      <c r="D2284" t="n">
        <v>113.4899978637695</v>
      </c>
      <c r="E2284" t="n">
        <v>91.19999694824219</v>
      </c>
      <c r="F2284" t="n">
        <v>17.68183326721191</v>
      </c>
      <c r="G2284" t="n">
        <v>73.05223083496094</v>
      </c>
      <c r="H2284">
        <f>AVERAGE(D2085:D2284)</f>
        <v/>
      </c>
      <c r="I2284">
        <f>AVERAGE(E2085:E2284)</f>
        <v/>
      </c>
      <c r="J2284">
        <f>AVERAGE(F2085:F2284)</f>
        <v/>
      </c>
    </row>
    <row r="2285">
      <c r="C2285" s="539" t="n">
        <v>42765</v>
      </c>
      <c r="D2285" t="n">
        <v>113.9700012207031</v>
      </c>
      <c r="E2285" t="n">
        <v>90.23999786376953</v>
      </c>
      <c r="F2285" t="n">
        <v>17.48412704467773</v>
      </c>
      <c r="G2285" t="n">
        <v>73.08419799804688</v>
      </c>
      <c r="H2285">
        <f>AVERAGE(D2086:D2285)</f>
        <v/>
      </c>
      <c r="I2285">
        <f>AVERAGE(E2086:E2285)</f>
        <v/>
      </c>
      <c r="J2285">
        <f>AVERAGE(F2086:F2285)</f>
        <v/>
      </c>
    </row>
    <row r="2286">
      <c r="C2286" s="539" t="n">
        <v>42766</v>
      </c>
      <c r="D2286" t="n">
        <v>115.5500030517578</v>
      </c>
      <c r="E2286" t="n">
        <v>90.55999755859375</v>
      </c>
      <c r="F2286" t="n">
        <v>17.53570175170898</v>
      </c>
      <c r="G2286" t="n">
        <v>73.06820678710938</v>
      </c>
      <c r="H2286">
        <f>AVERAGE(D2087:D2286)</f>
        <v/>
      </c>
      <c r="I2286">
        <f>AVERAGE(E2087:E2286)</f>
        <v/>
      </c>
      <c r="J2286">
        <f>AVERAGE(F2087:F2286)</f>
        <v/>
      </c>
    </row>
    <row r="2287">
      <c r="C2287" s="539" t="n">
        <v>42767</v>
      </c>
      <c r="D2287" t="n">
        <v>115.1999969482422</v>
      </c>
      <c r="E2287" t="n">
        <v>91.83999633789062</v>
      </c>
      <c r="F2287" t="n">
        <v>17.70762252807617</v>
      </c>
      <c r="G2287" t="n">
        <v>73.07301330566406</v>
      </c>
      <c r="H2287">
        <f>AVERAGE(D2088:D2287)</f>
        <v/>
      </c>
      <c r="I2287">
        <f>AVERAGE(E2088:E2287)</f>
        <v/>
      </c>
      <c r="J2287">
        <f>AVERAGE(F2088:F2287)</f>
        <v/>
      </c>
    </row>
    <row r="2288">
      <c r="C2288" s="539" t="n">
        <v>42768</v>
      </c>
      <c r="D2288" t="n">
        <v>115.8399963378906</v>
      </c>
      <c r="E2288" t="n">
        <v>92.08000183105469</v>
      </c>
      <c r="F2288" t="n">
        <v>17.6732349395752</v>
      </c>
      <c r="G2288" t="n">
        <v>73.07301330566406</v>
      </c>
      <c r="H2288">
        <f>AVERAGE(D2089:D2288)</f>
        <v/>
      </c>
      <c r="I2288">
        <f>AVERAGE(E2089:E2288)</f>
        <v/>
      </c>
      <c r="J2288">
        <f>AVERAGE(F2089:F2288)</f>
        <v/>
      </c>
    </row>
    <row r="2289">
      <c r="C2289" s="539" t="n">
        <v>42769</v>
      </c>
      <c r="D2289" t="n">
        <v>116.129997253418</v>
      </c>
      <c r="E2289" t="n">
        <v>92.31999969482422</v>
      </c>
      <c r="F2289" t="n">
        <v>17.68183326721191</v>
      </c>
      <c r="G2289" t="n">
        <v>73.05701446533203</v>
      </c>
      <c r="H2289">
        <f>AVERAGE(D2090:D2289)</f>
        <v/>
      </c>
      <c r="I2289">
        <f>AVERAGE(E2090:E2289)</f>
        <v/>
      </c>
      <c r="J2289">
        <f>AVERAGE(F2090:F2289)</f>
        <v/>
      </c>
    </row>
    <row r="2290">
      <c r="C2290" s="539" t="n">
        <v>42772</v>
      </c>
      <c r="D2290" t="n">
        <v>117.6999969482422</v>
      </c>
      <c r="E2290" t="n">
        <v>91.04000091552734</v>
      </c>
      <c r="F2290" t="n">
        <v>17.64745140075684</v>
      </c>
      <c r="G2290" t="n">
        <v>73.08900451660156</v>
      </c>
      <c r="H2290">
        <f>AVERAGE(D2091:D2290)</f>
        <v/>
      </c>
      <c r="I2290">
        <f>AVERAGE(E2091:E2290)</f>
        <v/>
      </c>
      <c r="J2290">
        <f>AVERAGE(F2091:F2290)</f>
        <v/>
      </c>
    </row>
    <row r="2291">
      <c r="C2291" s="539" t="n">
        <v>42773</v>
      </c>
      <c r="D2291" t="n">
        <v>117.4599990844727</v>
      </c>
      <c r="E2291" t="n">
        <v>89.51999664306641</v>
      </c>
      <c r="F2291" t="n">
        <v>17.66464042663574</v>
      </c>
      <c r="G2291" t="n">
        <v>73.08900451660156</v>
      </c>
      <c r="H2291">
        <f>AVERAGE(D2092:D2291)</f>
        <v/>
      </c>
      <c r="I2291">
        <f>AVERAGE(E2092:E2291)</f>
        <v/>
      </c>
      <c r="J2291">
        <f>AVERAGE(F2092:F2291)</f>
        <v/>
      </c>
    </row>
    <row r="2292">
      <c r="C2292" s="539" t="n">
        <v>42774</v>
      </c>
      <c r="D2292" t="n">
        <v>118.1900024414062</v>
      </c>
      <c r="E2292" t="n">
        <v>89.83999633789062</v>
      </c>
      <c r="F2292" t="n">
        <v>17.63885307312012</v>
      </c>
      <c r="G2292" t="n">
        <v>73.08900451660156</v>
      </c>
      <c r="H2292">
        <f>AVERAGE(D2093:D2292)</f>
        <v/>
      </c>
      <c r="I2292">
        <f>AVERAGE(E2093:E2292)</f>
        <v/>
      </c>
      <c r="J2292">
        <f>AVERAGE(F2093:F2292)</f>
        <v/>
      </c>
    </row>
    <row r="2293">
      <c r="C2293" s="539" t="n">
        <v>42775</v>
      </c>
      <c r="D2293" t="n">
        <v>117.2900009155273</v>
      </c>
      <c r="E2293" t="n">
        <v>90.80000305175781</v>
      </c>
      <c r="F2293" t="n">
        <v>17.68183326721191</v>
      </c>
      <c r="G2293" t="n">
        <v>73.08900451660156</v>
      </c>
      <c r="H2293">
        <f>AVERAGE(D2094:D2293)</f>
        <v/>
      </c>
      <c r="I2293">
        <f>AVERAGE(E2094:E2293)</f>
        <v/>
      </c>
      <c r="J2293">
        <f>AVERAGE(F2094:F2293)</f>
        <v/>
      </c>
    </row>
    <row r="2294">
      <c r="C2294" s="539" t="n">
        <v>42776</v>
      </c>
      <c r="D2294" t="n">
        <v>117.5999984741211</v>
      </c>
      <c r="E2294" t="n">
        <v>92</v>
      </c>
      <c r="F2294" t="n">
        <v>17.68183326721191</v>
      </c>
      <c r="G2294" t="n">
        <v>73.07301330566406</v>
      </c>
      <c r="H2294">
        <f>AVERAGE(D2095:D2294)</f>
        <v/>
      </c>
      <c r="I2294">
        <f>AVERAGE(E2095:E2294)</f>
        <v/>
      </c>
      <c r="J2294">
        <f>AVERAGE(F2095:F2294)</f>
        <v/>
      </c>
    </row>
    <row r="2295">
      <c r="C2295" s="539" t="n">
        <v>42779</v>
      </c>
      <c r="D2295" t="n">
        <v>116.8000030517578</v>
      </c>
      <c r="E2295" t="n">
        <v>90.55999755859375</v>
      </c>
      <c r="F2295" t="n">
        <v>17.59587097167969</v>
      </c>
      <c r="G2295" t="n">
        <v>73.07301330566406</v>
      </c>
      <c r="H2295">
        <f>AVERAGE(D2096:D2295)</f>
        <v/>
      </c>
      <c r="I2295">
        <f>AVERAGE(E2096:E2295)</f>
        <v/>
      </c>
      <c r="J2295">
        <f>AVERAGE(F2096:F2295)</f>
        <v/>
      </c>
    </row>
    <row r="2296">
      <c r="C2296" s="539" t="n">
        <v>42780</v>
      </c>
      <c r="D2296" t="n">
        <v>116.9300003051758</v>
      </c>
      <c r="E2296" t="n">
        <v>91.04000091552734</v>
      </c>
      <c r="F2296" t="n">
        <v>17.65604591369629</v>
      </c>
      <c r="G2296" t="n">
        <v>73.08900451660156</v>
      </c>
      <c r="H2296">
        <f>AVERAGE(D2097:D2296)</f>
        <v/>
      </c>
      <c r="I2296">
        <f>AVERAGE(E2097:E2296)</f>
        <v/>
      </c>
      <c r="J2296">
        <f>AVERAGE(F2097:F2296)</f>
        <v/>
      </c>
    </row>
    <row r="2297">
      <c r="C2297" s="539" t="n">
        <v>42781</v>
      </c>
      <c r="D2297" t="n">
        <v>117.4499969482422</v>
      </c>
      <c r="E2297" t="n">
        <v>90.87999725341797</v>
      </c>
      <c r="F2297" t="n">
        <v>17.75919723510742</v>
      </c>
      <c r="G2297" t="n">
        <v>73.07301330566406</v>
      </c>
      <c r="H2297">
        <f>AVERAGE(D2098:D2297)</f>
        <v/>
      </c>
      <c r="I2297">
        <f>AVERAGE(E2098:E2297)</f>
        <v/>
      </c>
      <c r="J2297">
        <f>AVERAGE(F2098:F2297)</f>
        <v/>
      </c>
    </row>
    <row r="2298">
      <c r="C2298" s="539" t="n">
        <v>42782</v>
      </c>
      <c r="D2298" t="n">
        <v>118.0800018310547</v>
      </c>
      <c r="E2298" t="n">
        <v>91.27999877929688</v>
      </c>
      <c r="F2298" t="n">
        <v>17.70762252807617</v>
      </c>
      <c r="G2298" t="n">
        <v>73.07301330566406</v>
      </c>
      <c r="H2298">
        <f>AVERAGE(D2099:D2298)</f>
        <v/>
      </c>
      <c r="I2298">
        <f>AVERAGE(E2099:E2298)</f>
        <v/>
      </c>
      <c r="J2298">
        <f>AVERAGE(F2099:F2298)</f>
        <v/>
      </c>
    </row>
    <row r="2299">
      <c r="C2299" s="539" t="n">
        <v>42783</v>
      </c>
      <c r="D2299" t="n">
        <v>117.6800003051758</v>
      </c>
      <c r="E2299" t="n">
        <v>91.12000274658203</v>
      </c>
      <c r="F2299" t="n">
        <v>17.69902610778809</v>
      </c>
      <c r="G2299" t="n">
        <v>73.08900451660156</v>
      </c>
      <c r="H2299">
        <f>AVERAGE(D2100:D2299)</f>
        <v/>
      </c>
      <c r="I2299">
        <f>AVERAGE(E2100:E2299)</f>
        <v/>
      </c>
      <c r="J2299">
        <f>AVERAGE(F2100:F2299)</f>
        <v/>
      </c>
    </row>
    <row r="2300">
      <c r="C2300" s="539" t="n">
        <v>42787</v>
      </c>
      <c r="D2300" t="n">
        <v>117.75</v>
      </c>
      <c r="E2300" t="n">
        <v>92.31999969482422</v>
      </c>
      <c r="F2300" t="n">
        <v>17.74200439453125</v>
      </c>
      <c r="G2300" t="n">
        <v>73.07301330566406</v>
      </c>
      <c r="H2300">
        <f>AVERAGE(D2101:D2300)</f>
        <v/>
      </c>
      <c r="I2300">
        <f>AVERAGE(E2101:E2300)</f>
        <v/>
      </c>
      <c r="J2300">
        <f>AVERAGE(F2101:F2300)</f>
        <v/>
      </c>
    </row>
    <row r="2301">
      <c r="C2301" s="539" t="n">
        <v>42788</v>
      </c>
      <c r="D2301" t="n">
        <v>117.9100036621094</v>
      </c>
      <c r="E2301" t="n">
        <v>90.87999725341797</v>
      </c>
      <c r="F2301" t="n">
        <v>17.69902610778809</v>
      </c>
      <c r="G2301" t="n">
        <v>73.07301330566406</v>
      </c>
      <c r="H2301">
        <f>AVERAGE(D2102:D2301)</f>
        <v/>
      </c>
      <c r="I2301">
        <f>AVERAGE(E2102:E2301)</f>
        <v/>
      </c>
      <c r="J2301">
        <f>AVERAGE(F2102:F2301)</f>
        <v/>
      </c>
    </row>
    <row r="2302">
      <c r="C2302" s="539" t="n">
        <v>42789</v>
      </c>
      <c r="D2302" t="n">
        <v>118.9400024414062</v>
      </c>
      <c r="E2302" t="n">
        <v>92.23999786376953</v>
      </c>
      <c r="F2302" t="n">
        <v>17.60447120666504</v>
      </c>
      <c r="G2302" t="n">
        <v>73.07301330566406</v>
      </c>
      <c r="H2302">
        <f>AVERAGE(D2103:D2302)</f>
        <v/>
      </c>
      <c r="I2302">
        <f>AVERAGE(E2103:E2302)</f>
        <v/>
      </c>
      <c r="J2302">
        <f>AVERAGE(F2103:F2302)</f>
        <v/>
      </c>
    </row>
    <row r="2303">
      <c r="C2303" s="539" t="n">
        <v>42790</v>
      </c>
      <c r="D2303" t="n">
        <v>119.6999969482422</v>
      </c>
      <c r="E2303" t="n">
        <v>91.68000030517578</v>
      </c>
      <c r="F2303" t="n">
        <v>17.44114875793457</v>
      </c>
      <c r="G2303" t="n">
        <v>73.07301330566406</v>
      </c>
      <c r="H2303">
        <f>AVERAGE(D2104:D2303)</f>
        <v/>
      </c>
      <c r="I2303">
        <f>AVERAGE(E2104:E2303)</f>
        <v/>
      </c>
      <c r="J2303">
        <f>AVERAGE(F2104:F2303)</f>
        <v/>
      </c>
    </row>
    <row r="2304">
      <c r="C2304" s="539" t="n">
        <v>42793</v>
      </c>
      <c r="D2304" t="n">
        <v>119.120002746582</v>
      </c>
      <c r="E2304" t="n">
        <v>91.76000213623047</v>
      </c>
      <c r="F2304" t="n">
        <v>17.29501724243164</v>
      </c>
      <c r="G2304" t="n">
        <v>73.07301330566406</v>
      </c>
      <c r="H2304">
        <f>AVERAGE(D2105:D2304)</f>
        <v/>
      </c>
      <c r="I2304">
        <f>AVERAGE(E2105:E2304)</f>
        <v/>
      </c>
      <c r="J2304">
        <f>AVERAGE(F2105:F2304)</f>
        <v/>
      </c>
    </row>
    <row r="2305">
      <c r="C2305" s="539" t="n">
        <v>42794</v>
      </c>
      <c r="D2305" t="n">
        <v>119.2300033569336</v>
      </c>
      <c r="E2305" t="n">
        <v>91.59999847412109</v>
      </c>
      <c r="F2305" t="n">
        <v>17.36378288269043</v>
      </c>
      <c r="G2305" t="n">
        <v>73.10498046875</v>
      </c>
      <c r="H2305">
        <f>AVERAGE(D2106:D2305)</f>
        <v/>
      </c>
      <c r="I2305">
        <f>AVERAGE(E2106:E2305)</f>
        <v/>
      </c>
      <c r="J2305">
        <f>AVERAGE(F2106:F2305)</f>
        <v/>
      </c>
    </row>
    <row r="2306">
      <c r="C2306" s="539" t="n">
        <v>42795</v>
      </c>
      <c r="D2306" t="n">
        <v>119.0599975585938</v>
      </c>
      <c r="E2306" t="n">
        <v>91.19999694824219</v>
      </c>
      <c r="F2306" t="n">
        <v>17.59587097167969</v>
      </c>
      <c r="G2306" t="n">
        <v>73.07619476318359</v>
      </c>
      <c r="H2306">
        <f>AVERAGE(D2107:D2306)</f>
        <v/>
      </c>
      <c r="I2306">
        <f>AVERAGE(E2107:E2306)</f>
        <v/>
      </c>
      <c r="J2306">
        <f>AVERAGE(F2107:F2306)</f>
        <v/>
      </c>
    </row>
    <row r="2307">
      <c r="C2307" s="539" t="n">
        <v>42796</v>
      </c>
      <c r="D2307" t="n">
        <v>117.5800018310547</v>
      </c>
      <c r="E2307" t="n">
        <v>89.36000061035156</v>
      </c>
      <c r="F2307" t="n">
        <v>17.4669361114502</v>
      </c>
      <c r="G2307" t="n">
        <v>73.07619476318359</v>
      </c>
      <c r="H2307">
        <f>AVERAGE(D2108:D2307)</f>
        <v/>
      </c>
      <c r="I2307">
        <f>AVERAGE(E2108:E2307)</f>
        <v/>
      </c>
      <c r="J2307">
        <f>AVERAGE(F2108:F2307)</f>
        <v/>
      </c>
    </row>
    <row r="2308">
      <c r="C2308" s="539" t="n">
        <v>42797</v>
      </c>
      <c r="D2308" t="n">
        <v>117.5100021362305</v>
      </c>
      <c r="E2308" t="n">
        <v>90.31999969482422</v>
      </c>
      <c r="F2308" t="n">
        <v>17.4669361114502</v>
      </c>
      <c r="G2308" t="n">
        <v>73.09219360351562</v>
      </c>
      <c r="H2308">
        <f>AVERAGE(D2109:D2308)</f>
        <v/>
      </c>
      <c r="I2308">
        <f>AVERAGE(E2109:E2308)</f>
        <v/>
      </c>
      <c r="J2308">
        <f>AVERAGE(F2109:F2308)</f>
        <v/>
      </c>
    </row>
    <row r="2309">
      <c r="C2309" s="539" t="n">
        <v>42800</v>
      </c>
      <c r="D2309" t="n">
        <v>116.7200012207031</v>
      </c>
      <c r="E2309" t="n">
        <v>90.23999786376953</v>
      </c>
      <c r="F2309" t="n">
        <v>17.43255233764648</v>
      </c>
      <c r="G2309" t="n">
        <v>73.10819244384766</v>
      </c>
      <c r="H2309">
        <f>AVERAGE(D2110:D2309)</f>
        <v/>
      </c>
      <c r="I2309">
        <f>AVERAGE(E2110:E2309)</f>
        <v/>
      </c>
      <c r="J2309">
        <f>AVERAGE(F2110:F2309)</f>
        <v/>
      </c>
    </row>
    <row r="2310">
      <c r="C2310" s="539" t="n">
        <v>42801</v>
      </c>
      <c r="D2310" t="n">
        <v>115.7799987792969</v>
      </c>
      <c r="E2310" t="n">
        <v>90.16000366210938</v>
      </c>
      <c r="F2310" t="n">
        <v>17.26922798156738</v>
      </c>
      <c r="G2310" t="n">
        <v>73.07619476318359</v>
      </c>
      <c r="H2310">
        <f>AVERAGE(D2111:D2310)</f>
        <v/>
      </c>
      <c r="I2310">
        <f>AVERAGE(E2111:E2310)</f>
        <v/>
      </c>
      <c r="J2310">
        <f>AVERAGE(F2111:F2310)</f>
        <v/>
      </c>
    </row>
    <row r="2311">
      <c r="C2311" s="539" t="n">
        <v>42802</v>
      </c>
      <c r="D2311" t="n">
        <v>115.0599975585938</v>
      </c>
      <c r="E2311" t="n">
        <v>85.36000061035156</v>
      </c>
      <c r="F2311" t="n">
        <v>17.23484230041504</v>
      </c>
      <c r="G2311" t="n">
        <v>73.07619476318359</v>
      </c>
      <c r="H2311">
        <f>AVERAGE(D2112:D2311)</f>
        <v/>
      </c>
      <c r="I2311">
        <f>AVERAGE(E2112:E2311)</f>
        <v/>
      </c>
      <c r="J2311">
        <f>AVERAGE(F2112:F2311)</f>
        <v/>
      </c>
    </row>
    <row r="2312">
      <c r="C2312" s="539" t="n">
        <v>42803</v>
      </c>
      <c r="D2312" t="n">
        <v>114.4700012207031</v>
      </c>
      <c r="E2312" t="n">
        <v>84.23999786376953</v>
      </c>
      <c r="F2312" t="n">
        <v>17.14028930664062</v>
      </c>
      <c r="G2312" t="n">
        <v>73.07619476318359</v>
      </c>
      <c r="H2312">
        <f>AVERAGE(D2113:D2312)</f>
        <v/>
      </c>
      <c r="I2312">
        <f>AVERAGE(E2113:E2312)</f>
        <v/>
      </c>
      <c r="J2312">
        <f>AVERAGE(F2113:F2312)</f>
        <v/>
      </c>
    </row>
    <row r="2313">
      <c r="C2313" s="539" t="n">
        <v>42804</v>
      </c>
      <c r="D2313" t="n">
        <v>114.7200012207031</v>
      </c>
      <c r="E2313" t="n">
        <v>82.31999969482422</v>
      </c>
      <c r="F2313" t="n">
        <v>17.17467308044434</v>
      </c>
      <c r="G2313" t="n">
        <v>73.09219360351562</v>
      </c>
      <c r="H2313">
        <f>AVERAGE(D2114:D2313)</f>
        <v/>
      </c>
      <c r="I2313">
        <f>AVERAGE(E2114:E2313)</f>
        <v/>
      </c>
      <c r="J2313">
        <f>AVERAGE(F2114:F2313)</f>
        <v/>
      </c>
    </row>
    <row r="2314">
      <c r="C2314" s="539" t="n">
        <v>42807</v>
      </c>
      <c r="D2314" t="n">
        <v>114.7399978637695</v>
      </c>
      <c r="E2314" t="n">
        <v>82.23999786376953</v>
      </c>
      <c r="F2314" t="n">
        <v>17.23484230041504</v>
      </c>
      <c r="G2314" t="n">
        <v>73.07619476318359</v>
      </c>
      <c r="H2314">
        <f>AVERAGE(D2115:D2314)</f>
        <v/>
      </c>
      <c r="I2314">
        <f>AVERAGE(E2115:E2314)</f>
        <v/>
      </c>
      <c r="J2314">
        <f>AVERAGE(F2115:F2314)</f>
        <v/>
      </c>
    </row>
    <row r="2315">
      <c r="C2315" s="539" t="n">
        <v>42808</v>
      </c>
      <c r="D2315" t="n">
        <v>114.120002746582</v>
      </c>
      <c r="E2315" t="n">
        <v>81.51999664306641</v>
      </c>
      <c r="F2315" t="n">
        <v>17.20046043395996</v>
      </c>
      <c r="G2315" t="n">
        <v>73.07619476318359</v>
      </c>
      <c r="H2315">
        <f>AVERAGE(D2116:D2315)</f>
        <v/>
      </c>
      <c r="I2315">
        <f>AVERAGE(E2116:E2315)</f>
        <v/>
      </c>
      <c r="J2315">
        <f>AVERAGE(F2116:F2315)</f>
        <v/>
      </c>
    </row>
    <row r="2316">
      <c r="C2316" s="539" t="n">
        <v>42809</v>
      </c>
      <c r="D2316" t="n">
        <v>116.25</v>
      </c>
      <c r="E2316" t="n">
        <v>83.04000091552734</v>
      </c>
      <c r="F2316" t="n">
        <v>17.26063346862793</v>
      </c>
      <c r="G2316" t="n">
        <v>73.09219360351562</v>
      </c>
      <c r="H2316">
        <f>AVERAGE(D2117:D2316)</f>
        <v/>
      </c>
      <c r="I2316">
        <f>AVERAGE(E2117:E2316)</f>
        <v/>
      </c>
      <c r="J2316">
        <f>AVERAGE(F2117:F2316)</f>
        <v/>
      </c>
    </row>
    <row r="2317">
      <c r="C2317" s="539" t="n">
        <v>42810</v>
      </c>
      <c r="D2317" t="n">
        <v>116.7300033569336</v>
      </c>
      <c r="E2317" t="n">
        <v>82.87999725341797</v>
      </c>
      <c r="F2317" t="n">
        <v>17.33799743652344</v>
      </c>
      <c r="G2317" t="n">
        <v>73.10819244384766</v>
      </c>
      <c r="H2317">
        <f>AVERAGE(D2118:D2317)</f>
        <v/>
      </c>
      <c r="I2317">
        <f>AVERAGE(E2118:E2317)</f>
        <v/>
      </c>
      <c r="J2317">
        <f>AVERAGE(F2118:F2317)</f>
        <v/>
      </c>
    </row>
    <row r="2318">
      <c r="C2318" s="539" t="n">
        <v>42811</v>
      </c>
      <c r="D2318" t="n">
        <v>116.9899978637695</v>
      </c>
      <c r="E2318" t="n">
        <v>82.63999938964844</v>
      </c>
      <c r="F2318" t="n">
        <v>17.32080459594727</v>
      </c>
      <c r="G2318" t="n">
        <v>73.10819244384766</v>
      </c>
      <c r="H2318">
        <f>AVERAGE(D2119:D2318)</f>
        <v/>
      </c>
      <c r="I2318">
        <f>AVERAGE(E2119:E2318)</f>
        <v/>
      </c>
      <c r="J2318">
        <f>AVERAGE(F2119:F2318)</f>
        <v/>
      </c>
    </row>
    <row r="2319">
      <c r="C2319" s="539" t="n">
        <v>42814</v>
      </c>
      <c r="D2319" t="n">
        <v>117.5100021362305</v>
      </c>
      <c r="E2319" t="n">
        <v>82.16000366210938</v>
      </c>
      <c r="F2319" t="n">
        <v>17.32939910888672</v>
      </c>
      <c r="G2319" t="n">
        <v>73.09219360351562</v>
      </c>
      <c r="H2319">
        <f>AVERAGE(D2120:D2319)</f>
        <v/>
      </c>
      <c r="I2319">
        <f>AVERAGE(E2120:E2319)</f>
        <v/>
      </c>
      <c r="J2319">
        <f>AVERAGE(F2120:F2319)</f>
        <v/>
      </c>
    </row>
    <row r="2320">
      <c r="C2320" s="539" t="n">
        <v>42815</v>
      </c>
      <c r="D2320" t="n">
        <v>118.5400009155273</v>
      </c>
      <c r="E2320" t="n">
        <v>80.87999725341797</v>
      </c>
      <c r="F2320" t="n">
        <v>17.29501724243164</v>
      </c>
      <c r="G2320" t="n">
        <v>73.10819244384766</v>
      </c>
      <c r="H2320">
        <f>AVERAGE(D2121:D2320)</f>
        <v/>
      </c>
      <c r="I2320">
        <f>AVERAGE(E2121:E2320)</f>
        <v/>
      </c>
      <c r="J2320">
        <f>AVERAGE(F2121:F2320)</f>
        <v/>
      </c>
    </row>
    <row r="2321">
      <c r="C2321" s="539" t="n">
        <v>42816</v>
      </c>
      <c r="D2321" t="n">
        <v>118.8300018310547</v>
      </c>
      <c r="E2321" t="n">
        <v>80.95999908447266</v>
      </c>
      <c r="F2321" t="n">
        <v>17.30361175537109</v>
      </c>
      <c r="G2321" t="n">
        <v>73.10819244384766</v>
      </c>
      <c r="H2321">
        <f>AVERAGE(D2122:D2321)</f>
        <v/>
      </c>
      <c r="I2321">
        <f>AVERAGE(E2122:E2321)</f>
        <v/>
      </c>
      <c r="J2321">
        <f>AVERAGE(F2122:F2321)</f>
        <v/>
      </c>
    </row>
    <row r="2322">
      <c r="C2322" s="539" t="n">
        <v>42817</v>
      </c>
      <c r="D2322" t="n">
        <v>118.6699981689453</v>
      </c>
      <c r="E2322" t="n">
        <v>80.08000183105469</v>
      </c>
      <c r="F2322" t="n">
        <v>17.32080459594727</v>
      </c>
      <c r="G2322" t="n">
        <v>73.09219360351562</v>
      </c>
      <c r="H2322">
        <f>AVERAGE(D2123:D2322)</f>
        <v/>
      </c>
      <c r="I2322">
        <f>AVERAGE(E2123:E2322)</f>
        <v/>
      </c>
      <c r="J2322">
        <f>AVERAGE(F2123:F2322)</f>
        <v/>
      </c>
    </row>
    <row r="2323">
      <c r="C2323" s="539" t="n">
        <v>42818</v>
      </c>
      <c r="D2323" t="n">
        <v>118.8600006103516</v>
      </c>
      <c r="E2323" t="n">
        <v>80.72000122070312</v>
      </c>
      <c r="F2323" t="n">
        <v>17.19186401367188</v>
      </c>
      <c r="G2323" t="n">
        <v>73.10819244384766</v>
      </c>
      <c r="H2323">
        <f>AVERAGE(D2124:D2323)</f>
        <v/>
      </c>
      <c r="I2323">
        <f>AVERAGE(E2124:E2323)</f>
        <v/>
      </c>
      <c r="J2323">
        <f>AVERAGE(F2124:F2323)</f>
        <v/>
      </c>
    </row>
    <row r="2324">
      <c r="C2324" s="539" t="n">
        <v>42821</v>
      </c>
      <c r="D2324" t="n">
        <v>119.5299987792969</v>
      </c>
      <c r="E2324" t="n">
        <v>80.31999969482422</v>
      </c>
      <c r="F2324" t="n">
        <v>17.10590362548828</v>
      </c>
      <c r="G2324" t="n">
        <v>73.10819244384766</v>
      </c>
      <c r="H2324">
        <f>AVERAGE(D2125:D2324)</f>
        <v/>
      </c>
      <c r="I2324">
        <f>AVERAGE(E2125:E2324)</f>
        <v/>
      </c>
      <c r="J2324">
        <f>AVERAGE(F2125:F2324)</f>
        <v/>
      </c>
    </row>
    <row r="2325">
      <c r="C2325" s="539" t="n">
        <v>42822</v>
      </c>
      <c r="D2325" t="n">
        <v>119.0400009155273</v>
      </c>
      <c r="E2325" t="n">
        <v>81.19999694824219</v>
      </c>
      <c r="F2325" t="n">
        <v>17.04573440551758</v>
      </c>
      <c r="G2325" t="n">
        <v>73.10819244384766</v>
      </c>
      <c r="H2325">
        <f>AVERAGE(D2126:D2325)</f>
        <v/>
      </c>
      <c r="I2325">
        <f>AVERAGE(E2126:E2325)</f>
        <v/>
      </c>
      <c r="J2325">
        <f>AVERAGE(F2126:F2325)</f>
        <v/>
      </c>
    </row>
    <row r="2326">
      <c r="C2326" s="539" t="n">
        <v>42823</v>
      </c>
      <c r="D2326" t="n">
        <v>119.3300018310547</v>
      </c>
      <c r="E2326" t="n">
        <v>82.95999908447266</v>
      </c>
      <c r="F2326" t="n">
        <v>17.00275611877441</v>
      </c>
      <c r="G2326" t="n">
        <v>73.10819244384766</v>
      </c>
      <c r="H2326">
        <f>AVERAGE(D2127:D2326)</f>
        <v/>
      </c>
      <c r="I2326">
        <f>AVERAGE(E2127:E2326)</f>
        <v/>
      </c>
      <c r="J2326">
        <f>AVERAGE(F2127:F2326)</f>
        <v/>
      </c>
    </row>
    <row r="2327">
      <c r="C2327" s="539" t="n">
        <v>42824</v>
      </c>
      <c r="D2327" t="n">
        <v>118.4700012207031</v>
      </c>
      <c r="E2327" t="n">
        <v>84.55999755859375</v>
      </c>
      <c r="F2327" t="n">
        <v>16.94258117675781</v>
      </c>
      <c r="G2327" t="n">
        <v>73.10819244384766</v>
      </c>
      <c r="H2327">
        <f>AVERAGE(D2128:D2327)</f>
        <v/>
      </c>
      <c r="I2327">
        <f>AVERAGE(E2128:E2327)</f>
        <v/>
      </c>
      <c r="J2327">
        <f>AVERAGE(F2128:F2327)</f>
        <v/>
      </c>
    </row>
    <row r="2328">
      <c r="C2328" s="539" t="n">
        <v>42825</v>
      </c>
      <c r="D2328" t="n">
        <v>118.7200012207031</v>
      </c>
      <c r="E2328" t="n">
        <v>85.12000274658203</v>
      </c>
      <c r="F2328" t="n">
        <v>17.00275611877441</v>
      </c>
      <c r="G2328" t="n">
        <v>73.09219360351562</v>
      </c>
      <c r="H2328">
        <f>AVERAGE(D2129:D2328)</f>
        <v/>
      </c>
      <c r="I2328">
        <f>AVERAGE(E2129:E2328)</f>
        <v/>
      </c>
      <c r="J2328">
        <f>AVERAGE(F2129:F2328)</f>
        <v/>
      </c>
    </row>
    <row r="2329">
      <c r="C2329" s="539" t="n">
        <v>42828</v>
      </c>
      <c r="D2329" t="n">
        <v>119.3499984741211</v>
      </c>
      <c r="E2329" t="n">
        <v>84.40000152587891</v>
      </c>
      <c r="F2329" t="n">
        <v>16.91679573059082</v>
      </c>
      <c r="G2329" t="n">
        <v>73.09857940673828</v>
      </c>
      <c r="H2329">
        <f>AVERAGE(D2130:D2329)</f>
        <v/>
      </c>
      <c r="I2329">
        <f>AVERAGE(E2130:E2329)</f>
        <v/>
      </c>
      <c r="J2329">
        <f>AVERAGE(F2130:F2329)</f>
        <v/>
      </c>
    </row>
    <row r="2330">
      <c r="C2330" s="539" t="n">
        <v>42829</v>
      </c>
      <c r="D2330" t="n">
        <v>119.620002746582</v>
      </c>
      <c r="E2330" t="n">
        <v>85.68000030517578</v>
      </c>
      <c r="F2330" t="n">
        <v>16.78785705566406</v>
      </c>
      <c r="G2330" t="n">
        <v>73.09857940673828</v>
      </c>
      <c r="H2330">
        <f>AVERAGE(D2131:D2330)</f>
        <v/>
      </c>
      <c r="I2330">
        <f>AVERAGE(E2131:E2330)</f>
        <v/>
      </c>
      <c r="J2330">
        <f>AVERAGE(F2131:F2330)</f>
        <v/>
      </c>
    </row>
    <row r="2331">
      <c r="C2331" s="539" t="n">
        <v>42830</v>
      </c>
      <c r="D2331" t="n">
        <v>119.620002746582</v>
      </c>
      <c r="E2331" t="n">
        <v>85.44000244140625</v>
      </c>
      <c r="F2331" t="n">
        <v>16.79645156860352</v>
      </c>
      <c r="G2331" t="n">
        <v>73.09857940673828</v>
      </c>
      <c r="H2331">
        <f>AVERAGE(D2132:D2331)</f>
        <v/>
      </c>
      <c r="I2331">
        <f>AVERAGE(E2132:E2331)</f>
        <v/>
      </c>
      <c r="J2331">
        <f>AVERAGE(F2132:F2331)</f>
        <v/>
      </c>
    </row>
    <row r="2332">
      <c r="C2332" s="539" t="n">
        <v>42831</v>
      </c>
      <c r="D2332" t="n">
        <v>119.1800003051758</v>
      </c>
      <c r="E2332" t="n">
        <v>86.87999725341797</v>
      </c>
      <c r="F2332" t="n">
        <v>16.81364250183105</v>
      </c>
      <c r="G2332" t="n">
        <v>73.09857940673828</v>
      </c>
      <c r="H2332">
        <f>AVERAGE(D2133:D2332)</f>
        <v/>
      </c>
      <c r="I2332">
        <f>AVERAGE(E2133:E2332)</f>
        <v/>
      </c>
      <c r="J2332">
        <f>AVERAGE(F2133:F2332)</f>
        <v/>
      </c>
    </row>
    <row r="2333">
      <c r="C2333" s="539" t="n">
        <v>42832</v>
      </c>
      <c r="D2333" t="n">
        <v>119.4599990844727</v>
      </c>
      <c r="E2333" t="n">
        <v>87.68000030517578</v>
      </c>
      <c r="F2333" t="n">
        <v>16.83083724975586</v>
      </c>
      <c r="G2333" t="n">
        <v>73.09857940673828</v>
      </c>
      <c r="H2333">
        <f>AVERAGE(D2134:D2333)</f>
        <v/>
      </c>
      <c r="I2333">
        <f>AVERAGE(E2134:E2333)</f>
        <v/>
      </c>
      <c r="J2333">
        <f>AVERAGE(F2134:F2333)</f>
        <v/>
      </c>
    </row>
    <row r="2334">
      <c r="C2334" s="539" t="n">
        <v>42835</v>
      </c>
      <c r="D2334" t="n">
        <v>119.4599990844727</v>
      </c>
      <c r="E2334" t="n">
        <v>89.12000274658203</v>
      </c>
      <c r="F2334" t="n">
        <v>16.8480281829834</v>
      </c>
      <c r="G2334" t="n">
        <v>73.09857940673828</v>
      </c>
      <c r="H2334">
        <f>AVERAGE(D2135:D2334)</f>
        <v/>
      </c>
      <c r="I2334">
        <f>AVERAGE(E2135:E2334)</f>
        <v/>
      </c>
      <c r="J2334">
        <f>AVERAGE(F2135:F2334)</f>
        <v/>
      </c>
    </row>
    <row r="2335">
      <c r="C2335" s="539" t="n">
        <v>42836</v>
      </c>
      <c r="D2335" t="n">
        <v>121.1900024414062</v>
      </c>
      <c r="E2335" t="n">
        <v>89.36000061035156</v>
      </c>
      <c r="F2335" t="n">
        <v>16.98556327819824</v>
      </c>
      <c r="G2335" t="n">
        <v>73.11458587646484</v>
      </c>
      <c r="H2335">
        <f>AVERAGE(D2136:D2335)</f>
        <v/>
      </c>
      <c r="I2335">
        <f>AVERAGE(E2136:E2335)</f>
        <v/>
      </c>
      <c r="J2335">
        <f>AVERAGE(F2136:F2335)</f>
        <v/>
      </c>
    </row>
    <row r="2336">
      <c r="C2336" s="539" t="n">
        <v>42837</v>
      </c>
      <c r="D2336" t="n">
        <v>122.0199966430664</v>
      </c>
      <c r="E2336" t="n">
        <v>88.87999725341797</v>
      </c>
      <c r="F2336" t="n">
        <v>16.93398857116699</v>
      </c>
      <c r="G2336" t="n">
        <v>73.09857940673828</v>
      </c>
      <c r="H2336">
        <f>AVERAGE(D2137:D2336)</f>
        <v/>
      </c>
      <c r="I2336">
        <f>AVERAGE(E2137:E2336)</f>
        <v/>
      </c>
      <c r="J2336">
        <f>AVERAGE(F2137:F2336)</f>
        <v/>
      </c>
    </row>
    <row r="2337">
      <c r="C2337" s="539" t="n">
        <v>42838</v>
      </c>
      <c r="D2337" t="n">
        <v>122.5999984741211</v>
      </c>
      <c r="E2337" t="n">
        <v>89.04000091552734</v>
      </c>
      <c r="F2337" t="n">
        <v>16.93398857116699</v>
      </c>
      <c r="G2337" t="n">
        <v>73.11458587646484</v>
      </c>
      <c r="H2337">
        <f>AVERAGE(D2138:D2337)</f>
        <v/>
      </c>
      <c r="I2337">
        <f>AVERAGE(E2138:E2337)</f>
        <v/>
      </c>
      <c r="J2337">
        <f>AVERAGE(F2138:F2337)</f>
        <v/>
      </c>
    </row>
    <row r="2338">
      <c r="C2338" s="539" t="n">
        <v>42842</v>
      </c>
      <c r="D2338" t="n">
        <v>122.2399978637695</v>
      </c>
      <c r="E2338" t="n">
        <v>88.48000335693359</v>
      </c>
      <c r="F2338" t="n">
        <v>16.91679573059082</v>
      </c>
      <c r="G2338" t="n">
        <v>73.11458587646484</v>
      </c>
      <c r="H2338">
        <f>AVERAGE(D2139:D2338)</f>
        <v/>
      </c>
      <c r="I2338">
        <f>AVERAGE(E2139:E2338)</f>
        <v/>
      </c>
      <c r="J2338">
        <f>AVERAGE(F2139:F2338)</f>
        <v/>
      </c>
    </row>
    <row r="2339">
      <c r="C2339" s="539" t="n">
        <v>42843</v>
      </c>
      <c r="D2339" t="n">
        <v>122.8199996948242</v>
      </c>
      <c r="E2339" t="n">
        <v>88.31999969482422</v>
      </c>
      <c r="F2339" t="n">
        <v>16.95977401733398</v>
      </c>
      <c r="G2339" t="n">
        <v>73.13057708740234</v>
      </c>
      <c r="H2339">
        <f>AVERAGE(D2140:D2339)</f>
        <v/>
      </c>
      <c r="I2339">
        <f>AVERAGE(E2140:E2339)</f>
        <v/>
      </c>
      <c r="J2339">
        <f>AVERAGE(F2140:F2339)</f>
        <v/>
      </c>
    </row>
    <row r="2340">
      <c r="C2340" s="539" t="n">
        <v>42844</v>
      </c>
      <c r="D2340" t="n">
        <v>121.7300033569336</v>
      </c>
      <c r="E2340" t="n">
        <v>84.95999908447266</v>
      </c>
      <c r="F2340" t="n">
        <v>16.75347137451172</v>
      </c>
      <c r="G2340" t="n">
        <v>73.13057708740234</v>
      </c>
      <c r="H2340">
        <f>AVERAGE(D2141:D2340)</f>
        <v/>
      </c>
      <c r="I2340">
        <f>AVERAGE(E2141:E2340)</f>
        <v/>
      </c>
      <c r="J2340">
        <f>AVERAGE(F2141:F2340)</f>
        <v/>
      </c>
    </row>
    <row r="2341">
      <c r="C2341" s="539" t="n">
        <v>42845</v>
      </c>
      <c r="D2341" t="n">
        <v>121.9599990844727</v>
      </c>
      <c r="E2341" t="n">
        <v>84.31999969482422</v>
      </c>
      <c r="F2341" t="n">
        <v>16.51278686523438</v>
      </c>
      <c r="G2341" t="n">
        <v>73.13057708740234</v>
      </c>
      <c r="H2341">
        <f>AVERAGE(D2142:D2341)</f>
        <v/>
      </c>
      <c r="I2341">
        <f>AVERAGE(E2142:E2341)</f>
        <v/>
      </c>
      <c r="J2341">
        <f>AVERAGE(F2142:F2341)</f>
        <v/>
      </c>
    </row>
    <row r="2342">
      <c r="C2342" s="539" t="n">
        <v>42846</v>
      </c>
      <c r="D2342" t="n">
        <v>122.3099975585938</v>
      </c>
      <c r="E2342" t="n">
        <v>82.55999755859375</v>
      </c>
      <c r="F2342" t="n">
        <v>16.5815544128418</v>
      </c>
      <c r="G2342" t="n">
        <v>73.13057708740234</v>
      </c>
      <c r="H2342">
        <f>AVERAGE(D2143:D2342)</f>
        <v/>
      </c>
      <c r="I2342">
        <f>AVERAGE(E2143:E2342)</f>
        <v/>
      </c>
      <c r="J2342">
        <f>AVERAGE(F2143:F2342)</f>
        <v/>
      </c>
    </row>
    <row r="2343">
      <c r="C2343" s="539" t="n">
        <v>42849</v>
      </c>
      <c r="D2343" t="n">
        <v>121.4800033569336</v>
      </c>
      <c r="E2343" t="n">
        <v>82</v>
      </c>
      <c r="F2343" t="n">
        <v>16.50419044494629</v>
      </c>
      <c r="G2343" t="n">
        <v>73.11458587646484</v>
      </c>
      <c r="H2343">
        <f>AVERAGE(D2144:D2343)</f>
        <v/>
      </c>
      <c r="I2343">
        <f>AVERAGE(E2144:E2343)</f>
        <v/>
      </c>
      <c r="J2343">
        <f>AVERAGE(F2144:F2343)</f>
        <v/>
      </c>
    </row>
    <row r="2344">
      <c r="C2344" s="539" t="n">
        <v>42850</v>
      </c>
      <c r="D2344" t="n">
        <v>120.25</v>
      </c>
      <c r="E2344" t="n">
        <v>82.87999725341797</v>
      </c>
      <c r="F2344" t="n">
        <v>16.67610740661621</v>
      </c>
      <c r="G2344" t="n">
        <v>73.11458587646484</v>
      </c>
      <c r="H2344">
        <f>AVERAGE(D2145:D2344)</f>
        <v/>
      </c>
      <c r="I2344">
        <f>AVERAGE(E2145:E2344)</f>
        <v/>
      </c>
      <c r="J2344">
        <f>AVERAGE(F2145:F2344)</f>
        <v/>
      </c>
    </row>
    <row r="2345">
      <c r="C2345" s="539" t="n">
        <v>42851</v>
      </c>
      <c r="D2345" t="n">
        <v>120.8399963378906</v>
      </c>
      <c r="E2345" t="n">
        <v>82.08000183105469</v>
      </c>
      <c r="F2345" t="n">
        <v>16.62453269958496</v>
      </c>
      <c r="G2345" t="n">
        <v>73.13057708740234</v>
      </c>
      <c r="H2345">
        <f>AVERAGE(D2146:D2345)</f>
        <v/>
      </c>
      <c r="I2345">
        <f>AVERAGE(E2146:E2345)</f>
        <v/>
      </c>
      <c r="J2345">
        <f>AVERAGE(F2146:F2345)</f>
        <v/>
      </c>
    </row>
    <row r="2346">
      <c r="C2346" s="539" t="n">
        <v>42852</v>
      </c>
      <c r="D2346" t="n">
        <v>120.3899993896484</v>
      </c>
      <c r="E2346" t="n">
        <v>81.91999816894531</v>
      </c>
      <c r="F2346" t="n">
        <v>16.77926254272461</v>
      </c>
      <c r="G2346" t="n">
        <v>73.11458587646484</v>
      </c>
      <c r="H2346">
        <f>AVERAGE(D2147:D2346)</f>
        <v/>
      </c>
      <c r="I2346">
        <f>AVERAGE(E2147:E2346)</f>
        <v/>
      </c>
      <c r="J2346">
        <f>AVERAGE(F2147:F2346)</f>
        <v/>
      </c>
    </row>
    <row r="2347">
      <c r="C2347" s="539" t="n">
        <v>42853</v>
      </c>
      <c r="D2347" t="n">
        <v>120.7699966430664</v>
      </c>
      <c r="E2347" t="n">
        <v>81.91999816894531</v>
      </c>
      <c r="F2347" t="n">
        <v>16.96837043762207</v>
      </c>
      <c r="G2347" t="n">
        <v>73.14657592773438</v>
      </c>
      <c r="H2347">
        <f>AVERAGE(D2148:D2347)</f>
        <v/>
      </c>
      <c r="I2347">
        <f>AVERAGE(E2148:E2347)</f>
        <v/>
      </c>
      <c r="J2347">
        <f>AVERAGE(F2148:F2347)</f>
        <v/>
      </c>
    </row>
    <row r="2348">
      <c r="C2348" s="539" t="n">
        <v>42856</v>
      </c>
      <c r="D2348" t="n">
        <v>119.6699981689453</v>
      </c>
      <c r="E2348" t="n">
        <v>81.19999694824219</v>
      </c>
      <c r="F2348" t="n">
        <v>17.20046043395996</v>
      </c>
      <c r="G2348" t="n">
        <v>73.14176940917969</v>
      </c>
      <c r="H2348">
        <f>AVERAGE(D2149:D2348)</f>
        <v/>
      </c>
      <c r="I2348">
        <f>AVERAGE(E2149:E2348)</f>
        <v/>
      </c>
      <c r="J2348">
        <f>AVERAGE(F2149:F2348)</f>
        <v/>
      </c>
    </row>
    <row r="2349">
      <c r="C2349" s="539" t="n">
        <v>42857</v>
      </c>
      <c r="D2349" t="n">
        <v>119.6500015258789</v>
      </c>
      <c r="E2349" t="n">
        <v>79.36000061035156</v>
      </c>
      <c r="F2349" t="n">
        <v>17.23484230041504</v>
      </c>
      <c r="G2349" t="n">
        <v>73.12579345703125</v>
      </c>
      <c r="H2349">
        <f>AVERAGE(D2150:D2349)</f>
        <v/>
      </c>
      <c r="I2349">
        <f>AVERAGE(E2150:E2349)</f>
        <v/>
      </c>
      <c r="J2349">
        <f>AVERAGE(F2150:F2349)</f>
        <v/>
      </c>
    </row>
    <row r="2350">
      <c r="C2350" s="539" t="n">
        <v>42858</v>
      </c>
      <c r="D2350" t="n">
        <v>117.9800033569336</v>
      </c>
      <c r="E2350" t="n">
        <v>79.44000244140625</v>
      </c>
      <c r="F2350" t="n">
        <v>17.40676307678223</v>
      </c>
      <c r="G2350" t="n">
        <v>73.12579345703125</v>
      </c>
      <c r="H2350">
        <f>AVERAGE(D2151:D2350)</f>
        <v/>
      </c>
      <c r="I2350">
        <f>AVERAGE(E2151:E2350)</f>
        <v/>
      </c>
      <c r="J2350">
        <f>AVERAGE(F2151:F2350)</f>
        <v/>
      </c>
    </row>
    <row r="2351">
      <c r="C2351" s="539" t="n">
        <v>42859</v>
      </c>
      <c r="D2351" t="n">
        <v>116.7900009155273</v>
      </c>
      <c r="E2351" t="n">
        <v>75.68000030517578</v>
      </c>
      <c r="F2351" t="n">
        <v>17.20046043395996</v>
      </c>
      <c r="G2351" t="n">
        <v>73.14176940917969</v>
      </c>
      <c r="H2351">
        <f>AVERAGE(D2152:D2351)</f>
        <v/>
      </c>
      <c r="I2351">
        <f>AVERAGE(E2152:E2351)</f>
        <v/>
      </c>
      <c r="J2351">
        <f>AVERAGE(F2152:F2351)</f>
        <v/>
      </c>
    </row>
    <row r="2352">
      <c r="C2352" s="539" t="n">
        <v>42860</v>
      </c>
      <c r="D2352" t="n">
        <v>117.0100021362305</v>
      </c>
      <c r="E2352" t="n">
        <v>77.27999877929688</v>
      </c>
      <c r="F2352" t="n">
        <v>17.18326759338379</v>
      </c>
      <c r="G2352" t="n">
        <v>73.12579345703125</v>
      </c>
      <c r="H2352">
        <f>AVERAGE(D2153:D2352)</f>
        <v/>
      </c>
      <c r="I2352">
        <f>AVERAGE(E2153:E2352)</f>
        <v/>
      </c>
      <c r="J2352">
        <f>AVERAGE(F2153:F2352)</f>
        <v/>
      </c>
    </row>
    <row r="2353">
      <c r="C2353" s="539" t="n">
        <v>42863</v>
      </c>
      <c r="D2353" t="n">
        <v>116.75</v>
      </c>
      <c r="E2353" t="n">
        <v>77.36000061035156</v>
      </c>
      <c r="F2353" t="n">
        <v>17.2778263092041</v>
      </c>
      <c r="G2353" t="n">
        <v>73.14176940917969</v>
      </c>
      <c r="H2353">
        <f>AVERAGE(D2154:D2353)</f>
        <v/>
      </c>
      <c r="I2353">
        <f>AVERAGE(E2154:E2353)</f>
        <v/>
      </c>
      <c r="J2353">
        <f>AVERAGE(F2154:F2353)</f>
        <v/>
      </c>
    </row>
    <row r="2354">
      <c r="C2354" s="539" t="n">
        <v>42864</v>
      </c>
      <c r="D2354" t="n">
        <v>116.0500030517578</v>
      </c>
      <c r="E2354" t="n">
        <v>76.55999755859375</v>
      </c>
      <c r="F2354" t="n">
        <v>17.16607666015625</v>
      </c>
      <c r="G2354" t="n">
        <v>73.14176940917969</v>
      </c>
      <c r="H2354">
        <f>AVERAGE(D2155:D2354)</f>
        <v/>
      </c>
      <c r="I2354">
        <f>AVERAGE(E2155:E2354)</f>
        <v/>
      </c>
      <c r="J2354">
        <f>AVERAGE(F2155:F2354)</f>
        <v/>
      </c>
    </row>
    <row r="2355">
      <c r="C2355" s="539" t="n">
        <v>42865</v>
      </c>
      <c r="D2355" t="n">
        <v>116.0400009155273</v>
      </c>
      <c r="E2355" t="n">
        <v>78.87999725341797</v>
      </c>
      <c r="F2355" t="n">
        <v>17.26922798156738</v>
      </c>
      <c r="G2355" t="n">
        <v>73.15780639648438</v>
      </c>
      <c r="H2355">
        <f>AVERAGE(D2156:D2355)</f>
        <v/>
      </c>
      <c r="I2355">
        <f>AVERAGE(E2156:E2355)</f>
        <v/>
      </c>
      <c r="J2355">
        <f>AVERAGE(F2156:F2355)</f>
        <v/>
      </c>
    </row>
    <row r="2356">
      <c r="C2356" s="539" t="n">
        <v>42866</v>
      </c>
      <c r="D2356" t="n">
        <v>116.5</v>
      </c>
      <c r="E2356" t="n">
        <v>79.51999664306641</v>
      </c>
      <c r="F2356" t="n">
        <v>17.19186401367188</v>
      </c>
      <c r="G2356" t="n">
        <v>73.15780639648438</v>
      </c>
      <c r="H2356">
        <f>AVERAGE(D2157:D2356)</f>
        <v/>
      </c>
      <c r="I2356">
        <f>AVERAGE(E2157:E2356)</f>
        <v/>
      </c>
      <c r="J2356">
        <f>AVERAGE(F2157:F2356)</f>
        <v/>
      </c>
    </row>
    <row r="2357">
      <c r="C2357" s="539" t="n">
        <v>42867</v>
      </c>
      <c r="D2357" t="n">
        <v>116.8300018310547</v>
      </c>
      <c r="E2357" t="n">
        <v>79.59999847412109</v>
      </c>
      <c r="F2357" t="n">
        <v>17.34659004211426</v>
      </c>
      <c r="G2357" t="n">
        <v>73.14176940917969</v>
      </c>
      <c r="H2357">
        <f>AVERAGE(D2158:D2357)</f>
        <v/>
      </c>
      <c r="I2357">
        <f>AVERAGE(E2158:E2357)</f>
        <v/>
      </c>
      <c r="J2357">
        <f>AVERAGE(F2158:F2357)</f>
        <v/>
      </c>
    </row>
    <row r="2358">
      <c r="C2358" s="539" t="n">
        <v>42870</v>
      </c>
      <c r="D2358" t="n">
        <v>117.1399993896484</v>
      </c>
      <c r="E2358" t="n">
        <v>81.36000061035156</v>
      </c>
      <c r="F2358" t="n">
        <v>17.20905685424805</v>
      </c>
      <c r="G2358" t="n">
        <v>73.15780639648438</v>
      </c>
      <c r="H2358">
        <f>AVERAGE(D2159:D2358)</f>
        <v/>
      </c>
      <c r="I2358">
        <f>AVERAGE(E2159:E2358)</f>
        <v/>
      </c>
      <c r="J2358">
        <f>AVERAGE(F2159:F2358)</f>
        <v/>
      </c>
    </row>
    <row r="2359">
      <c r="C2359" s="539" t="n">
        <v>42871</v>
      </c>
      <c r="D2359" t="n">
        <v>117.6500015258789</v>
      </c>
      <c r="E2359" t="n">
        <v>80.87999725341797</v>
      </c>
      <c r="F2359" t="n">
        <v>17.19186401367188</v>
      </c>
      <c r="G2359" t="n">
        <v>73.15780639648438</v>
      </c>
      <c r="H2359">
        <f>AVERAGE(D2160:D2359)</f>
        <v/>
      </c>
      <c r="I2359">
        <f>AVERAGE(E2160:E2359)</f>
        <v/>
      </c>
      <c r="J2359">
        <f>AVERAGE(F2160:F2359)</f>
        <v/>
      </c>
    </row>
    <row r="2360">
      <c r="C2360" s="539" t="n">
        <v>42872</v>
      </c>
      <c r="D2360" t="n">
        <v>119.7900009155273</v>
      </c>
      <c r="E2360" t="n">
        <v>81.51999664306641</v>
      </c>
      <c r="F2360" t="n">
        <v>17.32080459594727</v>
      </c>
      <c r="G2360" t="n">
        <v>73.17380523681641</v>
      </c>
      <c r="H2360">
        <f>AVERAGE(D2161:D2360)</f>
        <v/>
      </c>
      <c r="I2360">
        <f>AVERAGE(E2161:E2360)</f>
        <v/>
      </c>
      <c r="J2360">
        <f>AVERAGE(F2161:F2360)</f>
        <v/>
      </c>
    </row>
    <row r="2361">
      <c r="C2361" s="539" t="n">
        <v>42873</v>
      </c>
      <c r="D2361" t="n">
        <v>118.8099975585938</v>
      </c>
      <c r="E2361" t="n">
        <v>82.08000183105469</v>
      </c>
      <c r="F2361" t="n">
        <v>17.20046043395996</v>
      </c>
      <c r="G2361" t="n">
        <v>73.17380523681641</v>
      </c>
      <c r="H2361">
        <f>AVERAGE(D2162:D2361)</f>
        <v/>
      </c>
      <c r="I2361">
        <f>AVERAGE(E2162:E2361)</f>
        <v/>
      </c>
      <c r="J2361">
        <f>AVERAGE(F2162:F2361)</f>
        <v/>
      </c>
    </row>
    <row r="2362">
      <c r="C2362" s="539" t="n">
        <v>42874</v>
      </c>
      <c r="D2362" t="n">
        <v>119.4000015258789</v>
      </c>
      <c r="E2362" t="n">
        <v>83.83999633789062</v>
      </c>
      <c r="F2362" t="n">
        <v>17.39816856384277</v>
      </c>
      <c r="G2362" t="n">
        <v>73.15780639648438</v>
      </c>
      <c r="H2362">
        <f>AVERAGE(D2163:D2362)</f>
        <v/>
      </c>
      <c r="I2362">
        <f>AVERAGE(E2163:E2362)</f>
        <v/>
      </c>
      <c r="J2362">
        <f>AVERAGE(F2163:F2362)</f>
        <v/>
      </c>
    </row>
    <row r="2363">
      <c r="C2363" s="539" t="n">
        <v>42877</v>
      </c>
      <c r="D2363" t="n">
        <v>119.9000015258789</v>
      </c>
      <c r="E2363" t="n">
        <v>84.31999969482422</v>
      </c>
      <c r="F2363" t="n">
        <v>17.44114875793457</v>
      </c>
      <c r="G2363" t="n">
        <v>73.17380523681641</v>
      </c>
      <c r="H2363">
        <f>AVERAGE(D2164:D2363)</f>
        <v/>
      </c>
      <c r="I2363">
        <f>AVERAGE(E2164:E2363)</f>
        <v/>
      </c>
      <c r="J2363">
        <f>AVERAGE(F2164:F2363)</f>
        <v/>
      </c>
    </row>
    <row r="2364">
      <c r="C2364" s="539" t="n">
        <v>42878</v>
      </c>
      <c r="D2364" t="n">
        <v>119.1399993896484</v>
      </c>
      <c r="E2364" t="n">
        <v>85.12000274658203</v>
      </c>
      <c r="F2364" t="n">
        <v>17.20905685424805</v>
      </c>
      <c r="G2364" t="n">
        <v>73.17380523681641</v>
      </c>
      <c r="H2364">
        <f>AVERAGE(D2165:D2364)</f>
        <v/>
      </c>
      <c r="I2364">
        <f>AVERAGE(E2165:E2364)</f>
        <v/>
      </c>
      <c r="J2364">
        <f>AVERAGE(F2165:F2364)</f>
        <v/>
      </c>
    </row>
    <row r="2365">
      <c r="C2365" s="539" t="n">
        <v>42879</v>
      </c>
      <c r="D2365" t="n">
        <v>119.6100006103516</v>
      </c>
      <c r="E2365" t="n">
        <v>84.80000305175781</v>
      </c>
      <c r="F2365" t="n">
        <v>17.0543270111084</v>
      </c>
      <c r="G2365" t="n">
        <v>73.15780639648438</v>
      </c>
      <c r="H2365">
        <f>AVERAGE(D2166:D2365)</f>
        <v/>
      </c>
      <c r="I2365">
        <f>AVERAGE(E2166:E2365)</f>
        <v/>
      </c>
      <c r="J2365">
        <f>AVERAGE(F2166:F2365)</f>
        <v/>
      </c>
    </row>
    <row r="2366">
      <c r="C2366" s="539" t="n">
        <v>42880</v>
      </c>
      <c r="D2366" t="n">
        <v>119.4800033569336</v>
      </c>
      <c r="E2366" t="n">
        <v>80.31999969482422</v>
      </c>
      <c r="F2366" t="n">
        <v>17.09730911254883</v>
      </c>
      <c r="G2366" t="n">
        <v>73.17380523681641</v>
      </c>
      <c r="H2366">
        <f>AVERAGE(D2167:D2366)</f>
        <v/>
      </c>
      <c r="I2366">
        <f>AVERAGE(E2167:E2366)</f>
        <v/>
      </c>
      <c r="J2366">
        <f>AVERAGE(F2167:F2366)</f>
        <v/>
      </c>
    </row>
    <row r="2367">
      <c r="C2367" s="539" t="n">
        <v>42881</v>
      </c>
      <c r="D2367" t="n">
        <v>120.5400009155273</v>
      </c>
      <c r="E2367" t="n">
        <v>82.23999786376953</v>
      </c>
      <c r="F2367" t="n">
        <v>17.04573440551758</v>
      </c>
      <c r="G2367" t="n">
        <v>73.18979644775391</v>
      </c>
      <c r="H2367">
        <f>AVERAGE(D2168:D2367)</f>
        <v/>
      </c>
      <c r="I2367">
        <f>AVERAGE(E2168:E2367)</f>
        <v/>
      </c>
      <c r="J2367">
        <f>AVERAGE(F2168:F2367)</f>
        <v/>
      </c>
    </row>
    <row r="2368">
      <c r="C2368" s="539" t="n">
        <v>42885</v>
      </c>
      <c r="D2368" t="n">
        <v>120.1399993896484</v>
      </c>
      <c r="E2368" t="n">
        <v>81.91999816894531</v>
      </c>
      <c r="F2368" t="n">
        <v>17.08012008666992</v>
      </c>
      <c r="G2368" t="n">
        <v>73.15780639648438</v>
      </c>
      <c r="H2368">
        <f>AVERAGE(D2169:D2368)</f>
        <v/>
      </c>
      <c r="I2368">
        <f>AVERAGE(E2169:E2368)</f>
        <v/>
      </c>
      <c r="J2368">
        <f>AVERAGE(F2169:F2368)</f>
        <v/>
      </c>
    </row>
    <row r="2369">
      <c r="C2369" s="539" t="n">
        <v>42886</v>
      </c>
      <c r="D2369" t="n">
        <v>120.620002746582</v>
      </c>
      <c r="E2369" t="n">
        <v>79.68000030517578</v>
      </c>
      <c r="F2369" t="n">
        <v>17.17467308044434</v>
      </c>
      <c r="G2369" t="n">
        <v>73.15780639648438</v>
      </c>
      <c r="H2369">
        <f>AVERAGE(D2170:D2369)</f>
        <v/>
      </c>
      <c r="I2369">
        <f>AVERAGE(E2170:E2369)</f>
        <v/>
      </c>
      <c r="J2369">
        <f>AVERAGE(F2170:F2369)</f>
        <v/>
      </c>
    </row>
    <row r="2370">
      <c r="C2370" s="539" t="n">
        <v>42887</v>
      </c>
      <c r="D2370" t="n">
        <v>120.7200012207031</v>
      </c>
      <c r="E2370" t="n">
        <v>79.27999877929688</v>
      </c>
      <c r="F2370" t="n">
        <v>17.15748023986816</v>
      </c>
      <c r="G2370" t="n">
        <v>73.18498992919922</v>
      </c>
      <c r="H2370">
        <f>AVERAGE(D2171:D2370)</f>
        <v/>
      </c>
      <c r="I2370">
        <f>AVERAGE(E2171:E2370)</f>
        <v/>
      </c>
      <c r="J2370">
        <f>AVERAGE(F2171:F2370)</f>
        <v/>
      </c>
    </row>
    <row r="2371">
      <c r="C2371" s="539" t="n">
        <v>42888</v>
      </c>
      <c r="D2371" t="n">
        <v>121.6100006103516</v>
      </c>
      <c r="E2371" t="n">
        <v>78.87999725341797</v>
      </c>
      <c r="F2371" t="n">
        <v>17.10590362548828</v>
      </c>
      <c r="G2371" t="n">
        <v>73.16898345947266</v>
      </c>
      <c r="H2371">
        <f>AVERAGE(D2172:D2371)</f>
        <v/>
      </c>
      <c r="I2371">
        <f>AVERAGE(E2172:E2371)</f>
        <v/>
      </c>
      <c r="J2371">
        <f>AVERAGE(F2172:F2371)</f>
        <v/>
      </c>
    </row>
    <row r="2372">
      <c r="C2372" s="539" t="n">
        <v>42891</v>
      </c>
      <c r="D2372" t="n">
        <v>121.7300033569336</v>
      </c>
      <c r="E2372" t="n">
        <v>78.40000152587891</v>
      </c>
      <c r="F2372" t="n">
        <v>17.13169479370117</v>
      </c>
      <c r="G2372" t="n">
        <v>73.18498992919922</v>
      </c>
      <c r="H2372">
        <f>AVERAGE(D2173:D2372)</f>
        <v/>
      </c>
      <c r="I2372">
        <f>AVERAGE(E2173:E2372)</f>
        <v/>
      </c>
      <c r="J2372">
        <f>AVERAGE(F2173:F2372)</f>
        <v/>
      </c>
    </row>
    <row r="2373">
      <c r="C2373" s="539" t="n">
        <v>42892</v>
      </c>
      <c r="D2373" t="n">
        <v>123.0999984741211</v>
      </c>
      <c r="E2373" t="n">
        <v>79.76000213623047</v>
      </c>
      <c r="F2373" t="n">
        <v>17.06292533874512</v>
      </c>
      <c r="G2373" t="n">
        <v>73.16898345947266</v>
      </c>
      <c r="H2373">
        <f>AVERAGE(D2174:D2373)</f>
        <v/>
      </c>
      <c r="I2373">
        <f>AVERAGE(E2174:E2373)</f>
        <v/>
      </c>
      <c r="J2373">
        <f>AVERAGE(F2174:F2373)</f>
        <v/>
      </c>
    </row>
    <row r="2374">
      <c r="C2374" s="539" t="n">
        <v>42893</v>
      </c>
      <c r="D2374" t="n">
        <v>122.4499969482422</v>
      </c>
      <c r="E2374" t="n">
        <v>75.68000030517578</v>
      </c>
      <c r="F2374" t="n">
        <v>17.21765518188477</v>
      </c>
      <c r="G2374" t="n">
        <v>73.20104217529297</v>
      </c>
      <c r="H2374">
        <f>AVERAGE(D2175:D2374)</f>
        <v/>
      </c>
      <c r="I2374">
        <f>AVERAGE(E2175:E2374)</f>
        <v/>
      </c>
      <c r="J2374">
        <f>AVERAGE(F2175:F2374)</f>
        <v/>
      </c>
    </row>
    <row r="2375">
      <c r="C2375" s="539" t="n">
        <v>42894</v>
      </c>
      <c r="D2375" t="n">
        <v>121.6500015258789</v>
      </c>
      <c r="E2375" t="n">
        <v>75.44000244140625</v>
      </c>
      <c r="F2375" t="n">
        <v>17.25203514099121</v>
      </c>
      <c r="G2375" t="n">
        <v>73.18498992919922</v>
      </c>
      <c r="H2375">
        <f>AVERAGE(D2176:D2375)</f>
        <v/>
      </c>
      <c r="I2375">
        <f>AVERAGE(E2176:E2375)</f>
        <v/>
      </c>
      <c r="J2375">
        <f>AVERAGE(F2176:F2375)</f>
        <v/>
      </c>
    </row>
    <row r="2376">
      <c r="C2376" s="539" t="n">
        <v>42895</v>
      </c>
      <c r="D2376" t="n">
        <v>120.5400009155273</v>
      </c>
      <c r="E2376" t="n">
        <v>75.91999816894531</v>
      </c>
      <c r="F2376" t="n">
        <v>17.31221008300781</v>
      </c>
      <c r="G2376" t="n">
        <v>73.20104217529297</v>
      </c>
      <c r="H2376">
        <f>AVERAGE(D2177:D2376)</f>
        <v/>
      </c>
      <c r="I2376">
        <f>AVERAGE(E2177:E2376)</f>
        <v/>
      </c>
      <c r="J2376">
        <f>AVERAGE(F2177:F2376)</f>
        <v/>
      </c>
    </row>
    <row r="2377">
      <c r="C2377" s="539" t="n">
        <v>42898</v>
      </c>
      <c r="D2377" t="n">
        <v>120.3600006103516</v>
      </c>
      <c r="E2377" t="n">
        <v>76.16000366210938</v>
      </c>
      <c r="F2377" t="n">
        <v>17.10590362548828</v>
      </c>
      <c r="G2377" t="n">
        <v>73.18498992919922</v>
      </c>
      <c r="H2377">
        <f>AVERAGE(D2178:D2377)</f>
        <v/>
      </c>
      <c r="I2377">
        <f>AVERAGE(E2178:E2377)</f>
        <v/>
      </c>
      <c r="J2377">
        <f>AVERAGE(F2178:F2377)</f>
        <v/>
      </c>
    </row>
    <row r="2378">
      <c r="C2378" s="539" t="n">
        <v>42899</v>
      </c>
      <c r="D2378" t="n">
        <v>120.4800033569336</v>
      </c>
      <c r="E2378" t="n">
        <v>76.80000305175781</v>
      </c>
      <c r="F2378" t="n">
        <v>17.04573440551758</v>
      </c>
      <c r="G2378" t="n">
        <v>73.20104217529297</v>
      </c>
      <c r="H2378">
        <f>AVERAGE(D2179:D2378)</f>
        <v/>
      </c>
      <c r="I2378">
        <f>AVERAGE(E2179:E2378)</f>
        <v/>
      </c>
      <c r="J2378">
        <f>AVERAGE(F2179:F2378)</f>
        <v/>
      </c>
    </row>
    <row r="2379">
      <c r="C2379" s="539" t="n">
        <v>42900</v>
      </c>
      <c r="D2379" t="n">
        <v>119.8199996948242</v>
      </c>
      <c r="E2379" t="n">
        <v>73.83999633789062</v>
      </c>
      <c r="F2379" t="n">
        <v>16.92539024353027</v>
      </c>
      <c r="G2379" t="n">
        <v>73.18498992919922</v>
      </c>
      <c r="H2379">
        <f>AVERAGE(D2180:D2379)</f>
        <v/>
      </c>
      <c r="I2379">
        <f>AVERAGE(E2180:E2379)</f>
        <v/>
      </c>
      <c r="J2379">
        <f>AVERAGE(F2180:F2379)</f>
        <v/>
      </c>
    </row>
    <row r="2380">
      <c r="C2380" s="539" t="n">
        <v>42901</v>
      </c>
      <c r="D2380" t="n">
        <v>119.3199996948242</v>
      </c>
      <c r="E2380" t="n">
        <v>73.44000244140625</v>
      </c>
      <c r="F2380" t="n">
        <v>16.94258117675781</v>
      </c>
      <c r="G2380" t="n">
        <v>73.18498992919922</v>
      </c>
      <c r="H2380">
        <f>AVERAGE(D2181:D2380)</f>
        <v/>
      </c>
      <c r="I2380">
        <f>AVERAGE(E2181:E2380)</f>
        <v/>
      </c>
      <c r="J2380">
        <f>AVERAGE(F2181:F2380)</f>
        <v/>
      </c>
    </row>
    <row r="2381">
      <c r="C2381" s="539" t="n">
        <v>42902</v>
      </c>
      <c r="D2381" t="n">
        <v>119.3399963378906</v>
      </c>
      <c r="E2381" t="n">
        <v>73.91999816894531</v>
      </c>
      <c r="F2381" t="n">
        <v>16.97696495056152</v>
      </c>
      <c r="G2381" t="n">
        <v>73.21702575683594</v>
      </c>
      <c r="H2381">
        <f>AVERAGE(D2182:D2381)</f>
        <v/>
      </c>
      <c r="I2381">
        <f>AVERAGE(E2182:E2381)</f>
        <v/>
      </c>
      <c r="J2381">
        <f>AVERAGE(F2182:F2381)</f>
        <v/>
      </c>
    </row>
    <row r="2382">
      <c r="C2382" s="539" t="n">
        <v>42905</v>
      </c>
      <c r="D2382" t="n">
        <v>118.4300003051758</v>
      </c>
      <c r="E2382" t="n">
        <v>72.95999908447266</v>
      </c>
      <c r="F2382" t="n">
        <v>16.82224082946777</v>
      </c>
      <c r="G2382" t="n">
        <v>73.20104217529297</v>
      </c>
      <c r="H2382">
        <f>AVERAGE(D2183:D2382)</f>
        <v/>
      </c>
      <c r="I2382">
        <f>AVERAGE(E2183:E2382)</f>
        <v/>
      </c>
      <c r="J2382">
        <f>AVERAGE(F2183:F2382)</f>
        <v/>
      </c>
    </row>
    <row r="2383">
      <c r="C2383" s="539" t="n">
        <v>42906</v>
      </c>
      <c r="D2383" t="n">
        <v>118.1800003051758</v>
      </c>
      <c r="E2383" t="n">
        <v>71.59999847412109</v>
      </c>
      <c r="F2383" t="n">
        <v>16.78785705566406</v>
      </c>
      <c r="G2383" t="n">
        <v>73.20104217529297</v>
      </c>
      <c r="H2383">
        <f>AVERAGE(D2184:D2383)</f>
        <v/>
      </c>
      <c r="I2383">
        <f>AVERAGE(E2184:E2383)</f>
        <v/>
      </c>
      <c r="J2383">
        <f>AVERAGE(F2184:F2383)</f>
        <v/>
      </c>
    </row>
    <row r="2384">
      <c r="C2384" s="539" t="n">
        <v>42907</v>
      </c>
      <c r="D2384" t="n">
        <v>118.5199966430664</v>
      </c>
      <c r="E2384" t="n">
        <v>69.68000030517578</v>
      </c>
      <c r="F2384" t="n">
        <v>16.56436157226562</v>
      </c>
      <c r="G2384" t="n">
        <v>73.21702575683594</v>
      </c>
      <c r="H2384">
        <f>AVERAGE(D2185:D2384)</f>
        <v/>
      </c>
      <c r="I2384">
        <f>AVERAGE(E2185:E2384)</f>
        <v/>
      </c>
      <c r="J2384">
        <f>AVERAGE(F2185:F2384)</f>
        <v/>
      </c>
    </row>
    <row r="2385">
      <c r="C2385" s="539" t="n">
        <v>42908</v>
      </c>
      <c r="D2385" t="n">
        <v>118.9199981689453</v>
      </c>
      <c r="E2385" t="n">
        <v>70.23999786376953</v>
      </c>
      <c r="F2385" t="n">
        <v>16.29788780212402</v>
      </c>
      <c r="G2385" t="n">
        <v>73.23305511474609</v>
      </c>
      <c r="H2385">
        <f>AVERAGE(D2186:D2385)</f>
        <v/>
      </c>
      <c r="I2385">
        <f>AVERAGE(E2186:E2385)</f>
        <v/>
      </c>
      <c r="J2385">
        <f>AVERAGE(F2186:F2385)</f>
        <v/>
      </c>
    </row>
    <row r="2386">
      <c r="C2386" s="539" t="n">
        <v>42909</v>
      </c>
      <c r="D2386" t="n">
        <v>119.4300003051758</v>
      </c>
      <c r="E2386" t="n">
        <v>70.87999725341797</v>
      </c>
      <c r="F2386" t="n">
        <v>16.3752498626709</v>
      </c>
      <c r="G2386" t="n">
        <v>73.21702575683594</v>
      </c>
      <c r="H2386">
        <f>AVERAGE(D2187:D2386)</f>
        <v/>
      </c>
      <c r="I2386">
        <f>AVERAGE(E2187:E2386)</f>
        <v/>
      </c>
      <c r="J2386">
        <f>AVERAGE(F2187:F2386)</f>
        <v/>
      </c>
    </row>
    <row r="2387">
      <c r="C2387" s="539" t="n">
        <v>42912</v>
      </c>
      <c r="D2387" t="n">
        <v>118.3600006103516</v>
      </c>
      <c r="E2387" t="n">
        <v>71.44000244140625</v>
      </c>
      <c r="F2387" t="n">
        <v>16.4182300567627</v>
      </c>
      <c r="G2387" t="n">
        <v>73.20104217529297</v>
      </c>
      <c r="H2387">
        <f>AVERAGE(D2188:D2387)</f>
        <v/>
      </c>
      <c r="I2387">
        <f>AVERAGE(E2188:E2387)</f>
        <v/>
      </c>
      <c r="J2387">
        <f>AVERAGE(F2188:F2387)</f>
        <v/>
      </c>
    </row>
    <row r="2388">
      <c r="C2388" s="539" t="n">
        <v>42913</v>
      </c>
      <c r="D2388" t="n">
        <v>118.8099975585938</v>
      </c>
      <c r="E2388" t="n">
        <v>72.80000305175781</v>
      </c>
      <c r="F2388" t="n">
        <v>16.38384628295898</v>
      </c>
      <c r="G2388" t="n">
        <v>73.20104217529297</v>
      </c>
      <c r="H2388">
        <f>AVERAGE(D2189:D2388)</f>
        <v/>
      </c>
      <c r="I2388">
        <f>AVERAGE(E2189:E2388)</f>
        <v/>
      </c>
      <c r="J2388">
        <f>AVERAGE(F2189:F2388)</f>
        <v/>
      </c>
    </row>
    <row r="2389">
      <c r="C2389" s="539" t="n">
        <v>42914</v>
      </c>
      <c r="D2389" t="n">
        <v>118.9000015258789</v>
      </c>
      <c r="E2389" t="n">
        <v>73.59999847412109</v>
      </c>
      <c r="F2389" t="n">
        <v>16.42682647705078</v>
      </c>
      <c r="G2389" t="n">
        <v>73.23305511474609</v>
      </c>
      <c r="H2389">
        <f>AVERAGE(D2190:D2389)</f>
        <v/>
      </c>
      <c r="I2389">
        <f>AVERAGE(E2190:E2389)</f>
        <v/>
      </c>
      <c r="J2389">
        <f>AVERAGE(F2190:F2389)</f>
        <v/>
      </c>
    </row>
    <row r="2390">
      <c r="C2390" s="539" t="n">
        <v>42915</v>
      </c>
      <c r="D2390" t="n">
        <v>118.3199996948242</v>
      </c>
      <c r="E2390" t="n">
        <v>73.68000030517578</v>
      </c>
      <c r="F2390" t="n">
        <v>16.65032196044922</v>
      </c>
      <c r="G2390" t="n">
        <v>73.21702575683594</v>
      </c>
      <c r="H2390">
        <f>AVERAGE(D2191:D2390)</f>
        <v/>
      </c>
      <c r="I2390">
        <f>AVERAGE(E2191:E2390)</f>
        <v/>
      </c>
      <c r="J2390">
        <f>AVERAGE(F2191:F2390)</f>
        <v/>
      </c>
    </row>
    <row r="2391">
      <c r="C2391" s="539" t="n">
        <v>42916</v>
      </c>
      <c r="D2391" t="n">
        <v>118.0199966430664</v>
      </c>
      <c r="E2391" t="n">
        <v>76</v>
      </c>
      <c r="F2391" t="n">
        <v>17.06292533874512</v>
      </c>
      <c r="G2391" t="n">
        <v>73.23305511474609</v>
      </c>
      <c r="H2391">
        <f>AVERAGE(D2192:D2391)</f>
        <v/>
      </c>
      <c r="I2391">
        <f>AVERAGE(E2192:E2391)</f>
        <v/>
      </c>
      <c r="J2391">
        <f>AVERAGE(F2192:F2391)</f>
        <v/>
      </c>
    </row>
    <row r="2392">
      <c r="C2392" s="539" t="n">
        <v>42919</v>
      </c>
      <c r="D2392" t="n">
        <v>116.0899963378906</v>
      </c>
      <c r="E2392" t="n">
        <v>76.95999908447266</v>
      </c>
      <c r="F2392" t="n">
        <v>17.31221008300781</v>
      </c>
      <c r="G2392" t="n">
        <v>73.24104309082031</v>
      </c>
      <c r="H2392">
        <f>AVERAGE(D2193:D2392)</f>
        <v/>
      </c>
      <c r="I2392">
        <f>AVERAGE(E2193:E2392)</f>
        <v/>
      </c>
      <c r="J2392">
        <f>AVERAGE(F2193:F2392)</f>
        <v/>
      </c>
    </row>
    <row r="2393">
      <c r="C2393" s="539" t="n">
        <v>42921</v>
      </c>
      <c r="D2393" t="n">
        <v>116.5199966430664</v>
      </c>
      <c r="E2393" t="n">
        <v>74</v>
      </c>
      <c r="F2393" t="n">
        <v>17.33799743652344</v>
      </c>
      <c r="G2393" t="n">
        <v>73.22502899169922</v>
      </c>
      <c r="H2393">
        <f>AVERAGE(D2194:D2393)</f>
        <v/>
      </c>
      <c r="I2393">
        <f>AVERAGE(E2194:E2393)</f>
        <v/>
      </c>
      <c r="J2393">
        <f>AVERAGE(F2194:F2393)</f>
        <v/>
      </c>
    </row>
    <row r="2394">
      <c r="C2394" s="539" t="n">
        <v>42922</v>
      </c>
      <c r="D2394" t="n">
        <v>116.4700012207031</v>
      </c>
      <c r="E2394" t="n">
        <v>74.48000335693359</v>
      </c>
      <c r="F2394" t="n">
        <v>17.24344062805176</v>
      </c>
      <c r="G2394" t="n">
        <v>73.24104309082031</v>
      </c>
      <c r="H2394">
        <f>AVERAGE(D2195:D2394)</f>
        <v/>
      </c>
      <c r="I2394">
        <f>AVERAGE(E2195:E2394)</f>
        <v/>
      </c>
      <c r="J2394">
        <f>AVERAGE(F2195:F2394)</f>
        <v/>
      </c>
    </row>
    <row r="2395">
      <c r="C2395" s="539" t="n">
        <v>42923</v>
      </c>
      <c r="D2395" t="n">
        <v>115.2799987792969</v>
      </c>
      <c r="E2395" t="n">
        <v>72.80000305175781</v>
      </c>
      <c r="F2395" t="n">
        <v>17.2778263092041</v>
      </c>
      <c r="G2395" t="n">
        <v>73.24104309082031</v>
      </c>
      <c r="H2395">
        <f>AVERAGE(D2196:D2395)</f>
        <v/>
      </c>
      <c r="I2395">
        <f>AVERAGE(E2196:E2395)</f>
        <v/>
      </c>
      <c r="J2395">
        <f>AVERAGE(F2196:F2395)</f>
        <v/>
      </c>
    </row>
    <row r="2396">
      <c r="C2396" s="539" t="n">
        <v>42926</v>
      </c>
      <c r="D2396" t="n">
        <v>115.4700012207031</v>
      </c>
      <c r="E2396" t="n">
        <v>73.04000091552734</v>
      </c>
      <c r="F2396" t="n">
        <v>17.29501724243164</v>
      </c>
      <c r="G2396" t="n">
        <v>73.24104309082031</v>
      </c>
      <c r="H2396">
        <f>AVERAGE(D2197:D2396)</f>
        <v/>
      </c>
      <c r="I2396">
        <f>AVERAGE(E2197:E2396)</f>
        <v/>
      </c>
      <c r="J2396">
        <f>AVERAGE(F2197:F2396)</f>
        <v/>
      </c>
    </row>
    <row r="2397">
      <c r="C2397" s="539" t="n">
        <v>42927</v>
      </c>
      <c r="D2397" t="n">
        <v>115.620002746582</v>
      </c>
      <c r="E2397" t="n">
        <v>74.16000366210938</v>
      </c>
      <c r="F2397" t="n">
        <v>17.30361175537109</v>
      </c>
      <c r="G2397" t="n">
        <v>73.24104309082031</v>
      </c>
      <c r="H2397">
        <f>AVERAGE(D2198:D2397)</f>
        <v/>
      </c>
      <c r="I2397">
        <f>AVERAGE(E2198:E2397)</f>
        <v/>
      </c>
      <c r="J2397">
        <f>AVERAGE(F2198:F2397)</f>
        <v/>
      </c>
    </row>
    <row r="2398">
      <c r="C2398" s="539" t="n">
        <v>42928</v>
      </c>
      <c r="D2398" t="n">
        <v>116.0299987792969</v>
      </c>
      <c r="E2398" t="n">
        <v>74.63999938964844</v>
      </c>
      <c r="F2398" t="n">
        <v>17.28641891479492</v>
      </c>
      <c r="G2398" t="n">
        <v>73.22502899169922</v>
      </c>
      <c r="H2398">
        <f>AVERAGE(D2199:D2398)</f>
        <v/>
      </c>
      <c r="I2398">
        <f>AVERAGE(E2199:E2398)</f>
        <v/>
      </c>
      <c r="J2398">
        <f>AVERAGE(F2199:F2398)</f>
        <v/>
      </c>
    </row>
    <row r="2399">
      <c r="C2399" s="539" t="n">
        <v>42929</v>
      </c>
      <c r="D2399" t="n">
        <v>115.8199996948242</v>
      </c>
      <c r="E2399" t="n">
        <v>75.76000213623047</v>
      </c>
      <c r="F2399" t="n">
        <v>17.14888763427734</v>
      </c>
      <c r="G2399" t="n">
        <v>73.22502899169922</v>
      </c>
      <c r="H2399">
        <f>AVERAGE(D2200:D2399)</f>
        <v/>
      </c>
      <c r="I2399">
        <f>AVERAGE(E2200:E2399)</f>
        <v/>
      </c>
      <c r="J2399">
        <f>AVERAGE(F2200:F2399)</f>
        <v/>
      </c>
    </row>
    <row r="2400">
      <c r="C2400" s="539" t="n">
        <v>42930</v>
      </c>
      <c r="D2400" t="n">
        <v>116.7699966430664</v>
      </c>
      <c r="E2400" t="n">
        <v>76.72000122070312</v>
      </c>
      <c r="F2400" t="n">
        <v>17.25203514099121</v>
      </c>
      <c r="G2400" t="n">
        <v>73.25707244873047</v>
      </c>
      <c r="H2400">
        <f>AVERAGE(D2201:D2400)</f>
        <v/>
      </c>
      <c r="I2400">
        <f>AVERAGE(E2201:E2400)</f>
        <v/>
      </c>
      <c r="J2400">
        <f>AVERAGE(F2201:F2400)</f>
        <v/>
      </c>
    </row>
    <row r="2401">
      <c r="C2401" s="539" t="n">
        <v>42933</v>
      </c>
      <c r="D2401" t="n">
        <v>117.2900009155273</v>
      </c>
      <c r="E2401" t="n">
        <v>75.59999847412109</v>
      </c>
      <c r="F2401" t="n">
        <v>17.21765518188477</v>
      </c>
      <c r="G2401" t="n">
        <v>73.24104309082031</v>
      </c>
      <c r="H2401">
        <f>AVERAGE(D2202:D2401)</f>
        <v/>
      </c>
      <c r="I2401">
        <f>AVERAGE(E2202:E2401)</f>
        <v/>
      </c>
      <c r="J2401">
        <f>AVERAGE(F2202:F2401)</f>
        <v/>
      </c>
    </row>
    <row r="2402">
      <c r="C2402" s="539" t="n">
        <v>42934</v>
      </c>
      <c r="D2402" t="n">
        <v>118.1100006103516</v>
      </c>
      <c r="E2402" t="n">
        <v>76.31999969482422</v>
      </c>
      <c r="F2402" t="n">
        <v>17.15748023986816</v>
      </c>
      <c r="G2402" t="n">
        <v>73.24104309082031</v>
      </c>
      <c r="H2402">
        <f>AVERAGE(D2203:D2402)</f>
        <v/>
      </c>
      <c r="I2402">
        <f>AVERAGE(E2203:E2402)</f>
        <v/>
      </c>
      <c r="J2402">
        <f>AVERAGE(F2203:F2402)</f>
        <v/>
      </c>
    </row>
    <row r="2403">
      <c r="C2403" s="539" t="n">
        <v>42935</v>
      </c>
      <c r="D2403" t="n">
        <v>118.0800018310547</v>
      </c>
      <c r="E2403" t="n">
        <v>77.51999664306641</v>
      </c>
      <c r="F2403" t="n">
        <v>17.41535949707031</v>
      </c>
      <c r="G2403" t="n">
        <v>73.24104309082031</v>
      </c>
      <c r="H2403">
        <f>AVERAGE(D2204:D2403)</f>
        <v/>
      </c>
      <c r="I2403">
        <f>AVERAGE(E2204:E2403)</f>
        <v/>
      </c>
      <c r="J2403">
        <f>AVERAGE(F2204:F2403)</f>
        <v/>
      </c>
    </row>
    <row r="2404">
      <c r="C2404" s="539" t="n">
        <v>42936</v>
      </c>
      <c r="D2404" t="n">
        <v>118.2399978637695</v>
      </c>
      <c r="E2404" t="n">
        <v>76.87999725341797</v>
      </c>
      <c r="F2404" t="n">
        <v>17.40676307678223</v>
      </c>
      <c r="G2404" t="n">
        <v>73.24104309082031</v>
      </c>
      <c r="H2404">
        <f>AVERAGE(D2205:D2404)</f>
        <v/>
      </c>
      <c r="I2404">
        <f>AVERAGE(E2205:E2404)</f>
        <v/>
      </c>
      <c r="J2404">
        <f>AVERAGE(F2205:F2404)</f>
        <v/>
      </c>
    </row>
    <row r="2405">
      <c r="C2405" s="539" t="n">
        <v>42937</v>
      </c>
      <c r="D2405" t="n">
        <v>119.2600021362305</v>
      </c>
      <c r="E2405" t="n">
        <v>74.72000122070312</v>
      </c>
      <c r="F2405" t="n">
        <v>17.30361175537109</v>
      </c>
      <c r="G2405" t="n">
        <v>73.24104309082031</v>
      </c>
      <c r="H2405">
        <f>AVERAGE(D2206:D2405)</f>
        <v/>
      </c>
      <c r="I2405">
        <f>AVERAGE(E2206:E2405)</f>
        <v/>
      </c>
      <c r="J2405">
        <f>AVERAGE(F2206:F2405)</f>
        <v/>
      </c>
    </row>
    <row r="2406">
      <c r="C2406" s="539" t="n">
        <v>42940</v>
      </c>
      <c r="D2406" t="n">
        <v>119.3099975585938</v>
      </c>
      <c r="E2406" t="n">
        <v>76</v>
      </c>
      <c r="F2406" t="n">
        <v>17.07152366638184</v>
      </c>
      <c r="G2406" t="n">
        <v>73.24104309082031</v>
      </c>
      <c r="H2406">
        <f>AVERAGE(D2207:D2406)</f>
        <v/>
      </c>
      <c r="I2406">
        <f>AVERAGE(E2207:E2406)</f>
        <v/>
      </c>
      <c r="J2406">
        <f>AVERAGE(F2207:F2406)</f>
        <v/>
      </c>
    </row>
    <row r="2407">
      <c r="C2407" s="539" t="n">
        <v>42941</v>
      </c>
      <c r="D2407" t="n">
        <v>118.9199981689453</v>
      </c>
      <c r="E2407" t="n">
        <v>78.48000335693359</v>
      </c>
      <c r="F2407" t="n">
        <v>16.79645156860352</v>
      </c>
      <c r="G2407" t="n">
        <v>73.24104309082031</v>
      </c>
      <c r="H2407">
        <f>AVERAGE(D2208:D2407)</f>
        <v/>
      </c>
      <c r="I2407">
        <f>AVERAGE(E2208:E2407)</f>
        <v/>
      </c>
      <c r="J2407">
        <f>AVERAGE(F2208:F2407)</f>
        <v/>
      </c>
    </row>
    <row r="2408">
      <c r="C2408" s="539" t="n">
        <v>42942</v>
      </c>
      <c r="D2408" t="n">
        <v>119.879997253418</v>
      </c>
      <c r="E2408" t="n">
        <v>79.68000030517578</v>
      </c>
      <c r="F2408" t="n">
        <v>16.94258117675781</v>
      </c>
      <c r="G2408" t="n">
        <v>73.25707244873047</v>
      </c>
      <c r="H2408">
        <f>AVERAGE(D2209:D2408)</f>
        <v/>
      </c>
      <c r="I2408">
        <f>AVERAGE(E2209:E2408)</f>
        <v/>
      </c>
      <c r="J2408">
        <f>AVERAGE(F2209:F2408)</f>
        <v/>
      </c>
    </row>
    <row r="2409">
      <c r="C2409" s="539" t="n">
        <v>42943</v>
      </c>
      <c r="D2409" t="n">
        <v>119.7900009155273</v>
      </c>
      <c r="E2409" t="n">
        <v>80.48000335693359</v>
      </c>
      <c r="F2409" t="n">
        <v>17.13169479370117</v>
      </c>
      <c r="G2409" t="n">
        <v>73.2730712890625</v>
      </c>
      <c r="H2409">
        <f>AVERAGE(D2210:D2409)</f>
        <v/>
      </c>
      <c r="I2409">
        <f>AVERAGE(E2210:E2409)</f>
        <v/>
      </c>
      <c r="J2409">
        <f>AVERAGE(F2210:F2409)</f>
        <v/>
      </c>
    </row>
    <row r="2410">
      <c r="C2410" s="539" t="n">
        <v>42944</v>
      </c>
      <c r="D2410" t="n">
        <v>120.6900024414062</v>
      </c>
      <c r="E2410" t="n">
        <v>81.36000061035156</v>
      </c>
      <c r="F2410" t="n">
        <v>17.14028930664062</v>
      </c>
      <c r="G2410" t="n">
        <v>73.25707244873047</v>
      </c>
      <c r="H2410">
        <f>AVERAGE(D2211:D2410)</f>
        <v/>
      </c>
      <c r="I2410">
        <f>AVERAGE(E2211:E2410)</f>
        <v/>
      </c>
      <c r="J2410">
        <f>AVERAGE(F2211:F2410)</f>
        <v/>
      </c>
    </row>
    <row r="2411">
      <c r="C2411" s="539" t="n">
        <v>42947</v>
      </c>
      <c r="D2411" t="n">
        <v>120.75</v>
      </c>
      <c r="E2411" t="n">
        <v>82.23999786376953</v>
      </c>
      <c r="F2411" t="n">
        <v>17.13169479370117</v>
      </c>
      <c r="G2411" t="n">
        <v>73.25707244873047</v>
      </c>
      <c r="H2411">
        <f>AVERAGE(D2212:D2411)</f>
        <v/>
      </c>
      <c r="I2411">
        <f>AVERAGE(E2212:E2411)</f>
        <v/>
      </c>
      <c r="J2411">
        <f>AVERAGE(F2212:F2411)</f>
        <v/>
      </c>
    </row>
    <row r="2412">
      <c r="C2412" s="539" t="n">
        <v>42948</v>
      </c>
      <c r="D2412" t="n">
        <v>120.6500015258789</v>
      </c>
      <c r="E2412" t="n">
        <v>80.72000122070312</v>
      </c>
      <c r="F2412" t="n">
        <v>16.89100646972656</v>
      </c>
      <c r="G2412" t="n">
        <v>73.27630615234375</v>
      </c>
      <c r="H2412">
        <f>AVERAGE(D2213:D2412)</f>
        <v/>
      </c>
      <c r="I2412">
        <f>AVERAGE(E2213:E2412)</f>
        <v/>
      </c>
      <c r="J2412">
        <f>AVERAGE(F2213:F2412)</f>
        <v/>
      </c>
    </row>
    <row r="2413">
      <c r="C2413" s="539" t="n">
        <v>42949</v>
      </c>
      <c r="D2413" t="n">
        <v>120.4000015258789</v>
      </c>
      <c r="E2413" t="n">
        <v>81.12000274658203</v>
      </c>
      <c r="F2413" t="n">
        <v>17.09730911254883</v>
      </c>
      <c r="G2413" t="n">
        <v>73.29232025146484</v>
      </c>
      <c r="H2413">
        <f>AVERAGE(D2214:D2413)</f>
        <v/>
      </c>
      <c r="I2413">
        <f>AVERAGE(E2214:E2413)</f>
        <v/>
      </c>
      <c r="J2413">
        <f>AVERAGE(F2214:F2413)</f>
        <v/>
      </c>
    </row>
    <row r="2414">
      <c r="C2414" s="539" t="n">
        <v>42950</v>
      </c>
      <c r="D2414" t="n">
        <v>120.5899963378906</v>
      </c>
      <c r="E2414" t="n">
        <v>80.16000366210938</v>
      </c>
      <c r="F2414" t="n">
        <v>16.95977401733398</v>
      </c>
      <c r="G2414" t="n">
        <v>73.29232025146484</v>
      </c>
      <c r="H2414">
        <f>AVERAGE(D2215:D2414)</f>
        <v/>
      </c>
      <c r="I2414">
        <f>AVERAGE(E2215:E2414)</f>
        <v/>
      </c>
      <c r="J2414">
        <f>AVERAGE(F2215:F2414)</f>
        <v/>
      </c>
    </row>
    <row r="2415">
      <c r="C2415" s="539" t="n">
        <v>42951</v>
      </c>
      <c r="D2415" t="n">
        <v>119.6500015258789</v>
      </c>
      <c r="E2415" t="n">
        <v>81.04000091552734</v>
      </c>
      <c r="F2415" t="n">
        <v>16.89960289001465</v>
      </c>
      <c r="G2415" t="n">
        <v>73.29232025146484</v>
      </c>
      <c r="H2415">
        <f>AVERAGE(D2216:D2415)</f>
        <v/>
      </c>
      <c r="I2415">
        <f>AVERAGE(E2216:E2415)</f>
        <v/>
      </c>
      <c r="J2415">
        <f>AVERAGE(F2216:F2415)</f>
        <v/>
      </c>
    </row>
    <row r="2416">
      <c r="C2416" s="539" t="n">
        <v>42954</v>
      </c>
      <c r="D2416" t="n">
        <v>119.5100021362305</v>
      </c>
      <c r="E2416" t="n">
        <v>80.80000305175781</v>
      </c>
      <c r="F2416" t="n">
        <v>16.93398857116699</v>
      </c>
      <c r="G2416" t="n">
        <v>73.29232025146484</v>
      </c>
      <c r="H2416">
        <f>AVERAGE(D2217:D2416)</f>
        <v/>
      </c>
      <c r="I2416">
        <f>AVERAGE(E2217:E2416)</f>
        <v/>
      </c>
      <c r="J2416">
        <f>AVERAGE(F2217:F2416)</f>
        <v/>
      </c>
    </row>
    <row r="2417">
      <c r="C2417" s="539" t="n">
        <v>42955</v>
      </c>
      <c r="D2417" t="n">
        <v>119.8600006103516</v>
      </c>
      <c r="E2417" t="n">
        <v>80.48000335693359</v>
      </c>
      <c r="F2417" t="n">
        <v>16.87381553649902</v>
      </c>
      <c r="G2417" t="n">
        <v>73.29232025146484</v>
      </c>
      <c r="H2417">
        <f>AVERAGE(D2218:D2417)</f>
        <v/>
      </c>
      <c r="I2417">
        <f>AVERAGE(E2218:E2417)</f>
        <v/>
      </c>
      <c r="J2417">
        <f>AVERAGE(F2218:F2417)</f>
        <v/>
      </c>
    </row>
    <row r="2418">
      <c r="C2418" s="539" t="n">
        <v>42956</v>
      </c>
      <c r="D2418" t="n">
        <v>121.3099975585938</v>
      </c>
      <c r="E2418" t="n">
        <v>81.19999694824219</v>
      </c>
      <c r="F2418" t="n">
        <v>16.77066421508789</v>
      </c>
      <c r="G2418" t="n">
        <v>73.29232025146484</v>
      </c>
      <c r="H2418">
        <f>AVERAGE(D2219:D2418)</f>
        <v/>
      </c>
      <c r="I2418">
        <f>AVERAGE(E2219:E2418)</f>
        <v/>
      </c>
      <c r="J2418">
        <f>AVERAGE(F2219:F2418)</f>
        <v/>
      </c>
    </row>
    <row r="2419">
      <c r="C2419" s="539" t="n">
        <v>42957</v>
      </c>
      <c r="D2419" t="n">
        <v>122.2099990844727</v>
      </c>
      <c r="E2419" t="n">
        <v>79.27999877929688</v>
      </c>
      <c r="F2419" t="n">
        <v>16.40963554382324</v>
      </c>
      <c r="G2419" t="n">
        <v>73.29232025146484</v>
      </c>
      <c r="H2419">
        <f>AVERAGE(D2220:D2419)</f>
        <v/>
      </c>
      <c r="I2419">
        <f>AVERAGE(E2220:E2419)</f>
        <v/>
      </c>
      <c r="J2419">
        <f>AVERAGE(F2220:F2419)</f>
        <v/>
      </c>
    </row>
    <row r="2420">
      <c r="C2420" s="539" t="n">
        <v>42958</v>
      </c>
      <c r="D2420" t="n">
        <v>122.7900009155273</v>
      </c>
      <c r="E2420" t="n">
        <v>79.91999816894531</v>
      </c>
      <c r="F2420" t="n">
        <v>16.50419044494629</v>
      </c>
      <c r="G2420" t="n">
        <v>73.30837249755859</v>
      </c>
      <c r="H2420">
        <f>AVERAGE(D2221:D2420)</f>
        <v/>
      </c>
      <c r="I2420">
        <f>AVERAGE(E2221:E2420)</f>
        <v/>
      </c>
      <c r="J2420">
        <f>AVERAGE(F2221:F2420)</f>
        <v/>
      </c>
    </row>
    <row r="2421">
      <c r="C2421" s="539" t="n">
        <v>42961</v>
      </c>
      <c r="D2421" t="n">
        <v>121.9199981689453</v>
      </c>
      <c r="E2421" t="n">
        <v>77.76000213623047</v>
      </c>
      <c r="F2421" t="n">
        <v>16.4182300567627</v>
      </c>
      <c r="G2421" t="n">
        <v>73.29232025146484</v>
      </c>
      <c r="H2421">
        <f>AVERAGE(D2222:D2421)</f>
        <v/>
      </c>
      <c r="I2421">
        <f>AVERAGE(E2222:E2421)</f>
        <v/>
      </c>
      <c r="J2421">
        <f>AVERAGE(F2222:F2421)</f>
        <v/>
      </c>
    </row>
    <row r="2422">
      <c r="C2422" s="539" t="n">
        <v>42962</v>
      </c>
      <c r="D2422" t="n">
        <v>120.9800033569336</v>
      </c>
      <c r="E2422" t="n">
        <v>78</v>
      </c>
      <c r="F2422" t="n">
        <v>16.28069686889648</v>
      </c>
      <c r="G2422" t="n">
        <v>73.30837249755859</v>
      </c>
      <c r="H2422">
        <f>AVERAGE(D2223:D2422)</f>
        <v/>
      </c>
      <c r="I2422">
        <f>AVERAGE(E2223:E2422)</f>
        <v/>
      </c>
      <c r="J2422">
        <f>AVERAGE(F2223:F2422)</f>
        <v/>
      </c>
    </row>
    <row r="2423">
      <c r="C2423" s="539" t="n">
        <v>42963</v>
      </c>
      <c r="D2423" t="n">
        <v>121.870002746582</v>
      </c>
      <c r="E2423" t="n">
        <v>76.55999755859375</v>
      </c>
      <c r="F2423" t="n">
        <v>16.14316177368164</v>
      </c>
      <c r="G2423" t="n">
        <v>73.29232025146484</v>
      </c>
      <c r="H2423">
        <f>AVERAGE(D2224:D2423)</f>
        <v/>
      </c>
      <c r="I2423">
        <f>AVERAGE(E2224:E2423)</f>
        <v/>
      </c>
      <c r="J2423">
        <f>AVERAGE(F2224:F2423)</f>
        <v/>
      </c>
    </row>
    <row r="2424">
      <c r="C2424" s="539" t="n">
        <v>42964</v>
      </c>
      <c r="D2424" t="n">
        <v>122.4899978637695</v>
      </c>
      <c r="E2424" t="n">
        <v>76.95999908447266</v>
      </c>
      <c r="F2424" t="n">
        <v>16.04001045227051</v>
      </c>
      <c r="G2424" t="n">
        <v>73.30837249755859</v>
      </c>
      <c r="H2424">
        <f>AVERAGE(D2225:D2424)</f>
        <v/>
      </c>
      <c r="I2424">
        <f>AVERAGE(E2225:E2424)</f>
        <v/>
      </c>
      <c r="J2424">
        <f>AVERAGE(F2225:F2424)</f>
        <v/>
      </c>
    </row>
    <row r="2425">
      <c r="C2425" s="539" t="n">
        <v>42965</v>
      </c>
      <c r="D2425" t="n">
        <v>122.3000030517578</v>
      </c>
      <c r="E2425" t="n">
        <v>79.76000213623047</v>
      </c>
      <c r="F2425" t="n">
        <v>16.04860687255859</v>
      </c>
      <c r="G2425" t="n">
        <v>73.29232025146484</v>
      </c>
      <c r="H2425">
        <f>AVERAGE(D2226:D2425)</f>
        <v/>
      </c>
      <c r="I2425">
        <f>AVERAGE(E2226:E2425)</f>
        <v/>
      </c>
      <c r="J2425">
        <f>AVERAGE(F2226:F2425)</f>
        <v/>
      </c>
    </row>
    <row r="2426">
      <c r="C2426" s="539" t="n">
        <v>42968</v>
      </c>
      <c r="D2426" t="n">
        <v>122.7600021362305</v>
      </c>
      <c r="E2426" t="n">
        <v>77.68000030517578</v>
      </c>
      <c r="F2426" t="n">
        <v>15.97124290466309</v>
      </c>
      <c r="G2426" t="n">
        <v>73.30837249755859</v>
      </c>
      <c r="H2426">
        <f>AVERAGE(D2227:D2426)</f>
        <v/>
      </c>
      <c r="I2426">
        <f>AVERAGE(E2227:E2426)</f>
        <v/>
      </c>
      <c r="J2426">
        <f>AVERAGE(F2227:F2426)</f>
        <v/>
      </c>
    </row>
    <row r="2427">
      <c r="C2427" s="539" t="n">
        <v>42969</v>
      </c>
      <c r="D2427" t="n">
        <v>122.2099990844727</v>
      </c>
      <c r="E2427" t="n">
        <v>78.16000366210938</v>
      </c>
      <c r="F2427" t="n">
        <v>15.97124290466309</v>
      </c>
      <c r="G2427" t="n">
        <v>73.32439422607422</v>
      </c>
      <c r="H2427">
        <f>AVERAGE(D2228:D2427)</f>
        <v/>
      </c>
      <c r="I2427">
        <f>AVERAGE(E2228:E2427)</f>
        <v/>
      </c>
      <c r="J2427">
        <f>AVERAGE(F2228:F2427)</f>
        <v/>
      </c>
    </row>
    <row r="2428">
      <c r="C2428" s="539" t="n">
        <v>42970</v>
      </c>
      <c r="D2428" t="n">
        <v>122.6699981689453</v>
      </c>
      <c r="E2428" t="n">
        <v>79.04000091552734</v>
      </c>
      <c r="F2428" t="n">
        <v>15.88528060913086</v>
      </c>
      <c r="G2428" t="n">
        <v>73.32439422607422</v>
      </c>
      <c r="H2428">
        <f>AVERAGE(D2229:D2428)</f>
        <v/>
      </c>
      <c r="I2428">
        <f>AVERAGE(E2229:E2428)</f>
        <v/>
      </c>
      <c r="J2428">
        <f>AVERAGE(F2229:F2428)</f>
        <v/>
      </c>
    </row>
    <row r="2429">
      <c r="C2429" s="539" t="n">
        <v>42971</v>
      </c>
      <c r="D2429" t="n">
        <v>122.2900009155273</v>
      </c>
      <c r="E2429" t="n">
        <v>77.68000030517578</v>
      </c>
      <c r="F2429" t="n">
        <v>16.04001045227051</v>
      </c>
      <c r="G2429" t="n">
        <v>73.32439422607422</v>
      </c>
      <c r="H2429">
        <f>AVERAGE(D2230:D2429)</f>
        <v/>
      </c>
      <c r="I2429">
        <f>AVERAGE(E2230:E2429)</f>
        <v/>
      </c>
      <c r="J2429">
        <f>AVERAGE(F2230:F2429)</f>
        <v/>
      </c>
    </row>
    <row r="2430">
      <c r="C2430" s="539" t="n">
        <v>42972</v>
      </c>
      <c r="D2430" t="n">
        <v>122.7399978637695</v>
      </c>
      <c r="E2430" t="n">
        <v>78</v>
      </c>
      <c r="F2430" t="n">
        <v>16.03141403198242</v>
      </c>
      <c r="G2430" t="n">
        <v>73.30837249755859</v>
      </c>
      <c r="H2430">
        <f>AVERAGE(D2231:D2430)</f>
        <v/>
      </c>
      <c r="I2430">
        <f>AVERAGE(E2231:E2430)</f>
        <v/>
      </c>
      <c r="J2430">
        <f>AVERAGE(F2231:F2430)</f>
        <v/>
      </c>
    </row>
    <row r="2431">
      <c r="C2431" s="539" t="n">
        <v>42975</v>
      </c>
      <c r="D2431" t="n">
        <v>124.6900024414062</v>
      </c>
      <c r="E2431" t="n">
        <v>76.23999786376953</v>
      </c>
      <c r="F2431" t="n">
        <v>16.14316177368164</v>
      </c>
      <c r="G2431" t="n">
        <v>73.32439422607422</v>
      </c>
      <c r="H2431">
        <f>AVERAGE(D2232:D2431)</f>
        <v/>
      </c>
      <c r="I2431">
        <f>AVERAGE(E2232:E2431)</f>
        <v/>
      </c>
      <c r="J2431">
        <f>AVERAGE(F2232:F2431)</f>
        <v/>
      </c>
    </row>
    <row r="2432">
      <c r="C2432" s="539" t="n">
        <v>42976</v>
      </c>
      <c r="D2432" t="n">
        <v>124.4199981689453</v>
      </c>
      <c r="E2432" t="n">
        <v>75.68000030517578</v>
      </c>
      <c r="F2432" t="n">
        <v>15.88528060913086</v>
      </c>
      <c r="G2432" t="n">
        <v>73.32439422607422</v>
      </c>
      <c r="H2432">
        <f>AVERAGE(D2233:D2432)</f>
        <v/>
      </c>
      <c r="I2432">
        <f>AVERAGE(E2233:E2432)</f>
        <v/>
      </c>
      <c r="J2432">
        <f>AVERAGE(F2233:F2432)</f>
        <v/>
      </c>
    </row>
    <row r="2433">
      <c r="C2433" s="539" t="n">
        <v>42977</v>
      </c>
      <c r="D2433" t="n">
        <v>124.3600006103516</v>
      </c>
      <c r="E2433" t="n">
        <v>75.04000091552734</v>
      </c>
      <c r="F2433" t="n">
        <v>15.89387893676758</v>
      </c>
      <c r="G2433" t="n">
        <v>73.32439422607422</v>
      </c>
      <c r="H2433">
        <f>AVERAGE(D2234:D2433)</f>
        <v/>
      </c>
      <c r="I2433">
        <f>AVERAGE(E2234:E2433)</f>
        <v/>
      </c>
      <c r="J2433">
        <f>AVERAGE(F2234:F2433)</f>
        <v/>
      </c>
    </row>
    <row r="2434">
      <c r="C2434" s="539" t="n">
        <v>42978</v>
      </c>
      <c r="D2434" t="n">
        <v>125.8199996948242</v>
      </c>
      <c r="E2434" t="n">
        <v>77.04000091552734</v>
      </c>
      <c r="F2434" t="n">
        <v>16.02281761169434</v>
      </c>
      <c r="G2434" t="n">
        <v>73.34042358398438</v>
      </c>
      <c r="H2434">
        <f>AVERAGE(D2235:D2434)</f>
        <v/>
      </c>
      <c r="I2434">
        <f>AVERAGE(E2235:E2434)</f>
        <v/>
      </c>
      <c r="J2434">
        <f>AVERAGE(F2235:F2434)</f>
        <v/>
      </c>
    </row>
    <row r="2435">
      <c r="C2435" s="539" t="n">
        <v>42979</v>
      </c>
      <c r="D2435" t="n">
        <v>126.0599975585938</v>
      </c>
      <c r="E2435" t="n">
        <v>77.36000061035156</v>
      </c>
      <c r="F2435" t="n">
        <v>15.98843574523926</v>
      </c>
      <c r="G2435" t="n">
        <v>73.34524536132812</v>
      </c>
      <c r="H2435">
        <f>AVERAGE(D2236:D2435)</f>
        <v/>
      </c>
      <c r="I2435">
        <f>AVERAGE(E2236:E2435)</f>
        <v/>
      </c>
      <c r="J2435">
        <f>AVERAGE(F2236:F2435)</f>
        <v/>
      </c>
    </row>
    <row r="2436">
      <c r="C2436" s="539" t="n">
        <v>42983</v>
      </c>
      <c r="D2436" t="n">
        <v>127.4599990844727</v>
      </c>
      <c r="E2436" t="n">
        <v>79.36000061035156</v>
      </c>
      <c r="F2436" t="n">
        <v>16.15175819396973</v>
      </c>
      <c r="G2436" t="n">
        <v>73.31314849853516</v>
      </c>
      <c r="H2436">
        <f>AVERAGE(D2237:D2436)</f>
        <v/>
      </c>
      <c r="I2436">
        <f>AVERAGE(E2237:E2436)</f>
        <v/>
      </c>
      <c r="J2436">
        <f>AVERAGE(F2237:F2436)</f>
        <v/>
      </c>
    </row>
    <row r="2437">
      <c r="C2437" s="539" t="n">
        <v>42984</v>
      </c>
      <c r="D2437" t="n">
        <v>126.8099975585938</v>
      </c>
      <c r="E2437" t="n">
        <v>80.31999969482422</v>
      </c>
      <c r="F2437" t="n">
        <v>16.19473648071289</v>
      </c>
      <c r="G2437" t="n">
        <v>73.34524536132812</v>
      </c>
      <c r="H2437">
        <f>AVERAGE(D2238:D2437)</f>
        <v/>
      </c>
      <c r="I2437">
        <f>AVERAGE(E2238:E2437)</f>
        <v/>
      </c>
      <c r="J2437">
        <f>AVERAGE(F2238:F2437)</f>
        <v/>
      </c>
    </row>
    <row r="2438">
      <c r="C2438" s="539" t="n">
        <v>42985</v>
      </c>
      <c r="D2438" t="n">
        <v>128.1300048828125</v>
      </c>
      <c r="E2438" t="n">
        <v>80.23999786376953</v>
      </c>
      <c r="F2438" t="n">
        <v>16.11737251281738</v>
      </c>
      <c r="G2438" t="n">
        <v>73.34524536132812</v>
      </c>
      <c r="H2438">
        <f>AVERAGE(D2239:D2438)</f>
        <v/>
      </c>
      <c r="I2438">
        <f>AVERAGE(E2239:E2438)</f>
        <v/>
      </c>
      <c r="J2438">
        <f>AVERAGE(F2239:F2438)</f>
        <v/>
      </c>
    </row>
    <row r="2439">
      <c r="C2439" s="539" t="n">
        <v>42986</v>
      </c>
      <c r="D2439" t="n">
        <v>127.9700012207031</v>
      </c>
      <c r="E2439" t="n">
        <v>77.83999633789062</v>
      </c>
      <c r="F2439" t="n">
        <v>16.20333480834961</v>
      </c>
      <c r="G2439" t="n">
        <v>73.32920837402344</v>
      </c>
      <c r="H2439">
        <f>AVERAGE(D2240:D2439)</f>
        <v/>
      </c>
      <c r="I2439">
        <f>AVERAGE(E2240:E2439)</f>
        <v/>
      </c>
      <c r="J2439">
        <f>AVERAGE(F2240:F2439)</f>
        <v/>
      </c>
    </row>
    <row r="2440">
      <c r="C2440" s="539" t="n">
        <v>42989</v>
      </c>
      <c r="D2440" t="n">
        <v>126.1900024414062</v>
      </c>
      <c r="E2440" t="n">
        <v>78.55999755859375</v>
      </c>
      <c r="F2440" t="n">
        <v>16.1861400604248</v>
      </c>
      <c r="G2440" t="n">
        <v>73.32920837402344</v>
      </c>
      <c r="H2440">
        <f>AVERAGE(D2241:D2440)</f>
        <v/>
      </c>
      <c r="I2440">
        <f>AVERAGE(E2241:E2440)</f>
        <v/>
      </c>
      <c r="J2440">
        <f>AVERAGE(F2241:F2440)</f>
        <v/>
      </c>
    </row>
    <row r="2441">
      <c r="C2441" s="539" t="n">
        <v>42990</v>
      </c>
      <c r="D2441" t="n">
        <v>126.5599975585938</v>
      </c>
      <c r="E2441" t="n">
        <v>78.95999908447266</v>
      </c>
      <c r="F2441" t="n">
        <v>16.09158325195312</v>
      </c>
      <c r="G2441" t="n">
        <v>73.361328125</v>
      </c>
      <c r="H2441">
        <f>AVERAGE(D2242:D2441)</f>
        <v/>
      </c>
      <c r="I2441">
        <f>AVERAGE(E2242:E2441)</f>
        <v/>
      </c>
      <c r="J2441">
        <f>AVERAGE(F2242:F2441)</f>
        <v/>
      </c>
    </row>
    <row r="2442">
      <c r="C2442" s="539" t="n">
        <v>42991</v>
      </c>
      <c r="D2442" t="n">
        <v>125.6100006103516</v>
      </c>
      <c r="E2442" t="n">
        <v>80.55999755859375</v>
      </c>
      <c r="F2442" t="n">
        <v>16.20333480834961</v>
      </c>
      <c r="G2442" t="n">
        <v>73.361328125</v>
      </c>
      <c r="H2442">
        <f>AVERAGE(D2243:D2442)</f>
        <v/>
      </c>
      <c r="I2442">
        <f>AVERAGE(E2243:E2442)</f>
        <v/>
      </c>
      <c r="J2442">
        <f>AVERAGE(F2243:F2442)</f>
        <v/>
      </c>
    </row>
    <row r="2443">
      <c r="C2443" s="539" t="n">
        <v>42992</v>
      </c>
      <c r="D2443" t="n">
        <v>126.1600036621094</v>
      </c>
      <c r="E2443" t="n">
        <v>81.04000091552734</v>
      </c>
      <c r="F2443" t="n">
        <v>16.21192932128906</v>
      </c>
      <c r="G2443" t="n">
        <v>73.34524536132812</v>
      </c>
      <c r="H2443">
        <f>AVERAGE(D2244:D2443)</f>
        <v/>
      </c>
      <c r="I2443">
        <f>AVERAGE(E2244:E2443)</f>
        <v/>
      </c>
      <c r="J2443">
        <f>AVERAGE(F2244:F2443)</f>
        <v/>
      </c>
    </row>
    <row r="2444">
      <c r="C2444" s="539" t="n">
        <v>42993</v>
      </c>
      <c r="D2444" t="n">
        <v>125.5299987792969</v>
      </c>
      <c r="E2444" t="n">
        <v>81.59999847412109</v>
      </c>
      <c r="F2444" t="n">
        <v>16.38384628295898</v>
      </c>
      <c r="G2444" t="n">
        <v>73.34524536132812</v>
      </c>
      <c r="H2444">
        <f>AVERAGE(D2245:D2444)</f>
        <v/>
      </c>
      <c r="I2444">
        <f>AVERAGE(E2245:E2444)</f>
        <v/>
      </c>
      <c r="J2444">
        <f>AVERAGE(F2245:F2444)</f>
        <v/>
      </c>
    </row>
    <row r="2445">
      <c r="C2445" s="539" t="n">
        <v>42996</v>
      </c>
      <c r="D2445" t="n">
        <v>124.3600006103516</v>
      </c>
      <c r="E2445" t="n">
        <v>81.36000061035156</v>
      </c>
      <c r="F2445" t="n">
        <v>16.28929328918457</v>
      </c>
      <c r="G2445" t="n">
        <v>73.34524536132812</v>
      </c>
      <c r="H2445">
        <f>AVERAGE(D2246:D2445)</f>
        <v/>
      </c>
      <c r="I2445">
        <f>AVERAGE(E2246:E2445)</f>
        <v/>
      </c>
      <c r="J2445">
        <f>AVERAGE(F2246:F2445)</f>
        <v/>
      </c>
    </row>
    <row r="2446">
      <c r="C2446" s="539" t="n">
        <v>42997</v>
      </c>
      <c r="D2446" t="n">
        <v>124.620002746582</v>
      </c>
      <c r="E2446" t="n">
        <v>80.87999725341797</v>
      </c>
      <c r="F2446" t="n">
        <v>16.22911834716797</v>
      </c>
      <c r="G2446" t="n">
        <v>73.37733459472656</v>
      </c>
      <c r="H2446">
        <f>AVERAGE(D2247:D2446)</f>
        <v/>
      </c>
      <c r="I2446">
        <f>AVERAGE(E2247:E2446)</f>
        <v/>
      </c>
      <c r="J2446">
        <f>AVERAGE(F2247:F2446)</f>
        <v/>
      </c>
    </row>
    <row r="2447">
      <c r="C2447" s="539" t="n">
        <v>42998</v>
      </c>
      <c r="D2447" t="n">
        <v>123.620002746582</v>
      </c>
      <c r="E2447" t="n">
        <v>81.91999816894531</v>
      </c>
      <c r="F2447" t="n">
        <v>16.4354248046875</v>
      </c>
      <c r="G2447" t="n">
        <v>73.37733459472656</v>
      </c>
      <c r="H2447">
        <f>AVERAGE(D2248:D2447)</f>
        <v/>
      </c>
      <c r="I2447">
        <f>AVERAGE(E2248:E2447)</f>
        <v/>
      </c>
      <c r="J2447">
        <f>AVERAGE(F2248:F2447)</f>
        <v/>
      </c>
    </row>
    <row r="2448">
      <c r="C2448" s="539" t="n">
        <v>42999</v>
      </c>
      <c r="D2448" t="n">
        <v>122.6800003051758</v>
      </c>
      <c r="E2448" t="n">
        <v>82</v>
      </c>
      <c r="F2448" t="n">
        <v>16.38384628295898</v>
      </c>
      <c r="G2448" t="n">
        <v>73.37733459472656</v>
      </c>
      <c r="H2448">
        <f>AVERAGE(D2249:D2448)</f>
        <v/>
      </c>
      <c r="I2448">
        <f>AVERAGE(E2249:E2448)</f>
        <v/>
      </c>
      <c r="J2448">
        <f>AVERAGE(F2249:F2448)</f>
        <v/>
      </c>
    </row>
    <row r="2449">
      <c r="C2449" s="539" t="n">
        <v>43000</v>
      </c>
      <c r="D2449" t="n">
        <v>123.2399978637695</v>
      </c>
      <c r="E2449" t="n">
        <v>81.91999816894531</v>
      </c>
      <c r="F2449" t="n">
        <v>16.38384628295898</v>
      </c>
      <c r="G2449" t="n">
        <v>73.37733459472656</v>
      </c>
      <c r="H2449">
        <f>AVERAGE(D2250:D2449)</f>
        <v/>
      </c>
      <c r="I2449">
        <f>AVERAGE(E2250:E2449)</f>
        <v/>
      </c>
      <c r="J2449">
        <f>AVERAGE(F2250:F2449)</f>
        <v/>
      </c>
    </row>
    <row r="2450">
      <c r="C2450" s="539" t="n">
        <v>43003</v>
      </c>
      <c r="D2450" t="n">
        <v>124.5299987792969</v>
      </c>
      <c r="E2450" t="n">
        <v>84.40000152587891</v>
      </c>
      <c r="F2450" t="n">
        <v>16.23771476745605</v>
      </c>
      <c r="G2450" t="n">
        <v>73.37733459472656</v>
      </c>
      <c r="H2450">
        <f>AVERAGE(D2251:D2450)</f>
        <v/>
      </c>
      <c r="I2450">
        <f>AVERAGE(E2251:E2450)</f>
        <v/>
      </c>
      <c r="J2450">
        <f>AVERAGE(F2251:F2450)</f>
        <v/>
      </c>
    </row>
    <row r="2451">
      <c r="C2451" s="539" t="n">
        <v>43004</v>
      </c>
      <c r="D2451" t="n">
        <v>123.1399993896484</v>
      </c>
      <c r="E2451" t="n">
        <v>83.91999816894531</v>
      </c>
      <c r="F2451" t="n">
        <v>16.1861400604248</v>
      </c>
      <c r="G2451" t="n">
        <v>73.37733459472656</v>
      </c>
      <c r="H2451">
        <f>AVERAGE(D2252:D2451)</f>
        <v/>
      </c>
      <c r="I2451">
        <f>AVERAGE(E2252:E2451)</f>
        <v/>
      </c>
      <c r="J2451">
        <f>AVERAGE(F2252:F2451)</f>
        <v/>
      </c>
    </row>
    <row r="2452">
      <c r="C2452" s="539" t="n">
        <v>43005</v>
      </c>
      <c r="D2452" t="n">
        <v>121.9800033569336</v>
      </c>
      <c r="E2452" t="n">
        <v>84.16000366210938</v>
      </c>
      <c r="F2452" t="n">
        <v>16.31507873535156</v>
      </c>
      <c r="G2452" t="n">
        <v>73.37733459472656</v>
      </c>
      <c r="H2452">
        <f>AVERAGE(D2253:D2452)</f>
        <v/>
      </c>
      <c r="I2452">
        <f>AVERAGE(E2253:E2452)</f>
        <v/>
      </c>
      <c r="J2452">
        <f>AVERAGE(F2253:F2452)</f>
        <v/>
      </c>
    </row>
    <row r="2453">
      <c r="C2453" s="539" t="n">
        <v>43006</v>
      </c>
      <c r="D2453" t="n">
        <v>122.2099990844727</v>
      </c>
      <c r="E2453" t="n">
        <v>83.44000244140625</v>
      </c>
      <c r="F2453" t="n">
        <v>16.19473648071289</v>
      </c>
      <c r="G2453" t="n">
        <v>73.361328125</v>
      </c>
      <c r="H2453">
        <f>AVERAGE(D2254:D2453)</f>
        <v/>
      </c>
      <c r="I2453">
        <f>AVERAGE(E2254:E2453)</f>
        <v/>
      </c>
      <c r="J2453">
        <f>AVERAGE(F2254:F2453)</f>
        <v/>
      </c>
    </row>
    <row r="2454">
      <c r="C2454" s="539" t="n">
        <v>43007</v>
      </c>
      <c r="D2454" t="n">
        <v>121.5800018310547</v>
      </c>
      <c r="E2454" t="n">
        <v>83.44000244140625</v>
      </c>
      <c r="F2454" t="n">
        <v>16.31507873535156</v>
      </c>
      <c r="G2454" t="n">
        <v>73.39337921142578</v>
      </c>
      <c r="H2454">
        <f>AVERAGE(D2255:D2454)</f>
        <v/>
      </c>
      <c r="I2454">
        <f>AVERAGE(E2255:E2454)</f>
        <v/>
      </c>
      <c r="J2454">
        <f>AVERAGE(F2255:F2454)</f>
        <v/>
      </c>
    </row>
    <row r="2455">
      <c r="C2455" s="539" t="n">
        <v>43010</v>
      </c>
      <c r="D2455" t="n">
        <v>120.7699966430664</v>
      </c>
      <c r="E2455" t="n">
        <v>81.68000030517578</v>
      </c>
      <c r="F2455" t="n">
        <v>16.25490760803223</v>
      </c>
      <c r="G2455" t="n">
        <v>73.39656829833984</v>
      </c>
      <c r="H2455">
        <f>AVERAGE(D2256:D2455)</f>
        <v/>
      </c>
      <c r="I2455">
        <f>AVERAGE(E2256:E2455)</f>
        <v/>
      </c>
      <c r="J2455">
        <f>AVERAGE(F2256:F2455)</f>
        <v/>
      </c>
    </row>
    <row r="2456">
      <c r="C2456" s="539" t="n">
        <v>43011</v>
      </c>
      <c r="D2456" t="n">
        <v>120.8300018310547</v>
      </c>
      <c r="E2456" t="n">
        <v>81.44000244140625</v>
      </c>
      <c r="F2456" t="n">
        <v>16.26350402832031</v>
      </c>
      <c r="G2456" t="n">
        <v>73.39656829833984</v>
      </c>
      <c r="H2456">
        <f>AVERAGE(D2257:D2456)</f>
        <v/>
      </c>
      <c r="I2456">
        <f>AVERAGE(E2257:E2456)</f>
        <v/>
      </c>
      <c r="J2456">
        <f>AVERAGE(F2257:F2456)</f>
        <v/>
      </c>
    </row>
    <row r="2457">
      <c r="C2457" s="539" t="n">
        <v>43012</v>
      </c>
      <c r="D2457" t="n">
        <v>121.1699981689453</v>
      </c>
      <c r="E2457" t="n">
        <v>80.63999938964844</v>
      </c>
      <c r="F2457" t="n">
        <v>16.26350402832031</v>
      </c>
      <c r="G2457" t="n">
        <v>73.38053131103516</v>
      </c>
      <c r="H2457">
        <f>AVERAGE(D2258:D2457)</f>
        <v/>
      </c>
      <c r="I2457">
        <f>AVERAGE(E2258:E2457)</f>
        <v/>
      </c>
      <c r="J2457">
        <f>AVERAGE(F2258:F2457)</f>
        <v/>
      </c>
    </row>
    <row r="2458">
      <c r="C2458" s="539" t="n">
        <v>43013</v>
      </c>
      <c r="D2458" t="n">
        <v>120.5199966430664</v>
      </c>
      <c r="E2458" t="n">
        <v>82</v>
      </c>
      <c r="F2458" t="n">
        <v>16.3752498626709</v>
      </c>
      <c r="G2458" t="n">
        <v>73.39656829833984</v>
      </c>
      <c r="H2458">
        <f>AVERAGE(D2259:D2458)</f>
        <v/>
      </c>
      <c r="I2458">
        <f>AVERAGE(E2259:E2458)</f>
        <v/>
      </c>
      <c r="J2458">
        <f>AVERAGE(F2259:F2458)</f>
        <v/>
      </c>
    </row>
    <row r="2459">
      <c r="C2459" s="539" t="n">
        <v>43014</v>
      </c>
      <c r="D2459" t="n">
        <v>121.0899963378906</v>
      </c>
      <c r="E2459" t="n">
        <v>79.76000213623047</v>
      </c>
      <c r="F2459" t="n">
        <v>16.40963554382324</v>
      </c>
      <c r="G2459" t="n">
        <v>73.38053131103516</v>
      </c>
      <c r="H2459">
        <f>AVERAGE(D2260:D2459)</f>
        <v/>
      </c>
      <c r="I2459">
        <f>AVERAGE(E2260:E2459)</f>
        <v/>
      </c>
      <c r="J2459">
        <f>AVERAGE(F2260:F2459)</f>
        <v/>
      </c>
    </row>
    <row r="2460">
      <c r="C2460" s="539" t="n">
        <v>43017</v>
      </c>
      <c r="D2460" t="n">
        <v>122.0800018310547</v>
      </c>
      <c r="E2460" t="n">
        <v>80</v>
      </c>
      <c r="F2460" t="n">
        <v>16.29788780212402</v>
      </c>
      <c r="G2460" t="n">
        <v>73.38053131103516</v>
      </c>
      <c r="H2460">
        <f>AVERAGE(D2261:D2460)</f>
        <v/>
      </c>
      <c r="I2460">
        <f>AVERAGE(E2261:E2460)</f>
        <v/>
      </c>
      <c r="J2460">
        <f>AVERAGE(F2261:F2460)</f>
        <v/>
      </c>
    </row>
    <row r="2461">
      <c r="C2461" s="539" t="n">
        <v>43018</v>
      </c>
      <c r="D2461" t="n">
        <v>122.4000015258789</v>
      </c>
      <c r="E2461" t="n">
        <v>82.23999786376953</v>
      </c>
      <c r="F2461" t="n">
        <v>16.40103721618652</v>
      </c>
      <c r="G2461" t="n">
        <v>73.38053131103516</v>
      </c>
      <c r="H2461">
        <f>AVERAGE(D2262:D2461)</f>
        <v/>
      </c>
      <c r="I2461">
        <f>AVERAGE(E2262:E2461)</f>
        <v/>
      </c>
      <c r="J2461">
        <f>AVERAGE(F2262:F2461)</f>
        <v/>
      </c>
    </row>
    <row r="2462">
      <c r="C2462" s="539" t="n">
        <v>43019</v>
      </c>
      <c r="D2462" t="n">
        <v>122.7900009155273</v>
      </c>
      <c r="E2462" t="n">
        <v>82.87999725341797</v>
      </c>
      <c r="F2462" t="n">
        <v>16.4182300567627</v>
      </c>
      <c r="G2462" t="n">
        <v>73.38053131103516</v>
      </c>
      <c r="H2462">
        <f>AVERAGE(D2263:D2462)</f>
        <v/>
      </c>
      <c r="I2462">
        <f>AVERAGE(E2263:E2462)</f>
        <v/>
      </c>
      <c r="J2462">
        <f>AVERAGE(F2263:F2462)</f>
        <v/>
      </c>
    </row>
    <row r="2463">
      <c r="C2463" s="539" t="n">
        <v>43020</v>
      </c>
      <c r="D2463" t="n">
        <v>122.8899993896484</v>
      </c>
      <c r="E2463" t="n">
        <v>81.83999633789062</v>
      </c>
      <c r="F2463" t="n">
        <v>16.3924446105957</v>
      </c>
      <c r="G2463" t="n">
        <v>73.41262817382812</v>
      </c>
      <c r="H2463">
        <f>AVERAGE(D2264:D2463)</f>
        <v/>
      </c>
      <c r="I2463">
        <f>AVERAGE(E2264:E2463)</f>
        <v/>
      </c>
      <c r="J2463">
        <f>AVERAGE(F2264:F2463)</f>
        <v/>
      </c>
    </row>
    <row r="2464">
      <c r="C2464" s="539" t="n">
        <v>43021</v>
      </c>
      <c r="D2464" t="n">
        <v>123.8199996948242</v>
      </c>
      <c r="E2464" t="n">
        <v>82.95999908447266</v>
      </c>
      <c r="F2464" t="n">
        <v>16.45261383056641</v>
      </c>
      <c r="G2464" t="n">
        <v>73.41262817382812</v>
      </c>
      <c r="H2464">
        <f>AVERAGE(D2265:D2464)</f>
        <v/>
      </c>
      <c r="I2464">
        <f>AVERAGE(E2265:E2464)</f>
        <v/>
      </c>
      <c r="J2464">
        <f>AVERAGE(F2265:F2464)</f>
        <v/>
      </c>
    </row>
    <row r="2465">
      <c r="C2465" s="539" t="n">
        <v>43024</v>
      </c>
      <c r="D2465" t="n">
        <v>122.9700012207031</v>
      </c>
      <c r="E2465" t="n">
        <v>83.68000030517578</v>
      </c>
      <c r="F2465" t="n">
        <v>16.3752498626709</v>
      </c>
      <c r="G2465" t="n">
        <v>73.39656829833984</v>
      </c>
      <c r="H2465">
        <f>AVERAGE(D2266:D2465)</f>
        <v/>
      </c>
      <c r="I2465">
        <f>AVERAGE(E2266:E2465)</f>
        <v/>
      </c>
      <c r="J2465">
        <f>AVERAGE(F2266:F2465)</f>
        <v/>
      </c>
    </row>
    <row r="2466">
      <c r="C2466" s="539" t="n">
        <v>43025</v>
      </c>
      <c r="D2466" t="n">
        <v>122.129997253418</v>
      </c>
      <c r="E2466" t="n">
        <v>83.91999816894531</v>
      </c>
      <c r="F2466" t="n">
        <v>16.26350402832031</v>
      </c>
      <c r="G2466" t="n">
        <v>73.41262817382812</v>
      </c>
      <c r="H2466">
        <f>AVERAGE(D2267:D2466)</f>
        <v/>
      </c>
      <c r="I2466">
        <f>AVERAGE(E2267:E2466)</f>
        <v/>
      </c>
      <c r="J2466">
        <f>AVERAGE(F2267:F2466)</f>
        <v/>
      </c>
    </row>
    <row r="2467">
      <c r="C2467" s="539" t="n">
        <v>43026</v>
      </c>
      <c r="D2467" t="n">
        <v>121.6699981689453</v>
      </c>
      <c r="E2467" t="n">
        <v>83.83999633789062</v>
      </c>
      <c r="F2467" t="n">
        <v>16.28929328918457</v>
      </c>
      <c r="G2467" t="n">
        <v>73.41262817382812</v>
      </c>
      <c r="H2467">
        <f>AVERAGE(D2268:D2467)</f>
        <v/>
      </c>
      <c r="I2467">
        <f>AVERAGE(E2268:E2467)</f>
        <v/>
      </c>
      <c r="J2467">
        <f>AVERAGE(F2268:F2467)</f>
        <v/>
      </c>
    </row>
    <row r="2468">
      <c r="C2468" s="539" t="n">
        <v>43027</v>
      </c>
      <c r="D2468" t="n">
        <v>122.3899993896484</v>
      </c>
      <c r="E2468" t="n">
        <v>82.80000305175781</v>
      </c>
      <c r="F2468" t="n">
        <v>16.4354248046875</v>
      </c>
      <c r="G2468" t="n">
        <v>73.41262817382812</v>
      </c>
      <c r="H2468">
        <f>AVERAGE(D2269:D2468)</f>
        <v/>
      </c>
      <c r="I2468">
        <f>AVERAGE(E2269:E2468)</f>
        <v/>
      </c>
      <c r="J2468">
        <f>AVERAGE(F2269:F2468)</f>
        <v/>
      </c>
    </row>
    <row r="2469">
      <c r="C2469" s="539" t="n">
        <v>43028</v>
      </c>
      <c r="D2469" t="n">
        <v>121.6100006103516</v>
      </c>
      <c r="E2469" t="n">
        <v>83.44000244140625</v>
      </c>
      <c r="F2469" t="n">
        <v>16.32367324829102</v>
      </c>
      <c r="G2469" t="n">
        <v>73.42869567871094</v>
      </c>
      <c r="H2469">
        <f>AVERAGE(D2270:D2469)</f>
        <v/>
      </c>
      <c r="I2469">
        <f>AVERAGE(E2270:E2469)</f>
        <v/>
      </c>
      <c r="J2469">
        <f>AVERAGE(F2270:F2469)</f>
        <v/>
      </c>
    </row>
    <row r="2470">
      <c r="C2470" s="539" t="n">
        <v>43031</v>
      </c>
      <c r="D2470" t="n">
        <v>121.8000030517578</v>
      </c>
      <c r="E2470" t="n">
        <v>83.36000061035156</v>
      </c>
      <c r="F2470" t="n">
        <v>16.3752498626709</v>
      </c>
      <c r="G2470" t="n">
        <v>73.41262817382812</v>
      </c>
      <c r="H2470">
        <f>AVERAGE(D2271:D2470)</f>
        <v/>
      </c>
      <c r="I2470">
        <f>AVERAGE(E2271:E2470)</f>
        <v/>
      </c>
      <c r="J2470">
        <f>AVERAGE(F2271:F2470)</f>
        <v/>
      </c>
    </row>
    <row r="2471">
      <c r="C2471" s="539" t="n">
        <v>43032</v>
      </c>
      <c r="D2471" t="n">
        <v>121.3300018310547</v>
      </c>
      <c r="E2471" t="n">
        <v>84.31999969482422</v>
      </c>
      <c r="F2471" t="n">
        <v>16.47840309143066</v>
      </c>
      <c r="G2471" t="n">
        <v>73.44474792480469</v>
      </c>
      <c r="H2471">
        <f>AVERAGE(D2272:D2471)</f>
        <v/>
      </c>
      <c r="I2471">
        <f>AVERAGE(E2272:E2471)</f>
        <v/>
      </c>
      <c r="J2471">
        <f>AVERAGE(F2272:F2471)</f>
        <v/>
      </c>
    </row>
    <row r="2472">
      <c r="C2472" s="539" t="n">
        <v>43033</v>
      </c>
      <c r="D2472" t="n">
        <v>121.3499984741211</v>
      </c>
      <c r="E2472" t="n">
        <v>83.83999633789062</v>
      </c>
      <c r="F2472" t="n">
        <v>16.46980667114258</v>
      </c>
      <c r="G2472" t="n">
        <v>73.44474792480469</v>
      </c>
      <c r="H2472">
        <f>AVERAGE(D2273:D2472)</f>
        <v/>
      </c>
      <c r="I2472">
        <f>AVERAGE(E2273:E2472)</f>
        <v/>
      </c>
      <c r="J2472">
        <f>AVERAGE(F2273:F2472)</f>
        <v/>
      </c>
    </row>
    <row r="2473">
      <c r="C2473" s="539" t="n">
        <v>43034</v>
      </c>
      <c r="D2473" t="n">
        <v>120.3300018310547</v>
      </c>
      <c r="E2473" t="n">
        <v>84.55999755859375</v>
      </c>
      <c r="F2473" t="n">
        <v>16.52138137817383</v>
      </c>
      <c r="G2473" t="n">
        <v>73.44474792480469</v>
      </c>
      <c r="H2473">
        <f>AVERAGE(D2274:D2473)</f>
        <v/>
      </c>
      <c r="I2473">
        <f>AVERAGE(E2274:E2473)</f>
        <v/>
      </c>
      <c r="J2473">
        <f>AVERAGE(F2274:F2473)</f>
        <v/>
      </c>
    </row>
    <row r="2474">
      <c r="C2474" s="539" t="n">
        <v>43035</v>
      </c>
      <c r="D2474" t="n">
        <v>120.9000015258789</v>
      </c>
      <c r="E2474" t="n">
        <v>86.72000122070312</v>
      </c>
      <c r="F2474" t="n">
        <v>16.56436157226562</v>
      </c>
      <c r="G2474" t="n">
        <v>73.44474792480469</v>
      </c>
      <c r="H2474">
        <f>AVERAGE(D2275:D2474)</f>
        <v/>
      </c>
      <c r="I2474">
        <f>AVERAGE(E2275:E2474)</f>
        <v/>
      </c>
      <c r="J2474">
        <f>AVERAGE(F2275:F2474)</f>
        <v/>
      </c>
    </row>
    <row r="2475">
      <c r="C2475" s="539" t="n">
        <v>43038</v>
      </c>
      <c r="D2475" t="n">
        <v>121.129997253418</v>
      </c>
      <c r="E2475" t="n">
        <v>86.95999908447266</v>
      </c>
      <c r="F2475" t="n">
        <v>16.62453269958496</v>
      </c>
      <c r="G2475" t="n">
        <v>73.42869567871094</v>
      </c>
      <c r="H2475">
        <f>AVERAGE(D2276:D2475)</f>
        <v/>
      </c>
      <c r="I2475">
        <f>AVERAGE(E2276:E2475)</f>
        <v/>
      </c>
      <c r="J2475">
        <f>AVERAGE(F2276:F2475)</f>
        <v/>
      </c>
    </row>
    <row r="2476">
      <c r="C2476" s="539" t="n">
        <v>43039</v>
      </c>
      <c r="D2476" t="n">
        <v>120.6699981689453</v>
      </c>
      <c r="E2476" t="n">
        <v>87.44000244140625</v>
      </c>
      <c r="F2476" t="n">
        <v>16.71049118041992</v>
      </c>
      <c r="G2476" t="n">
        <v>73.44474792480469</v>
      </c>
      <c r="H2476">
        <f>AVERAGE(D2277:D2476)</f>
        <v/>
      </c>
      <c r="I2476">
        <f>AVERAGE(E2277:E2476)</f>
        <v/>
      </c>
      <c r="J2476">
        <f>AVERAGE(F2277:F2476)</f>
        <v/>
      </c>
    </row>
    <row r="2477">
      <c r="C2477" s="539" t="n">
        <v>43040</v>
      </c>
      <c r="D2477" t="n">
        <v>121.1100006103516</v>
      </c>
      <c r="E2477" t="n">
        <v>87.19999694824219</v>
      </c>
      <c r="F2477" t="n">
        <v>16.71049118041992</v>
      </c>
      <c r="G2477" t="n">
        <v>73.4527587890625</v>
      </c>
      <c r="H2477">
        <f>AVERAGE(D2278:D2477)</f>
        <v/>
      </c>
      <c r="I2477">
        <f>AVERAGE(E2278:E2477)</f>
        <v/>
      </c>
      <c r="J2477">
        <f>AVERAGE(F2278:F2477)</f>
        <v/>
      </c>
    </row>
    <row r="2478">
      <c r="C2478" s="539" t="n">
        <v>43041</v>
      </c>
      <c r="D2478" t="n">
        <v>121.1900024414062</v>
      </c>
      <c r="E2478" t="n">
        <v>87.91999816894531</v>
      </c>
      <c r="F2478" t="n">
        <v>16.68470573425293</v>
      </c>
      <c r="G2478" t="n">
        <v>73.43672943115234</v>
      </c>
      <c r="H2478">
        <f>AVERAGE(D2279:D2478)</f>
        <v/>
      </c>
      <c r="I2478">
        <f>AVERAGE(E2279:E2478)</f>
        <v/>
      </c>
      <c r="J2478">
        <f>AVERAGE(F2279:F2478)</f>
        <v/>
      </c>
    </row>
    <row r="2479">
      <c r="C2479" s="539" t="n">
        <v>43042</v>
      </c>
      <c r="D2479" t="n">
        <v>120.620002746582</v>
      </c>
      <c r="E2479" t="n">
        <v>89.44000244140625</v>
      </c>
      <c r="F2479" t="n">
        <v>16.69330215454102</v>
      </c>
      <c r="G2479" t="n">
        <v>73.43672943115234</v>
      </c>
      <c r="H2479">
        <f>AVERAGE(D2280:D2479)</f>
        <v/>
      </c>
      <c r="I2479">
        <f>AVERAGE(E2280:E2479)</f>
        <v/>
      </c>
      <c r="J2479">
        <f>AVERAGE(F2280:F2479)</f>
        <v/>
      </c>
    </row>
    <row r="2480">
      <c r="C2480" s="539" t="n">
        <v>43045</v>
      </c>
      <c r="D2480" t="n">
        <v>121.6500015258789</v>
      </c>
      <c r="E2480" t="n">
        <v>92.08000183105469</v>
      </c>
      <c r="F2480" t="n">
        <v>16.71049118041992</v>
      </c>
      <c r="G2480" t="n">
        <v>73.4527587890625</v>
      </c>
      <c r="H2480">
        <f>AVERAGE(D2281:D2480)</f>
        <v/>
      </c>
      <c r="I2480">
        <f>AVERAGE(E2281:E2480)</f>
        <v/>
      </c>
      <c r="J2480">
        <f>AVERAGE(F2281:F2480)</f>
        <v/>
      </c>
    </row>
    <row r="2481">
      <c r="C2481" s="539" t="n">
        <v>43046</v>
      </c>
      <c r="D2481" t="n">
        <v>121.2099990844727</v>
      </c>
      <c r="E2481" t="n">
        <v>91.91999816894531</v>
      </c>
      <c r="F2481" t="n">
        <v>16.71908950805664</v>
      </c>
      <c r="G2481" t="n">
        <v>73.4527587890625</v>
      </c>
      <c r="H2481">
        <f>AVERAGE(D2282:D2481)</f>
        <v/>
      </c>
      <c r="I2481">
        <f>AVERAGE(E2282:E2481)</f>
        <v/>
      </c>
      <c r="J2481">
        <f>AVERAGE(F2282:F2481)</f>
        <v/>
      </c>
    </row>
    <row r="2482">
      <c r="C2482" s="539" t="n">
        <v>43047</v>
      </c>
      <c r="D2482" t="n">
        <v>121.629997253418</v>
      </c>
      <c r="E2482" t="n">
        <v>91.27999877929688</v>
      </c>
      <c r="F2482" t="n">
        <v>16.65032196044922</v>
      </c>
      <c r="G2482" t="n">
        <v>73.4527587890625</v>
      </c>
      <c r="H2482">
        <f>AVERAGE(D2283:D2482)</f>
        <v/>
      </c>
      <c r="I2482">
        <f>AVERAGE(E2283:E2482)</f>
        <v/>
      </c>
      <c r="J2482">
        <f>AVERAGE(F2283:F2482)</f>
        <v/>
      </c>
    </row>
    <row r="2483">
      <c r="C2483" s="539" t="n">
        <v>43048</v>
      </c>
      <c r="D2483" t="n">
        <v>122.129997253418</v>
      </c>
      <c r="E2483" t="n">
        <v>91.68000030517578</v>
      </c>
      <c r="F2483" t="n">
        <v>16.61593437194824</v>
      </c>
      <c r="G2483" t="n">
        <v>73.43672943115234</v>
      </c>
      <c r="H2483">
        <f>AVERAGE(D2284:D2483)</f>
        <v/>
      </c>
      <c r="I2483">
        <f>AVERAGE(E2284:E2483)</f>
        <v/>
      </c>
      <c r="J2483">
        <f>AVERAGE(F2284:F2483)</f>
        <v/>
      </c>
    </row>
    <row r="2484">
      <c r="C2484" s="539" t="n">
        <v>43049</v>
      </c>
      <c r="D2484" t="n">
        <v>121.129997253418</v>
      </c>
      <c r="E2484" t="n">
        <v>91.36000061035156</v>
      </c>
      <c r="F2484" t="n">
        <v>16.64172744750977</v>
      </c>
      <c r="G2484" t="n">
        <v>73.4527587890625</v>
      </c>
      <c r="H2484">
        <f>AVERAGE(D2285:D2484)</f>
        <v/>
      </c>
      <c r="I2484">
        <f>AVERAGE(E2285:E2484)</f>
        <v/>
      </c>
      <c r="J2484">
        <f>AVERAGE(F2285:F2484)</f>
        <v/>
      </c>
    </row>
    <row r="2485">
      <c r="C2485" s="539" t="n">
        <v>43052</v>
      </c>
      <c r="D2485" t="n">
        <v>121.3099975585938</v>
      </c>
      <c r="E2485" t="n">
        <v>91.04000091552734</v>
      </c>
      <c r="F2485" t="n">
        <v>16.5815544128418</v>
      </c>
      <c r="G2485" t="n">
        <v>73.4527587890625</v>
      </c>
      <c r="H2485">
        <f>AVERAGE(D2286:D2485)</f>
        <v/>
      </c>
      <c r="I2485">
        <f>AVERAGE(E2286:E2485)</f>
        <v/>
      </c>
      <c r="J2485">
        <f>AVERAGE(F2286:F2485)</f>
        <v/>
      </c>
    </row>
    <row r="2486">
      <c r="C2486" s="539" t="n">
        <v>43053</v>
      </c>
      <c r="D2486" t="n">
        <v>121.5599975585938</v>
      </c>
      <c r="E2486" t="n">
        <v>89.04000091552734</v>
      </c>
      <c r="F2486" t="n">
        <v>16.44401741027832</v>
      </c>
      <c r="G2486" t="n">
        <v>73.4527587890625</v>
      </c>
      <c r="H2486">
        <f>AVERAGE(D2287:D2486)</f>
        <v/>
      </c>
      <c r="I2486">
        <f>AVERAGE(E2287:E2486)</f>
        <v/>
      </c>
      <c r="J2486">
        <f>AVERAGE(F2287:F2486)</f>
        <v/>
      </c>
    </row>
    <row r="2487">
      <c r="C2487" s="539" t="n">
        <v>43054</v>
      </c>
      <c r="D2487" t="n">
        <v>121.4100036621094</v>
      </c>
      <c r="E2487" t="n">
        <v>88.72000122070312</v>
      </c>
      <c r="F2487" t="n">
        <v>16.40963554382324</v>
      </c>
      <c r="G2487" t="n">
        <v>73.4527587890625</v>
      </c>
      <c r="H2487">
        <f>AVERAGE(D2288:D2487)</f>
        <v/>
      </c>
      <c r="I2487">
        <f>AVERAGE(E2288:E2487)</f>
        <v/>
      </c>
      <c r="J2487">
        <f>AVERAGE(F2288:F2487)</f>
        <v/>
      </c>
    </row>
    <row r="2488">
      <c r="C2488" s="539" t="n">
        <v>43055</v>
      </c>
      <c r="D2488" t="n">
        <v>121.4000015258789</v>
      </c>
      <c r="E2488" t="n">
        <v>88.55999755859375</v>
      </c>
      <c r="F2488" t="n">
        <v>16.38384628295898</v>
      </c>
      <c r="G2488" t="n">
        <v>73.46885681152344</v>
      </c>
      <c r="H2488">
        <f>AVERAGE(D2289:D2488)</f>
        <v/>
      </c>
      <c r="I2488">
        <f>AVERAGE(E2289:E2488)</f>
        <v/>
      </c>
      <c r="J2488">
        <f>AVERAGE(F2289:F2488)</f>
        <v/>
      </c>
    </row>
    <row r="2489">
      <c r="C2489" s="539" t="n">
        <v>43056</v>
      </c>
      <c r="D2489" t="n">
        <v>122.8600006103516</v>
      </c>
      <c r="E2489" t="n">
        <v>90.80000305175781</v>
      </c>
      <c r="F2489" t="n">
        <v>16.40103721618652</v>
      </c>
      <c r="G2489" t="n">
        <v>73.4527587890625</v>
      </c>
      <c r="H2489">
        <f>AVERAGE(D2290:D2489)</f>
        <v/>
      </c>
      <c r="I2489">
        <f>AVERAGE(E2290:E2489)</f>
        <v/>
      </c>
      <c r="J2489">
        <f>AVERAGE(F2290:F2489)</f>
        <v/>
      </c>
    </row>
    <row r="2490">
      <c r="C2490" s="539" t="n">
        <v>43059</v>
      </c>
      <c r="D2490" t="n">
        <v>121.3099975585938</v>
      </c>
      <c r="E2490" t="n">
        <v>90.23999786376953</v>
      </c>
      <c r="F2490" t="n">
        <v>16.33227157592773</v>
      </c>
      <c r="G2490" t="n">
        <v>73.46885681152344</v>
      </c>
      <c r="H2490">
        <f>AVERAGE(D2291:D2490)</f>
        <v/>
      </c>
      <c r="I2490">
        <f>AVERAGE(E2291:E2490)</f>
        <v/>
      </c>
      <c r="J2490">
        <f>AVERAGE(F2291:F2490)</f>
        <v/>
      </c>
    </row>
    <row r="2491">
      <c r="C2491" s="539" t="n">
        <v>43060</v>
      </c>
      <c r="D2491" t="n">
        <v>121.5100021362305</v>
      </c>
      <c r="E2491" t="n">
        <v>91.19999694824219</v>
      </c>
      <c r="F2491" t="n">
        <v>16.34086799621582</v>
      </c>
      <c r="G2491" t="n">
        <v>73.48491668701172</v>
      </c>
      <c r="H2491">
        <f>AVERAGE(D2292:D2491)</f>
        <v/>
      </c>
      <c r="I2491">
        <f>AVERAGE(E2292:E2491)</f>
        <v/>
      </c>
      <c r="J2491">
        <f>AVERAGE(F2292:F2491)</f>
        <v/>
      </c>
    </row>
    <row r="2492">
      <c r="C2492" s="539" t="n">
        <v>43061</v>
      </c>
      <c r="D2492" t="n">
        <v>122.629997253418</v>
      </c>
      <c r="E2492" t="n">
        <v>92.80000305175781</v>
      </c>
      <c r="F2492" t="n">
        <v>16.47840309143066</v>
      </c>
      <c r="G2492" t="n">
        <v>73.48491668701172</v>
      </c>
      <c r="H2492">
        <f>AVERAGE(D2293:D2492)</f>
        <v/>
      </c>
      <c r="I2492">
        <f>AVERAGE(E2293:E2492)</f>
        <v/>
      </c>
      <c r="J2492">
        <f>AVERAGE(F2293:F2492)</f>
        <v/>
      </c>
    </row>
    <row r="2493">
      <c r="C2493" s="539" t="n">
        <v>43063</v>
      </c>
      <c r="D2493" t="n">
        <v>122.3199996948242</v>
      </c>
      <c r="E2493" t="n">
        <v>94.31999969482422</v>
      </c>
      <c r="F2493" t="n">
        <v>16.45261383056641</v>
      </c>
      <c r="G2493" t="n">
        <v>73.46885681152344</v>
      </c>
      <c r="H2493">
        <f>AVERAGE(D2294:D2493)</f>
        <v/>
      </c>
      <c r="I2493">
        <f>AVERAGE(E2294:E2493)</f>
        <v/>
      </c>
      <c r="J2493">
        <f>AVERAGE(F2294:F2493)</f>
        <v/>
      </c>
    </row>
    <row r="2494">
      <c r="C2494" s="539" t="n">
        <v>43066</v>
      </c>
      <c r="D2494" t="n">
        <v>122.8300018310547</v>
      </c>
      <c r="E2494" t="n">
        <v>92.72000122070312</v>
      </c>
      <c r="F2494" t="n">
        <v>16.44401741027832</v>
      </c>
      <c r="G2494" t="n">
        <v>73.46885681152344</v>
      </c>
      <c r="H2494">
        <f>AVERAGE(D2295:D2494)</f>
        <v/>
      </c>
      <c r="I2494">
        <f>AVERAGE(E2295:E2494)</f>
        <v/>
      </c>
      <c r="J2494">
        <f>AVERAGE(F2295:F2494)</f>
        <v/>
      </c>
    </row>
    <row r="2495">
      <c r="C2495" s="539" t="n">
        <v>43067</v>
      </c>
      <c r="D2495" t="n">
        <v>122.8099975585938</v>
      </c>
      <c r="E2495" t="n">
        <v>92.63999938964844</v>
      </c>
      <c r="F2495" t="n">
        <v>16.4354248046875</v>
      </c>
      <c r="G2495" t="n">
        <v>73.50098419189453</v>
      </c>
      <c r="H2495">
        <f>AVERAGE(D2296:D2495)</f>
        <v/>
      </c>
      <c r="I2495">
        <f>AVERAGE(E2296:E2495)</f>
        <v/>
      </c>
      <c r="J2495">
        <f>AVERAGE(F2296:F2495)</f>
        <v/>
      </c>
    </row>
    <row r="2496">
      <c r="C2496" s="539" t="n">
        <v>43068</v>
      </c>
      <c r="D2496" t="n">
        <v>122.0400009155273</v>
      </c>
      <c r="E2496" t="n">
        <v>91.76000213623047</v>
      </c>
      <c r="F2496" t="n">
        <v>16.56436157226562</v>
      </c>
      <c r="G2496" t="n">
        <v>73.48491668701172</v>
      </c>
      <c r="H2496">
        <f>AVERAGE(D2297:D2496)</f>
        <v/>
      </c>
      <c r="I2496">
        <f>AVERAGE(E2297:E2496)</f>
        <v/>
      </c>
      <c r="J2496">
        <f>AVERAGE(F2297:F2496)</f>
        <v/>
      </c>
    </row>
    <row r="2497">
      <c r="C2497" s="539" t="n">
        <v>43069</v>
      </c>
      <c r="D2497" t="n">
        <v>121.0999984741211</v>
      </c>
      <c r="E2497" t="n">
        <v>91.76000213623047</v>
      </c>
      <c r="F2497" t="n">
        <v>16.40103721618652</v>
      </c>
      <c r="G2497" t="n">
        <v>73.48491668701172</v>
      </c>
      <c r="H2497">
        <f>AVERAGE(D2298:D2497)</f>
        <v/>
      </c>
      <c r="I2497">
        <f>AVERAGE(E2298:E2497)</f>
        <v/>
      </c>
      <c r="J2497">
        <f>AVERAGE(F2298:F2497)</f>
        <v/>
      </c>
    </row>
    <row r="2498">
      <c r="C2498" s="539" t="n">
        <v>43070</v>
      </c>
      <c r="D2498" t="n">
        <v>121.5899963378906</v>
      </c>
      <c r="E2498" t="n">
        <v>93.36000061035156</v>
      </c>
      <c r="F2498" t="n">
        <v>16.38384628295898</v>
      </c>
      <c r="G2498" t="n">
        <v>73.48974609375</v>
      </c>
      <c r="H2498">
        <f>AVERAGE(D2299:D2498)</f>
        <v/>
      </c>
      <c r="I2498">
        <f>AVERAGE(E2299:E2498)</f>
        <v/>
      </c>
      <c r="J2498">
        <f>AVERAGE(F2299:F2498)</f>
        <v/>
      </c>
    </row>
    <row r="2499">
      <c r="C2499" s="539" t="n">
        <v>43073</v>
      </c>
      <c r="D2499" t="n">
        <v>121.1800003051758</v>
      </c>
      <c r="E2499" t="n">
        <v>91.91999816894531</v>
      </c>
      <c r="F2499" t="n">
        <v>16.31507873535156</v>
      </c>
      <c r="G2499" t="n">
        <v>73.49776458740234</v>
      </c>
      <c r="H2499">
        <f>AVERAGE(D2300:D2499)</f>
        <v/>
      </c>
      <c r="I2499">
        <f>AVERAGE(E2300:E2499)</f>
        <v/>
      </c>
      <c r="J2499">
        <f>AVERAGE(F2300:F2499)</f>
        <v/>
      </c>
    </row>
    <row r="2500">
      <c r="C2500" s="539" t="n">
        <v>43074</v>
      </c>
      <c r="D2500" t="n">
        <v>120.3199996948242</v>
      </c>
      <c r="E2500" t="n">
        <v>92.31999969482422</v>
      </c>
      <c r="F2500" t="n">
        <v>16.20333480834961</v>
      </c>
      <c r="G2500" t="n">
        <v>73.50580596923828</v>
      </c>
      <c r="H2500">
        <f>AVERAGE(D2301:D2500)</f>
        <v/>
      </c>
      <c r="I2500">
        <f>AVERAGE(E2301:E2500)</f>
        <v/>
      </c>
      <c r="J2500">
        <f>AVERAGE(F2301:F2500)</f>
        <v/>
      </c>
    </row>
    <row r="2501">
      <c r="C2501" s="539" t="n">
        <v>43075</v>
      </c>
      <c r="D2501" t="n">
        <v>120.0699996948242</v>
      </c>
      <c r="E2501" t="n">
        <v>89.59999847412109</v>
      </c>
      <c r="F2501" t="n">
        <v>16.03141403198242</v>
      </c>
      <c r="G2501" t="n">
        <v>73.49776458740234</v>
      </c>
      <c r="H2501">
        <f>AVERAGE(D2302:D2501)</f>
        <v/>
      </c>
      <c r="I2501">
        <f>AVERAGE(E2302:E2501)</f>
        <v/>
      </c>
      <c r="J2501">
        <f>AVERAGE(F2302:F2501)</f>
        <v/>
      </c>
    </row>
    <row r="2502">
      <c r="C2502" s="539" t="n">
        <v>43076</v>
      </c>
      <c r="D2502" t="n">
        <v>118.4899978637695</v>
      </c>
      <c r="E2502" t="n">
        <v>90.63999938964844</v>
      </c>
      <c r="F2502" t="n">
        <v>15.88528060913086</v>
      </c>
      <c r="G2502" t="n">
        <v>73.50580596923828</v>
      </c>
      <c r="H2502">
        <f>AVERAGE(D2303:D2502)</f>
        <v/>
      </c>
      <c r="I2502">
        <f>AVERAGE(E2303:E2502)</f>
        <v/>
      </c>
      <c r="J2502">
        <f>AVERAGE(F2303:F2502)</f>
        <v/>
      </c>
    </row>
    <row r="2503">
      <c r="C2503" s="539" t="n">
        <v>43077</v>
      </c>
      <c r="D2503" t="n">
        <v>118.4800033569336</v>
      </c>
      <c r="E2503" t="n">
        <v>91.91999816894531</v>
      </c>
      <c r="F2503" t="n">
        <v>15.8423023223877</v>
      </c>
      <c r="G2503" t="n">
        <v>73.51380157470703</v>
      </c>
      <c r="H2503">
        <f>AVERAGE(D2304:D2503)</f>
        <v/>
      </c>
      <c r="I2503">
        <f>AVERAGE(E2304:E2503)</f>
        <v/>
      </c>
      <c r="J2503">
        <f>AVERAGE(F2304:F2503)</f>
        <v/>
      </c>
    </row>
    <row r="2504">
      <c r="C2504" s="539" t="n">
        <v>43080</v>
      </c>
      <c r="D2504" t="n">
        <v>118.0100021362305</v>
      </c>
      <c r="E2504" t="n">
        <v>92.80000305175781</v>
      </c>
      <c r="F2504" t="n">
        <v>15.73055553436279</v>
      </c>
      <c r="G2504" t="n">
        <v>73.50580596923828</v>
      </c>
      <c r="H2504">
        <f>AVERAGE(D2305:D2504)</f>
        <v/>
      </c>
      <c r="I2504">
        <f>AVERAGE(E2305:E2504)</f>
        <v/>
      </c>
      <c r="J2504">
        <f>AVERAGE(F2305:F2504)</f>
        <v/>
      </c>
    </row>
    <row r="2505">
      <c r="C2505" s="539" t="n">
        <v>43081</v>
      </c>
      <c r="D2505" t="n">
        <v>118.1500015258789</v>
      </c>
      <c r="E2505" t="n">
        <v>91.51999664306641</v>
      </c>
      <c r="F2505" t="n">
        <v>15.63599967956543</v>
      </c>
      <c r="G2505" t="n">
        <v>73.51380157470703</v>
      </c>
      <c r="H2505">
        <f>AVERAGE(D2306:D2505)</f>
        <v/>
      </c>
      <c r="I2505">
        <f>AVERAGE(E2306:E2505)</f>
        <v/>
      </c>
      <c r="J2505">
        <f>AVERAGE(F2306:F2505)</f>
        <v/>
      </c>
    </row>
    <row r="2506">
      <c r="C2506" s="539" t="n">
        <v>43082</v>
      </c>
      <c r="D2506" t="n">
        <v>119.1699981689453</v>
      </c>
      <c r="E2506" t="n">
        <v>90.63999938964844</v>
      </c>
      <c r="F2506" t="n">
        <v>15.687575340271</v>
      </c>
      <c r="G2506" t="n">
        <v>73.50580596923828</v>
      </c>
      <c r="H2506">
        <f>AVERAGE(D2307:D2506)</f>
        <v/>
      </c>
      <c r="I2506">
        <f>AVERAGE(E2307:E2506)</f>
        <v/>
      </c>
      <c r="J2506">
        <f>AVERAGE(F2307:F2506)</f>
        <v/>
      </c>
    </row>
    <row r="2507">
      <c r="C2507" s="539" t="n">
        <v>43083</v>
      </c>
      <c r="D2507" t="n">
        <v>118.9300003051758</v>
      </c>
      <c r="E2507" t="n">
        <v>91.44000244140625</v>
      </c>
      <c r="F2507" t="n">
        <v>15.67898082733154</v>
      </c>
      <c r="G2507" t="n">
        <v>73.51380157470703</v>
      </c>
      <c r="H2507">
        <f>AVERAGE(D2308:D2507)</f>
        <v/>
      </c>
      <c r="I2507">
        <f>AVERAGE(E2308:E2507)</f>
        <v/>
      </c>
      <c r="J2507">
        <f>AVERAGE(F2308:F2507)</f>
        <v/>
      </c>
    </row>
    <row r="2508">
      <c r="C2508" s="539" t="n">
        <v>43084</v>
      </c>
      <c r="D2508" t="n">
        <v>119.1800003051758</v>
      </c>
      <c r="E2508" t="n">
        <v>91.68000030517578</v>
      </c>
      <c r="F2508" t="n">
        <v>15.75634479522705</v>
      </c>
      <c r="G2508" t="n">
        <v>73.52187347412109</v>
      </c>
      <c r="H2508">
        <f>AVERAGE(D2309:D2508)</f>
        <v/>
      </c>
      <c r="I2508">
        <f>AVERAGE(E2309:E2508)</f>
        <v/>
      </c>
      <c r="J2508">
        <f>AVERAGE(F2309:F2508)</f>
        <v/>
      </c>
    </row>
    <row r="2509">
      <c r="C2509" s="539" t="n">
        <v>43087</v>
      </c>
      <c r="D2509" t="n">
        <v>119.7300033569336</v>
      </c>
      <c r="E2509" t="n">
        <v>91.51999664306641</v>
      </c>
      <c r="F2509" t="n">
        <v>15.77353668212891</v>
      </c>
      <c r="G2509" t="n">
        <v>73.52993774414062</v>
      </c>
      <c r="H2509">
        <f>AVERAGE(D2310:D2509)</f>
        <v/>
      </c>
      <c r="I2509">
        <f>AVERAGE(E2310:E2509)</f>
        <v/>
      </c>
      <c r="J2509">
        <f>AVERAGE(F2310:F2509)</f>
        <v/>
      </c>
    </row>
    <row r="2510">
      <c r="C2510" s="539" t="n">
        <v>43088</v>
      </c>
      <c r="D2510" t="n">
        <v>119.8199996948242</v>
      </c>
      <c r="E2510" t="n">
        <v>92.08000183105469</v>
      </c>
      <c r="F2510" t="n">
        <v>15.79072666168213</v>
      </c>
      <c r="G2510" t="n">
        <v>73.53150939941406</v>
      </c>
      <c r="H2510">
        <f>AVERAGE(D2311:D2510)</f>
        <v/>
      </c>
      <c r="I2510">
        <f>AVERAGE(E2311:E2510)</f>
        <v/>
      </c>
      <c r="J2510">
        <f>AVERAGE(F2311:F2510)</f>
        <v/>
      </c>
    </row>
    <row r="2511">
      <c r="C2511" s="539" t="n">
        <v>43089</v>
      </c>
      <c r="D2511" t="n">
        <v>120.1399993896484</v>
      </c>
      <c r="E2511" t="n">
        <v>92.87999725341797</v>
      </c>
      <c r="F2511" t="n">
        <v>15.85949611663818</v>
      </c>
      <c r="G2511" t="n">
        <v>73.53150939941406</v>
      </c>
      <c r="H2511">
        <f>AVERAGE(D2312:D2511)</f>
        <v/>
      </c>
      <c r="I2511">
        <f>AVERAGE(E2312:E2511)</f>
        <v/>
      </c>
      <c r="J2511">
        <f>AVERAGE(F2312:F2511)</f>
        <v/>
      </c>
    </row>
    <row r="2512">
      <c r="C2512" s="539" t="n">
        <v>43090</v>
      </c>
      <c r="D2512" t="n">
        <v>120.3099975585938</v>
      </c>
      <c r="E2512" t="n">
        <v>93.12000274658203</v>
      </c>
      <c r="F2512" t="n">
        <v>15.87668704986572</v>
      </c>
      <c r="G2512" t="n">
        <v>73.53150939941406</v>
      </c>
      <c r="H2512">
        <f>AVERAGE(D2313:D2512)</f>
        <v/>
      </c>
      <c r="I2512">
        <f>AVERAGE(E2313:E2512)</f>
        <v/>
      </c>
      <c r="J2512">
        <f>AVERAGE(F2313:F2512)</f>
        <v/>
      </c>
    </row>
    <row r="2513">
      <c r="C2513" s="539" t="n">
        <v>43091</v>
      </c>
      <c r="D2513" t="n">
        <v>120.9400024414062</v>
      </c>
      <c r="E2513" t="n">
        <v>93.27999877929688</v>
      </c>
      <c r="F2513" t="n">
        <v>15.82511138916016</v>
      </c>
      <c r="G2513" t="n">
        <v>73.54761505126953</v>
      </c>
      <c r="H2513">
        <f>AVERAGE(D2314:D2513)</f>
        <v/>
      </c>
      <c r="I2513">
        <f>AVERAGE(E2314:E2513)</f>
        <v/>
      </c>
      <c r="J2513">
        <f>AVERAGE(F2314:F2513)</f>
        <v/>
      </c>
    </row>
    <row r="2514">
      <c r="C2514" s="539" t="n">
        <v>43095</v>
      </c>
      <c r="D2514" t="n">
        <v>121.7699966430664</v>
      </c>
      <c r="E2514" t="n">
        <v>95.59999847412109</v>
      </c>
      <c r="F2514" t="n">
        <v>15.96264457702637</v>
      </c>
      <c r="G2514" t="n">
        <v>73.53959655761719</v>
      </c>
      <c r="H2514">
        <f>AVERAGE(D2315:D2514)</f>
        <v/>
      </c>
      <c r="I2514">
        <f>AVERAGE(E2315:E2514)</f>
        <v/>
      </c>
      <c r="J2514">
        <f>AVERAGE(F2315:F2514)</f>
        <v/>
      </c>
    </row>
    <row r="2515">
      <c r="C2515" s="539" t="n">
        <v>43096</v>
      </c>
      <c r="D2515" t="n">
        <v>122.2300033569336</v>
      </c>
      <c r="E2515" t="n">
        <v>95.36000061035156</v>
      </c>
      <c r="F2515" t="n">
        <v>16.04860687255859</v>
      </c>
      <c r="G2515" t="n">
        <v>73.55568695068359</v>
      </c>
      <c r="H2515">
        <f>AVERAGE(D2316:D2515)</f>
        <v/>
      </c>
      <c r="I2515">
        <f>AVERAGE(E2316:E2515)</f>
        <v/>
      </c>
      <c r="J2515">
        <f>AVERAGE(F2316:F2515)</f>
        <v/>
      </c>
    </row>
    <row r="2516">
      <c r="C2516" s="539" t="n">
        <v>43097</v>
      </c>
      <c r="D2516" t="n">
        <v>122.8499984741211</v>
      </c>
      <c r="E2516" t="n">
        <v>95.76000213623047</v>
      </c>
      <c r="F2516" t="n">
        <v>16.09158325195312</v>
      </c>
      <c r="G2516" t="n">
        <v>73.55568695068359</v>
      </c>
      <c r="H2516">
        <f>AVERAGE(D2317:D2516)</f>
        <v/>
      </c>
      <c r="I2516">
        <f>AVERAGE(E2317:E2516)</f>
        <v/>
      </c>
      <c r="J2516">
        <f>AVERAGE(F2317:F2516)</f>
        <v/>
      </c>
    </row>
    <row r="2517">
      <c r="C2517" s="539" t="n">
        <v>43098</v>
      </c>
      <c r="D2517" t="n">
        <v>123.6500015258789</v>
      </c>
      <c r="E2517" t="n">
        <v>96.08000183105469</v>
      </c>
      <c r="F2517" t="n">
        <v>16.12596893310547</v>
      </c>
      <c r="G2517" t="n">
        <v>73.53959655761719</v>
      </c>
      <c r="H2517">
        <f>AVERAGE(D2318:D2517)</f>
        <v/>
      </c>
      <c r="I2517">
        <f>AVERAGE(E2318:E2517)</f>
        <v/>
      </c>
      <c r="J2517">
        <f>AVERAGE(F2318:F2517)</f>
        <v/>
      </c>
    </row>
    <row r="2518">
      <c r="C2518" s="539" t="n">
        <v>43102</v>
      </c>
      <c r="D2518" t="n">
        <v>125.1500015258789</v>
      </c>
      <c r="E2518" t="n">
        <v>96.55999755859375</v>
      </c>
      <c r="F2518" t="n">
        <v>16.30648231506348</v>
      </c>
      <c r="G2518" t="n">
        <v>73.54761505126953</v>
      </c>
      <c r="H2518">
        <f>AVERAGE(D2319:D2518)</f>
        <v/>
      </c>
      <c r="I2518">
        <f>AVERAGE(E2319:E2518)</f>
        <v/>
      </c>
      <c r="J2518">
        <f>AVERAGE(F2319:F2518)</f>
        <v/>
      </c>
    </row>
    <row r="2519">
      <c r="C2519" s="539" t="n">
        <v>43103</v>
      </c>
      <c r="D2519" t="n">
        <v>124.8199996948242</v>
      </c>
      <c r="E2519" t="n">
        <v>98.72000122070312</v>
      </c>
      <c r="F2519" t="n">
        <v>16.29788780212402</v>
      </c>
      <c r="G2519" t="n">
        <v>73.56372833251953</v>
      </c>
      <c r="H2519">
        <f>AVERAGE(D2320:D2519)</f>
        <v/>
      </c>
      <c r="I2519">
        <f>AVERAGE(E2320:E2519)</f>
        <v/>
      </c>
      <c r="J2519">
        <f>AVERAGE(F2320:F2519)</f>
        <v/>
      </c>
    </row>
    <row r="2520">
      <c r="C2520" s="539" t="n">
        <v>43104</v>
      </c>
      <c r="D2520" t="n">
        <v>125.4599990844727</v>
      </c>
      <c r="E2520" t="n">
        <v>98.95999908447266</v>
      </c>
      <c r="F2520" t="n">
        <v>16.27209854125977</v>
      </c>
      <c r="G2520" t="n">
        <v>73.57176971435547</v>
      </c>
      <c r="H2520">
        <f>AVERAGE(D2321:D2520)</f>
        <v/>
      </c>
      <c r="I2520">
        <f>AVERAGE(E2321:E2520)</f>
        <v/>
      </c>
      <c r="J2520">
        <f>AVERAGE(F2321:F2520)</f>
        <v/>
      </c>
    </row>
    <row r="2521">
      <c r="C2521" s="539" t="n">
        <v>43105</v>
      </c>
      <c r="D2521" t="n">
        <v>125.3300018310547</v>
      </c>
      <c r="E2521" t="n">
        <v>98.48000335693359</v>
      </c>
      <c r="F2521" t="n">
        <v>16.1861400604248</v>
      </c>
      <c r="G2521" t="n">
        <v>73.57176971435547</v>
      </c>
      <c r="H2521">
        <f>AVERAGE(D2322:D2521)</f>
        <v/>
      </c>
      <c r="I2521">
        <f>AVERAGE(E2322:E2521)</f>
        <v/>
      </c>
      <c r="J2521">
        <f>AVERAGE(F2322:F2521)</f>
        <v/>
      </c>
    </row>
    <row r="2522">
      <c r="C2522" s="539" t="n">
        <v>43108</v>
      </c>
      <c r="D2522" t="n">
        <v>125.3099975585938</v>
      </c>
      <c r="E2522" t="n">
        <v>99.04000091552734</v>
      </c>
      <c r="F2522" t="n">
        <v>16.07439422607422</v>
      </c>
      <c r="G2522" t="n">
        <v>73.57979583740234</v>
      </c>
      <c r="H2522">
        <f>AVERAGE(D2323:D2522)</f>
        <v/>
      </c>
      <c r="I2522">
        <f>AVERAGE(E2323:E2522)</f>
        <v/>
      </c>
      <c r="J2522">
        <f>AVERAGE(F2323:F2522)</f>
        <v/>
      </c>
    </row>
    <row r="2523">
      <c r="C2523" s="539" t="n">
        <v>43109</v>
      </c>
      <c r="D2523" t="n">
        <v>124.7300033569336</v>
      </c>
      <c r="E2523" t="n">
        <v>100.5599975585938</v>
      </c>
      <c r="F2523" t="n">
        <v>16.10877799987793</v>
      </c>
      <c r="G2523" t="n">
        <v>73.57979583740234</v>
      </c>
      <c r="H2523">
        <f>AVERAGE(D2324:D2523)</f>
        <v/>
      </c>
      <c r="I2523">
        <f>AVERAGE(E2324:E2523)</f>
        <v/>
      </c>
      <c r="J2523">
        <f>AVERAGE(F2324:F2523)</f>
        <v/>
      </c>
    </row>
    <row r="2524">
      <c r="C2524" s="539" t="n">
        <v>43110</v>
      </c>
      <c r="D2524" t="n">
        <v>125.0299987792969</v>
      </c>
      <c r="E2524" t="n">
        <v>101.4400024414062</v>
      </c>
      <c r="F2524" t="n">
        <v>16.04860687255859</v>
      </c>
      <c r="G2524" t="n">
        <v>73.57979583740234</v>
      </c>
      <c r="H2524">
        <f>AVERAGE(D2325:D2524)</f>
        <v/>
      </c>
      <c r="I2524">
        <f>AVERAGE(E2325:E2524)</f>
        <v/>
      </c>
      <c r="J2524">
        <f>AVERAGE(F2325:F2524)</f>
        <v/>
      </c>
    </row>
    <row r="2525">
      <c r="C2525" s="539" t="n">
        <v>43111</v>
      </c>
      <c r="D2525" t="n">
        <v>125.4400024414062</v>
      </c>
      <c r="E2525" t="n">
        <v>101.5999984741211</v>
      </c>
      <c r="F2525" t="n">
        <v>15.98843574523926</v>
      </c>
      <c r="G2525" t="n">
        <v>73.57176971435547</v>
      </c>
      <c r="H2525">
        <f>AVERAGE(D2326:D2525)</f>
        <v/>
      </c>
      <c r="I2525">
        <f>AVERAGE(E2326:E2525)</f>
        <v/>
      </c>
      <c r="J2525">
        <f>AVERAGE(F2326:F2525)</f>
        <v/>
      </c>
    </row>
    <row r="2526">
      <c r="C2526" s="539" t="n">
        <v>43112</v>
      </c>
      <c r="D2526" t="n">
        <v>126.9599990844727</v>
      </c>
      <c r="E2526" t="n">
        <v>102.9599990844727</v>
      </c>
      <c r="F2526" t="n">
        <v>15.95405197143555</v>
      </c>
      <c r="G2526" t="n">
        <v>73.59590148925781</v>
      </c>
      <c r="H2526">
        <f>AVERAGE(D2327:D2526)</f>
        <v/>
      </c>
      <c r="I2526">
        <f>AVERAGE(E2327:E2526)</f>
        <v/>
      </c>
      <c r="J2526">
        <f>AVERAGE(F2327:F2526)</f>
        <v/>
      </c>
    </row>
    <row r="2527">
      <c r="C2527" s="539" t="n">
        <v>43116</v>
      </c>
      <c r="D2527" t="n">
        <v>127.1699981689453</v>
      </c>
      <c r="E2527" t="n">
        <v>102.0800018310547</v>
      </c>
      <c r="F2527" t="n">
        <v>15.93685722351074</v>
      </c>
      <c r="G2527" t="n">
        <v>73.57979583740234</v>
      </c>
      <c r="H2527">
        <f>AVERAGE(D2328:D2527)</f>
        <v/>
      </c>
      <c r="I2527">
        <f>AVERAGE(E2328:E2527)</f>
        <v/>
      </c>
      <c r="J2527">
        <f>AVERAGE(F2328:F2527)</f>
        <v/>
      </c>
    </row>
    <row r="2528">
      <c r="C2528" s="539" t="n">
        <v>43117</v>
      </c>
      <c r="D2528" t="n">
        <v>126.1399993896484</v>
      </c>
      <c r="E2528" t="n">
        <v>102.2399978637695</v>
      </c>
      <c r="F2528" t="n">
        <v>16.06579780578613</v>
      </c>
      <c r="G2528" t="n">
        <v>73.59590148925781</v>
      </c>
      <c r="H2528">
        <f>AVERAGE(D2329:D2528)</f>
        <v/>
      </c>
      <c r="I2528">
        <f>AVERAGE(E2329:E2528)</f>
        <v/>
      </c>
      <c r="J2528">
        <f>AVERAGE(F2329:F2528)</f>
        <v/>
      </c>
    </row>
    <row r="2529">
      <c r="C2529" s="539" t="n">
        <v>43118</v>
      </c>
      <c r="D2529" t="n">
        <v>125.8600006103516</v>
      </c>
      <c r="E2529" t="n">
        <v>102.0800018310547</v>
      </c>
      <c r="F2529" t="n">
        <v>16.05720138549805</v>
      </c>
      <c r="G2529" t="n">
        <v>73.59590148925781</v>
      </c>
      <c r="H2529">
        <f>AVERAGE(D2330:D2529)</f>
        <v/>
      </c>
      <c r="I2529">
        <f>AVERAGE(E2330:E2529)</f>
        <v/>
      </c>
      <c r="J2529">
        <f>AVERAGE(F2330:F2529)</f>
        <v/>
      </c>
    </row>
    <row r="2530">
      <c r="C2530" s="539" t="n">
        <v>43119</v>
      </c>
      <c r="D2530" t="n">
        <v>126.4199981689453</v>
      </c>
      <c r="E2530" t="n">
        <v>101.7600021362305</v>
      </c>
      <c r="F2530" t="n">
        <v>16.01421928405762</v>
      </c>
      <c r="G2530" t="n">
        <v>73.60397338867188</v>
      </c>
      <c r="H2530">
        <f>AVERAGE(D2331:D2530)</f>
        <v/>
      </c>
      <c r="I2530">
        <f>AVERAGE(E2331:E2530)</f>
        <v/>
      </c>
      <c r="J2530">
        <f>AVERAGE(F2331:F2530)</f>
        <v/>
      </c>
    </row>
    <row r="2531">
      <c r="C2531" s="539" t="n">
        <v>43122</v>
      </c>
      <c r="D2531" t="n">
        <v>126.6500015258789</v>
      </c>
      <c r="E2531" t="n">
        <v>102.2399978637695</v>
      </c>
      <c r="F2531" t="n">
        <v>16.06579780578613</v>
      </c>
      <c r="G2531" t="n">
        <v>73.61199951171875</v>
      </c>
      <c r="H2531">
        <f>AVERAGE(D2332:D2531)</f>
        <v/>
      </c>
      <c r="I2531">
        <f>AVERAGE(E2332:E2531)</f>
        <v/>
      </c>
      <c r="J2531">
        <f>AVERAGE(F2332:F2531)</f>
        <v/>
      </c>
    </row>
    <row r="2532">
      <c r="C2532" s="539" t="n">
        <v>43123</v>
      </c>
      <c r="D2532" t="n">
        <v>127.2799987792969</v>
      </c>
      <c r="E2532" t="n">
        <v>103.7600021362305</v>
      </c>
      <c r="F2532" t="n">
        <v>16.0056266784668</v>
      </c>
      <c r="G2532" t="n">
        <v>73.61199951171875</v>
      </c>
      <c r="H2532">
        <f>AVERAGE(D2333:D2532)</f>
        <v/>
      </c>
      <c r="I2532">
        <f>AVERAGE(E2333:E2532)</f>
        <v/>
      </c>
      <c r="J2532">
        <f>AVERAGE(F2333:F2532)</f>
        <v/>
      </c>
    </row>
    <row r="2533">
      <c r="C2533" s="539" t="n">
        <v>43124</v>
      </c>
      <c r="D2533" t="n">
        <v>128.8300018310547</v>
      </c>
      <c r="E2533" t="n">
        <v>105.7600021362305</v>
      </c>
      <c r="F2533" t="n">
        <v>16.16035270690918</v>
      </c>
      <c r="G2533" t="n">
        <v>73.62004089355469</v>
      </c>
      <c r="H2533">
        <f>AVERAGE(D2334:D2533)</f>
        <v/>
      </c>
      <c r="I2533">
        <f>AVERAGE(E2334:E2533)</f>
        <v/>
      </c>
      <c r="J2533">
        <f>AVERAGE(F2334:F2533)</f>
        <v/>
      </c>
    </row>
    <row r="2534">
      <c r="C2534" s="539" t="n">
        <v>43125</v>
      </c>
      <c r="D2534" t="n">
        <v>127.9700012207031</v>
      </c>
      <c r="E2534" t="n">
        <v>104.4800033569336</v>
      </c>
      <c r="F2534" t="n">
        <v>16.10877799987793</v>
      </c>
      <c r="G2534" t="n">
        <v>73.62004089355469</v>
      </c>
      <c r="H2534">
        <f>AVERAGE(D2335:D2534)</f>
        <v/>
      </c>
      <c r="I2534">
        <f>AVERAGE(E2335:E2534)</f>
        <v/>
      </c>
      <c r="J2534">
        <f>AVERAGE(F2335:F2534)</f>
        <v/>
      </c>
    </row>
    <row r="2535">
      <c r="C2535" s="539" t="n">
        <v>43126</v>
      </c>
      <c r="D2535" t="n">
        <v>128.0700073242188</v>
      </c>
      <c r="E2535" t="n">
        <v>105.9199981689453</v>
      </c>
      <c r="F2535" t="n">
        <v>16.23771476745605</v>
      </c>
      <c r="G2535" t="n">
        <v>73.63613128662109</v>
      </c>
      <c r="H2535">
        <f>AVERAGE(D2336:D2535)</f>
        <v/>
      </c>
      <c r="I2535">
        <f>AVERAGE(E2336:E2535)</f>
        <v/>
      </c>
      <c r="J2535">
        <f>AVERAGE(F2336:F2535)</f>
        <v/>
      </c>
    </row>
    <row r="2536">
      <c r="C2536" s="539" t="n">
        <v>43129</v>
      </c>
      <c r="D2536" t="n">
        <v>127.3499984741211</v>
      </c>
      <c r="E2536" t="n">
        <v>104.879997253418</v>
      </c>
      <c r="F2536" t="n">
        <v>16.25490760803223</v>
      </c>
      <c r="G2536" t="n">
        <v>73.62004089355469</v>
      </c>
      <c r="H2536">
        <f>AVERAGE(D2337:D2536)</f>
        <v/>
      </c>
      <c r="I2536">
        <f>AVERAGE(E2337:E2536)</f>
        <v/>
      </c>
      <c r="J2536">
        <f>AVERAGE(F2337:F2536)</f>
        <v/>
      </c>
    </row>
    <row r="2537">
      <c r="C2537" s="539" t="n">
        <v>43130</v>
      </c>
      <c r="D2537" t="n">
        <v>126.8000030517578</v>
      </c>
      <c r="E2537" t="n">
        <v>103.1999969482422</v>
      </c>
      <c r="F2537" t="n">
        <v>16.28069686889648</v>
      </c>
      <c r="G2537" t="n">
        <v>73.62811279296875</v>
      </c>
      <c r="H2537">
        <f>AVERAGE(D2338:D2537)</f>
        <v/>
      </c>
      <c r="I2537">
        <f>AVERAGE(E2338:E2537)</f>
        <v/>
      </c>
      <c r="J2537">
        <f>AVERAGE(F2338:F2537)</f>
        <v/>
      </c>
    </row>
    <row r="2538">
      <c r="C2538" s="539" t="n">
        <v>43131</v>
      </c>
      <c r="D2538" t="n">
        <v>127.6500015258789</v>
      </c>
      <c r="E2538" t="n">
        <v>103.8399963378906</v>
      </c>
      <c r="F2538" t="n">
        <v>16.1861400604248</v>
      </c>
      <c r="G2538" t="n">
        <v>73.63613128662109</v>
      </c>
      <c r="H2538">
        <f>AVERAGE(D2339:D2538)</f>
        <v/>
      </c>
      <c r="I2538">
        <f>AVERAGE(E2339:E2538)</f>
        <v/>
      </c>
      <c r="J2538">
        <f>AVERAGE(F2339:F2538)</f>
        <v/>
      </c>
    </row>
    <row r="2539">
      <c r="C2539" s="539" t="n">
        <v>43132</v>
      </c>
      <c r="D2539" t="n">
        <v>128.0700073242188</v>
      </c>
      <c r="E2539" t="n">
        <v>105.9199981689453</v>
      </c>
      <c r="F2539" t="n">
        <v>16.33227157592773</v>
      </c>
      <c r="G2539" t="n">
        <v>73.63289642333984</v>
      </c>
      <c r="H2539">
        <f>AVERAGE(D2340:D2539)</f>
        <v/>
      </c>
      <c r="I2539">
        <f>AVERAGE(E2340:E2539)</f>
        <v/>
      </c>
      <c r="J2539">
        <f>AVERAGE(F2340:F2539)</f>
        <v/>
      </c>
    </row>
    <row r="2540">
      <c r="C2540" s="539" t="n">
        <v>43133</v>
      </c>
      <c r="D2540" t="n">
        <v>126.3899993896484</v>
      </c>
      <c r="E2540" t="n">
        <v>104.3199996948242</v>
      </c>
      <c r="F2540" t="n">
        <v>16.30648231506348</v>
      </c>
      <c r="G2540" t="n">
        <v>73.64096832275391</v>
      </c>
      <c r="H2540">
        <f>AVERAGE(D2341:D2540)</f>
        <v/>
      </c>
      <c r="I2540">
        <f>AVERAGE(E2341:E2540)</f>
        <v/>
      </c>
      <c r="J2540">
        <f>AVERAGE(F2341:F2540)</f>
        <v/>
      </c>
    </row>
    <row r="2541">
      <c r="C2541" s="539" t="n">
        <v>43136</v>
      </c>
      <c r="D2541" t="n">
        <v>126.7099990844727</v>
      </c>
      <c r="E2541" t="n">
        <v>102.1600036621094</v>
      </c>
      <c r="F2541" t="n">
        <v>16.19473648071289</v>
      </c>
      <c r="G2541" t="n">
        <v>73.63289642333984</v>
      </c>
      <c r="H2541">
        <f>AVERAGE(D2342:D2541)</f>
        <v/>
      </c>
      <c r="I2541">
        <f>AVERAGE(E2342:E2541)</f>
        <v/>
      </c>
      <c r="J2541">
        <f>AVERAGE(F2342:F2541)</f>
        <v/>
      </c>
    </row>
    <row r="2542">
      <c r="C2542" s="539" t="n">
        <v>43137</v>
      </c>
      <c r="D2542" t="n">
        <v>125.379997253418</v>
      </c>
      <c r="E2542" t="n">
        <v>101.5999984741211</v>
      </c>
      <c r="F2542" t="n">
        <v>16.31507873535156</v>
      </c>
      <c r="G2542" t="n">
        <v>73.64096832275391</v>
      </c>
      <c r="H2542">
        <f>AVERAGE(D2343:D2542)</f>
        <v/>
      </c>
      <c r="I2542">
        <f>AVERAGE(E2343:E2542)</f>
        <v/>
      </c>
      <c r="J2542">
        <f>AVERAGE(F2343:F2542)</f>
        <v/>
      </c>
    </row>
    <row r="2543">
      <c r="C2543" s="539" t="n">
        <v>43138</v>
      </c>
      <c r="D2543" t="n">
        <v>124.7900009155273</v>
      </c>
      <c r="E2543" t="n">
        <v>98.95999908447266</v>
      </c>
      <c r="F2543" t="n">
        <v>16.29788780212402</v>
      </c>
      <c r="G2543" t="n">
        <v>73.64900970458984</v>
      </c>
      <c r="H2543">
        <f>AVERAGE(D2344:D2543)</f>
        <v/>
      </c>
      <c r="I2543">
        <f>AVERAGE(E2344:E2543)</f>
        <v/>
      </c>
      <c r="J2543">
        <f>AVERAGE(F2344:F2543)</f>
        <v/>
      </c>
    </row>
    <row r="2544">
      <c r="C2544" s="539" t="n">
        <v>43139</v>
      </c>
      <c r="D2544" t="n">
        <v>124.9800033569336</v>
      </c>
      <c r="E2544" t="n">
        <v>96.72000122070312</v>
      </c>
      <c r="F2544" t="n">
        <v>16.21192932128906</v>
      </c>
      <c r="G2544" t="n">
        <v>73.64096832275391</v>
      </c>
      <c r="H2544">
        <f>AVERAGE(D2345:D2544)</f>
        <v/>
      </c>
      <c r="I2544">
        <f>AVERAGE(E2345:E2544)</f>
        <v/>
      </c>
      <c r="J2544">
        <f>AVERAGE(F2345:F2544)</f>
        <v/>
      </c>
    </row>
    <row r="2545">
      <c r="C2545" s="539" t="n">
        <v>43140</v>
      </c>
      <c r="D2545" t="n">
        <v>124.7699966430664</v>
      </c>
      <c r="E2545" t="n">
        <v>94.87999725341797</v>
      </c>
      <c r="F2545" t="n">
        <v>16.17754173278809</v>
      </c>
      <c r="G2545" t="n">
        <v>73.65707397460938</v>
      </c>
      <c r="H2545">
        <f>AVERAGE(D2346:D2545)</f>
        <v/>
      </c>
      <c r="I2545">
        <f>AVERAGE(E2346:E2545)</f>
        <v/>
      </c>
      <c r="J2545">
        <f>AVERAGE(F2346:F2545)</f>
        <v/>
      </c>
    </row>
    <row r="2546">
      <c r="C2546" s="539" t="n">
        <v>43143</v>
      </c>
      <c r="D2546" t="n">
        <v>125.370002746582</v>
      </c>
      <c r="E2546" t="n">
        <v>95.12000274658203</v>
      </c>
      <c r="F2546" t="n">
        <v>16.28069686889648</v>
      </c>
      <c r="G2546" t="n">
        <v>73.65707397460938</v>
      </c>
      <c r="H2546">
        <f>AVERAGE(D2347:D2546)</f>
        <v/>
      </c>
      <c r="I2546">
        <f>AVERAGE(E2347:E2546)</f>
        <v/>
      </c>
      <c r="J2546">
        <f>AVERAGE(F2347:F2546)</f>
        <v/>
      </c>
    </row>
    <row r="2547">
      <c r="C2547" s="539" t="n">
        <v>43144</v>
      </c>
      <c r="D2547" t="n">
        <v>126.0800018310547</v>
      </c>
      <c r="E2547" t="n">
        <v>94.95999908447266</v>
      </c>
      <c r="F2547" t="n">
        <v>16.28069686889648</v>
      </c>
      <c r="G2547" t="n">
        <v>73.65707397460938</v>
      </c>
      <c r="H2547">
        <f>AVERAGE(D2348:D2547)</f>
        <v/>
      </c>
      <c r="I2547">
        <f>AVERAGE(E2348:E2547)</f>
        <v/>
      </c>
      <c r="J2547">
        <f>AVERAGE(F2348:F2547)</f>
        <v/>
      </c>
    </row>
    <row r="2548">
      <c r="C2548" s="539" t="n">
        <v>43145</v>
      </c>
      <c r="D2548" t="n">
        <v>128.2299957275391</v>
      </c>
      <c r="E2548" t="n">
        <v>97.44000244140625</v>
      </c>
      <c r="F2548" t="n">
        <v>16.34086799621582</v>
      </c>
      <c r="G2548" t="n">
        <v>73.65707397460938</v>
      </c>
      <c r="H2548">
        <f>AVERAGE(D2349:D2548)</f>
        <v/>
      </c>
      <c r="I2548">
        <f>AVERAGE(E2349:E2548)</f>
        <v/>
      </c>
      <c r="J2548">
        <f>AVERAGE(F2349:F2548)</f>
        <v/>
      </c>
    </row>
    <row r="2549">
      <c r="C2549" s="539" t="n">
        <v>43146</v>
      </c>
      <c r="D2549" t="n">
        <v>128.3800048828125</v>
      </c>
      <c r="E2549" t="n">
        <v>98.63999938964844</v>
      </c>
      <c r="F2549" t="n">
        <v>16.4354248046875</v>
      </c>
      <c r="G2549" t="n">
        <v>73.66513061523438</v>
      </c>
      <c r="H2549">
        <f>AVERAGE(D2350:D2549)</f>
        <v/>
      </c>
      <c r="I2549">
        <f>AVERAGE(E2350:E2549)</f>
        <v/>
      </c>
      <c r="J2549">
        <f>AVERAGE(F2350:F2549)</f>
        <v/>
      </c>
    </row>
    <row r="2550">
      <c r="C2550" s="539" t="n">
        <v>43147</v>
      </c>
      <c r="D2550" t="n">
        <v>127.9599990844727</v>
      </c>
      <c r="E2550" t="n">
        <v>99.04000091552734</v>
      </c>
      <c r="F2550" t="n">
        <v>16.30648231506348</v>
      </c>
      <c r="G2550" t="n">
        <v>73.67318725585938</v>
      </c>
      <c r="H2550">
        <f>AVERAGE(D2351:D2550)</f>
        <v/>
      </c>
      <c r="I2550">
        <f>AVERAGE(E2351:E2550)</f>
        <v/>
      </c>
      <c r="J2550">
        <f>AVERAGE(F2351:F2550)</f>
        <v/>
      </c>
    </row>
    <row r="2551">
      <c r="C2551" s="539" t="n">
        <v>43151</v>
      </c>
      <c r="D2551" t="n">
        <v>126.2399978637695</v>
      </c>
      <c r="E2551" t="n">
        <v>99.12000274658203</v>
      </c>
      <c r="F2551" t="n">
        <v>16.31507873535156</v>
      </c>
      <c r="G2551" t="n">
        <v>73.67318725585938</v>
      </c>
      <c r="H2551">
        <f>AVERAGE(D2352:D2551)</f>
        <v/>
      </c>
      <c r="I2551">
        <f>AVERAGE(E2352:E2551)</f>
        <v/>
      </c>
      <c r="J2551">
        <f>AVERAGE(F2352:F2551)</f>
        <v/>
      </c>
    </row>
    <row r="2552">
      <c r="C2552" s="539" t="n">
        <v>43152</v>
      </c>
      <c r="D2552" t="n">
        <v>125.6600036621094</v>
      </c>
      <c r="E2552" t="n">
        <v>98.31999969482422</v>
      </c>
      <c r="F2552" t="n">
        <v>16.27209854125977</v>
      </c>
      <c r="G2552" t="n">
        <v>73.66513061523438</v>
      </c>
      <c r="H2552">
        <f>AVERAGE(D2353:D2552)</f>
        <v/>
      </c>
      <c r="I2552">
        <f>AVERAGE(E2353:E2552)</f>
        <v/>
      </c>
      <c r="J2552">
        <f>AVERAGE(F2353:F2552)</f>
        <v/>
      </c>
    </row>
    <row r="2553">
      <c r="C2553" s="539" t="n">
        <v>43153</v>
      </c>
      <c r="D2553" t="n">
        <v>126.3000030517578</v>
      </c>
      <c r="E2553" t="n">
        <v>100.7200012207031</v>
      </c>
      <c r="F2553" t="n">
        <v>16.36665534973145</v>
      </c>
      <c r="G2553" t="n">
        <v>73.67318725585938</v>
      </c>
      <c r="H2553">
        <f>AVERAGE(D2354:D2553)</f>
        <v/>
      </c>
      <c r="I2553">
        <f>AVERAGE(E2354:E2553)</f>
        <v/>
      </c>
      <c r="J2553">
        <f>AVERAGE(F2354:F2553)</f>
        <v/>
      </c>
    </row>
    <row r="2554">
      <c r="C2554" s="539" t="n">
        <v>43154</v>
      </c>
      <c r="D2554" t="n">
        <v>126.1399993896484</v>
      </c>
      <c r="E2554" t="n">
        <v>102.1600036621094</v>
      </c>
      <c r="F2554" t="n">
        <v>16.4182300567627</v>
      </c>
      <c r="G2554" t="n">
        <v>73.68928527832031</v>
      </c>
      <c r="H2554">
        <f>AVERAGE(D2355:D2554)</f>
        <v/>
      </c>
      <c r="I2554">
        <f>AVERAGE(E2355:E2554)</f>
        <v/>
      </c>
      <c r="J2554">
        <f>AVERAGE(F2355:F2554)</f>
        <v/>
      </c>
    </row>
    <row r="2555">
      <c r="C2555" s="539" t="n">
        <v>43157</v>
      </c>
      <c r="D2555" t="n">
        <v>126.4499969482422</v>
      </c>
      <c r="E2555" t="n">
        <v>102.879997253418</v>
      </c>
      <c r="F2555" t="n">
        <v>16.45261383056641</v>
      </c>
      <c r="G2555" t="n">
        <v>73.67318725585938</v>
      </c>
      <c r="H2555">
        <f>AVERAGE(D2356:D2555)</f>
        <v/>
      </c>
      <c r="I2555">
        <f>AVERAGE(E2356:E2555)</f>
        <v/>
      </c>
      <c r="J2555">
        <f>AVERAGE(F2356:F2555)</f>
        <v/>
      </c>
    </row>
    <row r="2556">
      <c r="C2556" s="539" t="n">
        <v>43158</v>
      </c>
      <c r="D2556" t="n">
        <v>125.129997253418</v>
      </c>
      <c r="E2556" t="n">
        <v>101.1999969482422</v>
      </c>
      <c r="F2556" t="n">
        <v>16.4182300567627</v>
      </c>
      <c r="G2556" t="n">
        <v>73.68928527832031</v>
      </c>
      <c r="H2556">
        <f>AVERAGE(D2357:D2556)</f>
        <v/>
      </c>
      <c r="I2556">
        <f>AVERAGE(E2357:E2556)</f>
        <v/>
      </c>
      <c r="J2556">
        <f>AVERAGE(F2357:F2556)</f>
        <v/>
      </c>
    </row>
    <row r="2557">
      <c r="C2557" s="539" t="n">
        <v>43159</v>
      </c>
      <c r="D2557" t="n">
        <v>125</v>
      </c>
      <c r="E2557" t="n">
        <v>98.95999908447266</v>
      </c>
      <c r="F2557" t="n">
        <v>16.47840309143066</v>
      </c>
      <c r="G2557" t="n">
        <v>73.69736480712891</v>
      </c>
      <c r="H2557">
        <f>AVERAGE(D2358:D2557)</f>
        <v/>
      </c>
      <c r="I2557">
        <f>AVERAGE(E2358:E2557)</f>
        <v/>
      </c>
      <c r="J2557">
        <f>AVERAGE(F2358:F2557)</f>
        <v/>
      </c>
    </row>
    <row r="2558">
      <c r="C2558" s="539" t="n">
        <v>43160</v>
      </c>
      <c r="D2558" t="n">
        <v>124.7200012207031</v>
      </c>
      <c r="E2558" t="n">
        <v>98.80000305175781</v>
      </c>
      <c r="F2558" t="n">
        <v>16.72768402099609</v>
      </c>
      <c r="G2558" t="n">
        <v>73.70462799072266</v>
      </c>
      <c r="H2558">
        <f>AVERAGE(D2359:D2558)</f>
        <v/>
      </c>
      <c r="I2558">
        <f>AVERAGE(E2359:E2558)</f>
        <v/>
      </c>
      <c r="J2558">
        <f>AVERAGE(F2359:F2558)</f>
        <v/>
      </c>
    </row>
    <row r="2559">
      <c r="C2559" s="539" t="n">
        <v>43161</v>
      </c>
      <c r="D2559" t="n">
        <v>125.3899993896484</v>
      </c>
      <c r="E2559" t="n">
        <v>98.95999908447266</v>
      </c>
      <c r="F2559" t="n">
        <v>16.66751289367676</v>
      </c>
      <c r="G2559" t="n">
        <v>73.71263122558594</v>
      </c>
      <c r="H2559">
        <f>AVERAGE(D2360:D2559)</f>
        <v/>
      </c>
      <c r="I2559">
        <f>AVERAGE(E2360:E2559)</f>
        <v/>
      </c>
      <c r="J2559">
        <f>AVERAGE(F2360:F2559)</f>
        <v/>
      </c>
    </row>
    <row r="2560">
      <c r="C2560" s="539" t="n">
        <v>43164</v>
      </c>
      <c r="D2560" t="n">
        <v>125.1800003051758</v>
      </c>
      <c r="E2560" t="n">
        <v>100.7200012207031</v>
      </c>
      <c r="F2560" t="n">
        <v>16.87381553649902</v>
      </c>
      <c r="G2560" t="n">
        <v>73.71263122558594</v>
      </c>
      <c r="H2560">
        <f>AVERAGE(D2361:D2560)</f>
        <v/>
      </c>
      <c r="I2560">
        <f>AVERAGE(E2361:E2560)</f>
        <v/>
      </c>
      <c r="J2560">
        <f>AVERAGE(F2361:F2560)</f>
        <v/>
      </c>
    </row>
    <row r="2561">
      <c r="C2561" s="539" t="n">
        <v>43165</v>
      </c>
      <c r="D2561" t="n">
        <v>126.5299987792969</v>
      </c>
      <c r="E2561" t="n">
        <v>100.5599975585938</v>
      </c>
      <c r="F2561" t="n">
        <v>16.83943367004395</v>
      </c>
      <c r="G2561" t="n">
        <v>73.71263122558594</v>
      </c>
      <c r="H2561">
        <f>AVERAGE(D2362:D2561)</f>
        <v/>
      </c>
      <c r="I2561">
        <f>AVERAGE(E2362:E2561)</f>
        <v/>
      </c>
      <c r="J2561">
        <f>AVERAGE(F2362:F2561)</f>
        <v/>
      </c>
    </row>
    <row r="2562">
      <c r="C2562" s="539" t="n">
        <v>43166</v>
      </c>
      <c r="D2562" t="n">
        <v>125.7200012207031</v>
      </c>
      <c r="E2562" t="n">
        <v>98.80000305175781</v>
      </c>
      <c r="F2562" t="n">
        <v>16.69330215454102</v>
      </c>
      <c r="G2562" t="n">
        <v>73.71263122558594</v>
      </c>
      <c r="H2562">
        <f>AVERAGE(D2363:D2562)</f>
        <v/>
      </c>
      <c r="I2562">
        <f>AVERAGE(E2363:E2562)</f>
        <v/>
      </c>
      <c r="J2562">
        <f>AVERAGE(F2363:F2562)</f>
        <v/>
      </c>
    </row>
    <row r="2563">
      <c r="C2563" s="539" t="n">
        <v>43167</v>
      </c>
      <c r="D2563" t="n">
        <v>125.4199981689453</v>
      </c>
      <c r="E2563" t="n">
        <v>97.19999694824219</v>
      </c>
      <c r="F2563" t="n">
        <v>16.74487495422363</v>
      </c>
      <c r="G2563" t="n">
        <v>73.70462799072266</v>
      </c>
      <c r="H2563">
        <f>AVERAGE(D2364:D2563)</f>
        <v/>
      </c>
      <c r="I2563">
        <f>AVERAGE(E2364:E2563)</f>
        <v/>
      </c>
      <c r="J2563">
        <f>AVERAGE(F2364:F2563)</f>
        <v/>
      </c>
    </row>
    <row r="2564">
      <c r="C2564" s="539" t="n">
        <v>43168</v>
      </c>
      <c r="D2564" t="n">
        <v>125.5400009155273</v>
      </c>
      <c r="E2564" t="n">
        <v>99.76000213623047</v>
      </c>
      <c r="F2564" t="n">
        <v>16.63312911987305</v>
      </c>
      <c r="G2564" t="n">
        <v>73.72071838378906</v>
      </c>
      <c r="H2564">
        <f>AVERAGE(D2365:D2564)</f>
        <v/>
      </c>
      <c r="I2564">
        <f>AVERAGE(E2365:E2564)</f>
        <v/>
      </c>
      <c r="J2564">
        <f>AVERAGE(F2365:F2564)</f>
        <v/>
      </c>
    </row>
    <row r="2565">
      <c r="C2565" s="539" t="n">
        <v>43171</v>
      </c>
      <c r="D2565" t="n">
        <v>125.5400009155273</v>
      </c>
      <c r="E2565" t="n">
        <v>98.95999908447266</v>
      </c>
      <c r="F2565" t="n">
        <v>16.65891647338867</v>
      </c>
      <c r="G2565" t="n">
        <v>73.72875213623047</v>
      </c>
      <c r="H2565">
        <f>AVERAGE(D2366:D2565)</f>
        <v/>
      </c>
      <c r="I2565">
        <f>AVERAGE(E2366:E2565)</f>
        <v/>
      </c>
      <c r="J2565">
        <f>AVERAGE(F2366:F2565)</f>
        <v/>
      </c>
    </row>
    <row r="2566">
      <c r="C2566" s="539" t="n">
        <v>43172</v>
      </c>
      <c r="D2566" t="n">
        <v>125.7799987792969</v>
      </c>
      <c r="E2566" t="n">
        <v>97.91999816894531</v>
      </c>
      <c r="F2566" t="n">
        <v>16.66751289367676</v>
      </c>
      <c r="G2566" t="n">
        <v>73.72875213623047</v>
      </c>
      <c r="H2566">
        <f>AVERAGE(D2367:D2566)</f>
        <v/>
      </c>
      <c r="I2566">
        <f>AVERAGE(E2367:E2566)</f>
        <v/>
      </c>
      <c r="J2566">
        <f>AVERAGE(F2367:F2566)</f>
        <v/>
      </c>
    </row>
    <row r="2567">
      <c r="C2567" s="539" t="n">
        <v>43173</v>
      </c>
      <c r="D2567" t="n">
        <v>125.6999969482422</v>
      </c>
      <c r="E2567" t="n">
        <v>98.23999786376953</v>
      </c>
      <c r="F2567" t="n">
        <v>16.67610740661621</v>
      </c>
      <c r="G2567" t="n">
        <v>73.72875213623047</v>
      </c>
      <c r="H2567">
        <f>AVERAGE(D2368:D2567)</f>
        <v/>
      </c>
      <c r="I2567">
        <f>AVERAGE(E2368:E2567)</f>
        <v/>
      </c>
      <c r="J2567">
        <f>AVERAGE(F2368:F2567)</f>
        <v/>
      </c>
    </row>
    <row r="2568">
      <c r="C2568" s="539" t="n">
        <v>43174</v>
      </c>
      <c r="D2568" t="n">
        <v>124.9000015258789</v>
      </c>
      <c r="E2568" t="n">
        <v>98.72000122070312</v>
      </c>
      <c r="F2568" t="n">
        <v>16.57295608520508</v>
      </c>
      <c r="G2568" t="n">
        <v>73.72071838378906</v>
      </c>
      <c r="H2568">
        <f>AVERAGE(D2369:D2568)</f>
        <v/>
      </c>
      <c r="I2568">
        <f>AVERAGE(E2369:E2568)</f>
        <v/>
      </c>
      <c r="J2568">
        <f>AVERAGE(F2369:F2568)</f>
        <v/>
      </c>
    </row>
    <row r="2569">
      <c r="C2569" s="539" t="n">
        <v>43175</v>
      </c>
      <c r="D2569" t="n">
        <v>124.5999984741211</v>
      </c>
      <c r="E2569" t="n">
        <v>100.4000015258789</v>
      </c>
      <c r="F2569" t="n">
        <v>16.4955940246582</v>
      </c>
      <c r="G2569" t="n">
        <v>73.73685455322266</v>
      </c>
      <c r="H2569">
        <f>AVERAGE(D2370:D2569)</f>
        <v/>
      </c>
      <c r="I2569">
        <f>AVERAGE(E2370:E2569)</f>
        <v/>
      </c>
      <c r="J2569">
        <f>AVERAGE(F2370:F2569)</f>
        <v/>
      </c>
    </row>
    <row r="2570">
      <c r="C2570" s="539" t="n">
        <v>43178</v>
      </c>
      <c r="D2570" t="n">
        <v>124.870002746582</v>
      </c>
      <c r="E2570" t="n">
        <v>100.4000015258789</v>
      </c>
      <c r="F2570" t="n">
        <v>16.19473648071289</v>
      </c>
      <c r="G2570" t="n">
        <v>73.73685455322266</v>
      </c>
      <c r="H2570">
        <f>AVERAGE(D2371:D2570)</f>
        <v/>
      </c>
      <c r="I2570">
        <f>AVERAGE(E2371:E2570)</f>
        <v/>
      </c>
      <c r="J2570">
        <f>AVERAGE(F2371:F2570)</f>
        <v/>
      </c>
    </row>
    <row r="2571">
      <c r="C2571" s="539" t="n">
        <v>43179</v>
      </c>
      <c r="D2571" t="n">
        <v>124.3099975585938</v>
      </c>
      <c r="E2571" t="n">
        <v>102.4800033569336</v>
      </c>
      <c r="F2571" t="n">
        <v>16.16035270690918</v>
      </c>
      <c r="G2571" t="n">
        <v>73.72875213623047</v>
      </c>
      <c r="H2571">
        <f>AVERAGE(D2372:D2571)</f>
        <v/>
      </c>
      <c r="I2571">
        <f>AVERAGE(E2372:E2571)</f>
        <v/>
      </c>
      <c r="J2571">
        <f>AVERAGE(F2372:F2571)</f>
        <v/>
      </c>
    </row>
    <row r="2572">
      <c r="C2572" s="539" t="n">
        <v>43180</v>
      </c>
      <c r="D2572" t="n">
        <v>126.4800033569336</v>
      </c>
      <c r="E2572" t="n">
        <v>105.4400024414062</v>
      </c>
      <c r="F2572" t="n">
        <v>16.20333480834961</v>
      </c>
      <c r="G2572" t="n">
        <v>73.74490356445312</v>
      </c>
      <c r="H2572">
        <f>AVERAGE(D2373:D2572)</f>
        <v/>
      </c>
      <c r="I2572">
        <f>AVERAGE(E2373:E2572)</f>
        <v/>
      </c>
      <c r="J2572">
        <f>AVERAGE(F2373:F2572)</f>
        <v/>
      </c>
    </row>
    <row r="2573">
      <c r="C2573" s="539" t="n">
        <v>43181</v>
      </c>
      <c r="D2573" t="n">
        <v>125.9800033569336</v>
      </c>
      <c r="E2573" t="n">
        <v>103.5999984741211</v>
      </c>
      <c r="F2573" t="n">
        <v>16.20333480834961</v>
      </c>
      <c r="G2573" t="n">
        <v>73.75295257568359</v>
      </c>
      <c r="H2573">
        <f>AVERAGE(D2374:D2573)</f>
        <v/>
      </c>
      <c r="I2573">
        <f>AVERAGE(E2374:E2573)</f>
        <v/>
      </c>
      <c r="J2573">
        <f>AVERAGE(F2374:F2573)</f>
        <v/>
      </c>
    </row>
    <row r="2574">
      <c r="C2574" s="539" t="n">
        <v>43182</v>
      </c>
      <c r="D2574" t="n">
        <v>127.6100006103516</v>
      </c>
      <c r="E2574" t="n">
        <v>106.2399978637695</v>
      </c>
      <c r="F2574" t="n">
        <v>16.22052574157715</v>
      </c>
      <c r="G2574" t="n">
        <v>73.76103210449219</v>
      </c>
      <c r="H2574">
        <f>AVERAGE(D2375:D2574)</f>
        <v/>
      </c>
      <c r="I2574">
        <f>AVERAGE(E2375:E2574)</f>
        <v/>
      </c>
      <c r="J2574">
        <f>AVERAGE(F2375:F2574)</f>
        <v/>
      </c>
    </row>
    <row r="2575">
      <c r="C2575" s="539" t="n">
        <v>43185</v>
      </c>
      <c r="D2575" t="n">
        <v>128.2799987792969</v>
      </c>
      <c r="E2575" t="n">
        <v>105.6800003051758</v>
      </c>
      <c r="F2575" t="n">
        <v>16.16894912719727</v>
      </c>
      <c r="G2575" t="n">
        <v>73.75295257568359</v>
      </c>
      <c r="H2575">
        <f>AVERAGE(D2376:D2575)</f>
        <v/>
      </c>
      <c r="I2575">
        <f>AVERAGE(E2376:E2575)</f>
        <v/>
      </c>
      <c r="J2575">
        <f>AVERAGE(F2376:F2575)</f>
        <v/>
      </c>
    </row>
    <row r="2576">
      <c r="C2576" s="539" t="n">
        <v>43186</v>
      </c>
      <c r="D2576" t="n">
        <v>127.4899978637695</v>
      </c>
      <c r="E2576" t="n">
        <v>104.6399993896484</v>
      </c>
      <c r="F2576" t="n">
        <v>16.07439422607422</v>
      </c>
      <c r="G2576" t="n">
        <v>73.76908874511719</v>
      </c>
      <c r="H2576">
        <f>AVERAGE(D2377:D2576)</f>
        <v/>
      </c>
      <c r="I2576">
        <f>AVERAGE(E2377:E2576)</f>
        <v/>
      </c>
      <c r="J2576">
        <f>AVERAGE(F2377:F2576)</f>
        <v/>
      </c>
    </row>
    <row r="2577">
      <c r="C2577" s="539" t="n">
        <v>43187</v>
      </c>
      <c r="D2577" t="n">
        <v>125.7300033569336</v>
      </c>
      <c r="E2577" t="n">
        <v>104.3199996948242</v>
      </c>
      <c r="F2577" t="n">
        <v>16.06579780578613</v>
      </c>
      <c r="G2577" t="n">
        <v>73.77715301513672</v>
      </c>
      <c r="H2577">
        <f>AVERAGE(D2378:D2577)</f>
        <v/>
      </c>
      <c r="I2577">
        <f>AVERAGE(E2378:E2577)</f>
        <v/>
      </c>
      <c r="J2577">
        <f>AVERAGE(F2378:F2577)</f>
        <v/>
      </c>
    </row>
    <row r="2578">
      <c r="C2578" s="539" t="n">
        <v>43188</v>
      </c>
      <c r="D2578" t="n">
        <v>125.7900009155273</v>
      </c>
      <c r="E2578" t="n">
        <v>104.7200012207031</v>
      </c>
      <c r="F2578" t="n">
        <v>16.16894912719727</v>
      </c>
      <c r="G2578" t="n">
        <v>73.79327392578125</v>
      </c>
      <c r="H2578">
        <f>AVERAGE(D2379:D2578)</f>
        <v/>
      </c>
      <c r="I2578">
        <f>AVERAGE(E2379:E2578)</f>
        <v/>
      </c>
      <c r="J2578">
        <f>AVERAGE(F2379:F2578)</f>
        <v/>
      </c>
    </row>
    <row r="2579">
      <c r="C2579" s="539" t="n">
        <v>43192</v>
      </c>
      <c r="D2579" t="n">
        <v>127.2600021362305</v>
      </c>
      <c r="E2579" t="n">
        <v>101.9199981689453</v>
      </c>
      <c r="F2579" t="n">
        <v>16.08298873901367</v>
      </c>
      <c r="G2579" t="n">
        <v>73.78924560546875</v>
      </c>
      <c r="H2579">
        <f>AVERAGE(D2380:D2579)</f>
        <v/>
      </c>
      <c r="I2579">
        <f>AVERAGE(E2380:E2579)</f>
        <v/>
      </c>
      <c r="J2579">
        <f>AVERAGE(F2380:F2579)</f>
        <v/>
      </c>
    </row>
    <row r="2580">
      <c r="C2580" s="539" t="n">
        <v>43193</v>
      </c>
      <c r="D2580" t="n">
        <v>126.3000030517578</v>
      </c>
      <c r="E2580" t="n">
        <v>102.4800033569336</v>
      </c>
      <c r="F2580" t="n">
        <v>15.98843574523926</v>
      </c>
      <c r="G2580" t="n">
        <v>73.78115081787109</v>
      </c>
      <c r="H2580">
        <f>AVERAGE(D2381:D2580)</f>
        <v/>
      </c>
      <c r="I2580">
        <f>AVERAGE(E2381:E2580)</f>
        <v/>
      </c>
      <c r="J2580">
        <f>AVERAGE(F2381:F2580)</f>
        <v/>
      </c>
    </row>
    <row r="2581">
      <c r="C2581" s="539" t="n">
        <v>43194</v>
      </c>
      <c r="D2581" t="n">
        <v>126.4499969482422</v>
      </c>
      <c r="E2581" t="n">
        <v>102.5599975585938</v>
      </c>
      <c r="F2581" t="n">
        <v>15.9454517364502</v>
      </c>
      <c r="G2581" t="n">
        <v>73.79727172851562</v>
      </c>
      <c r="H2581">
        <f>AVERAGE(D2382:D2581)</f>
        <v/>
      </c>
      <c r="I2581">
        <f>AVERAGE(E2382:E2581)</f>
        <v/>
      </c>
      <c r="J2581">
        <f>AVERAGE(F2382:F2581)</f>
        <v/>
      </c>
    </row>
    <row r="2582">
      <c r="C2582" s="539" t="n">
        <v>43195</v>
      </c>
      <c r="D2582" t="n">
        <v>125.8000030517578</v>
      </c>
      <c r="E2582" t="n">
        <v>102.6399993896484</v>
      </c>
      <c r="F2582" t="n">
        <v>16.17754173278809</v>
      </c>
      <c r="G2582" t="n">
        <v>73.80536651611328</v>
      </c>
      <c r="H2582">
        <f>AVERAGE(D2383:D2582)</f>
        <v/>
      </c>
      <c r="I2582">
        <f>AVERAGE(E2383:E2582)</f>
        <v/>
      </c>
      <c r="J2582">
        <f>AVERAGE(F2383:F2582)</f>
        <v/>
      </c>
    </row>
    <row r="2583">
      <c r="C2583" s="539" t="n">
        <v>43196</v>
      </c>
      <c r="D2583" t="n">
        <v>126.3899993896484</v>
      </c>
      <c r="E2583" t="n">
        <v>100.0800018310547</v>
      </c>
      <c r="F2583" t="n">
        <v>16.09158325195312</v>
      </c>
      <c r="G2583" t="n">
        <v>73.80536651611328</v>
      </c>
      <c r="H2583">
        <f>AVERAGE(D2384:D2583)</f>
        <v/>
      </c>
      <c r="I2583">
        <f>AVERAGE(E2384:E2583)</f>
        <v/>
      </c>
      <c r="J2583">
        <f>AVERAGE(F2384:F2583)</f>
        <v/>
      </c>
    </row>
    <row r="2584">
      <c r="C2584" s="539" t="n">
        <v>43199</v>
      </c>
      <c r="D2584" t="n">
        <v>126.8199996948242</v>
      </c>
      <c r="E2584" t="n">
        <v>102.1600036621094</v>
      </c>
      <c r="F2584" t="n">
        <v>16.32367324829102</v>
      </c>
      <c r="G2584" t="n">
        <v>73.81340026855469</v>
      </c>
      <c r="H2584">
        <f>AVERAGE(D2385:D2584)</f>
        <v/>
      </c>
      <c r="I2584">
        <f>AVERAGE(E2385:E2584)</f>
        <v/>
      </c>
      <c r="J2584">
        <f>AVERAGE(F2385:F2584)</f>
        <v/>
      </c>
    </row>
    <row r="2585">
      <c r="C2585" s="539" t="n">
        <v>43200</v>
      </c>
      <c r="D2585" t="n">
        <v>127.120002746582</v>
      </c>
      <c r="E2585" t="n">
        <v>106</v>
      </c>
      <c r="F2585" t="n">
        <v>16.23771476745605</v>
      </c>
      <c r="G2585" t="n">
        <v>73.80536651611328</v>
      </c>
      <c r="H2585">
        <f>AVERAGE(D2386:D2585)</f>
        <v/>
      </c>
      <c r="I2585">
        <f>AVERAGE(E2386:E2585)</f>
        <v/>
      </c>
      <c r="J2585">
        <f>AVERAGE(F2386:F2585)</f>
        <v/>
      </c>
    </row>
    <row r="2586">
      <c r="C2586" s="539" t="n">
        <v>43201</v>
      </c>
      <c r="D2586" t="n">
        <v>128.1100006103516</v>
      </c>
      <c r="E2586" t="n">
        <v>107.5999984741211</v>
      </c>
      <c r="F2586" t="n">
        <v>16.24631118774414</v>
      </c>
      <c r="G2586" t="n">
        <v>73.82152557373047</v>
      </c>
      <c r="H2586">
        <f>AVERAGE(D2387:D2586)</f>
        <v/>
      </c>
      <c r="I2586">
        <f>AVERAGE(E2387:E2586)</f>
        <v/>
      </c>
      <c r="J2586">
        <f>AVERAGE(F2387:F2586)</f>
        <v/>
      </c>
    </row>
    <row r="2587">
      <c r="C2587" s="539" t="n">
        <v>43202</v>
      </c>
      <c r="D2587" t="n">
        <v>126.620002746582</v>
      </c>
      <c r="E2587" t="n">
        <v>108.1600036621094</v>
      </c>
      <c r="F2587" t="n">
        <v>16.30648231506348</v>
      </c>
      <c r="G2587" t="n">
        <v>73.82152557373047</v>
      </c>
      <c r="H2587">
        <f>AVERAGE(D2388:D2587)</f>
        <v/>
      </c>
      <c r="I2587">
        <f>AVERAGE(E2388:E2587)</f>
        <v/>
      </c>
      <c r="J2587">
        <f>AVERAGE(F2388:F2587)</f>
        <v/>
      </c>
    </row>
    <row r="2588">
      <c r="C2588" s="539" t="n">
        <v>43203</v>
      </c>
      <c r="D2588" t="n">
        <v>127.4499969482422</v>
      </c>
      <c r="E2588" t="n">
        <v>108.4000015258789</v>
      </c>
      <c r="F2588" t="n">
        <v>16.25490760803223</v>
      </c>
      <c r="G2588" t="n">
        <v>73.82152557373047</v>
      </c>
      <c r="H2588">
        <f>AVERAGE(D2389:D2588)</f>
        <v/>
      </c>
      <c r="I2588">
        <f>AVERAGE(E2389:E2588)</f>
        <v/>
      </c>
      <c r="J2588">
        <f>AVERAGE(F2389:F2588)</f>
        <v/>
      </c>
    </row>
    <row r="2589">
      <c r="C2589" s="539" t="n">
        <v>43206</v>
      </c>
      <c r="D2589" t="n">
        <v>127.629997253418</v>
      </c>
      <c r="E2589" t="n">
        <v>107.0400009155273</v>
      </c>
      <c r="F2589" t="n">
        <v>16.20333480834961</v>
      </c>
      <c r="G2589" t="n">
        <v>73.83763122558594</v>
      </c>
      <c r="H2589">
        <f>AVERAGE(D2390:D2589)</f>
        <v/>
      </c>
      <c r="I2589">
        <f>AVERAGE(E2390:E2589)</f>
        <v/>
      </c>
      <c r="J2589">
        <f>AVERAGE(F2390:F2589)</f>
        <v/>
      </c>
    </row>
    <row r="2590">
      <c r="C2590" s="539" t="n">
        <v>43207</v>
      </c>
      <c r="D2590" t="n">
        <v>127.75</v>
      </c>
      <c r="E2590" t="n">
        <v>107.2799987792969</v>
      </c>
      <c r="F2590" t="n">
        <v>16.19473648071289</v>
      </c>
      <c r="G2590" t="n">
        <v>73.83763122558594</v>
      </c>
      <c r="H2590">
        <f>AVERAGE(D2391:D2590)</f>
        <v/>
      </c>
      <c r="I2590">
        <f>AVERAGE(E2391:E2590)</f>
        <v/>
      </c>
      <c r="J2590">
        <f>AVERAGE(F2391:F2590)</f>
        <v/>
      </c>
    </row>
    <row r="2591">
      <c r="C2591" s="539" t="n">
        <v>43208</v>
      </c>
      <c r="D2591" t="n">
        <v>127.8499984741211</v>
      </c>
      <c r="E2591" t="n">
        <v>111.0400009155273</v>
      </c>
      <c r="F2591" t="n">
        <v>16.3752498626709</v>
      </c>
      <c r="G2591" t="n">
        <v>73.82958221435547</v>
      </c>
      <c r="H2591">
        <f>AVERAGE(D2392:D2591)</f>
        <v/>
      </c>
      <c r="I2591">
        <f>AVERAGE(E2392:E2591)</f>
        <v/>
      </c>
      <c r="J2591">
        <f>AVERAGE(F2392:F2591)</f>
        <v/>
      </c>
    </row>
    <row r="2592">
      <c r="C2592" s="539" t="n">
        <v>43209</v>
      </c>
      <c r="D2592" t="n">
        <v>127.5999984741211</v>
      </c>
      <c r="E2592" t="n">
        <v>110.1600036621094</v>
      </c>
      <c r="F2592" t="n">
        <v>16.33227157592773</v>
      </c>
      <c r="G2592" t="n">
        <v>73.84571075439453</v>
      </c>
      <c r="H2592">
        <f>AVERAGE(D2393:D2592)</f>
        <v/>
      </c>
      <c r="I2592">
        <f>AVERAGE(E2393:E2592)</f>
        <v/>
      </c>
      <c r="J2592">
        <f>AVERAGE(F2393:F2592)</f>
        <v/>
      </c>
    </row>
    <row r="2593">
      <c r="C2593" s="539" t="n">
        <v>43210</v>
      </c>
      <c r="D2593" t="n">
        <v>126.629997253418</v>
      </c>
      <c r="E2593" t="n">
        <v>110</v>
      </c>
      <c r="F2593" t="n">
        <v>16.20333480834961</v>
      </c>
      <c r="G2593" t="n">
        <v>73.84571075439453</v>
      </c>
      <c r="H2593">
        <f>AVERAGE(D2394:D2593)</f>
        <v/>
      </c>
      <c r="I2593">
        <f>AVERAGE(E2394:E2593)</f>
        <v/>
      </c>
      <c r="J2593">
        <f>AVERAGE(F2394:F2593)</f>
        <v/>
      </c>
    </row>
    <row r="2594">
      <c r="C2594" s="539" t="n">
        <v>43213</v>
      </c>
      <c r="D2594" t="n">
        <v>125.620002746582</v>
      </c>
      <c r="E2594" t="n">
        <v>111.3600006103516</v>
      </c>
      <c r="F2594" t="n">
        <v>16.15175819396973</v>
      </c>
      <c r="G2594" t="n">
        <v>73.84571075439453</v>
      </c>
      <c r="H2594">
        <f>AVERAGE(D2395:D2594)</f>
        <v/>
      </c>
      <c r="I2594">
        <f>AVERAGE(E2395:E2594)</f>
        <v/>
      </c>
      <c r="J2594">
        <f>AVERAGE(F2395:F2594)</f>
        <v/>
      </c>
    </row>
    <row r="2595">
      <c r="C2595" s="539" t="n">
        <v>43214</v>
      </c>
      <c r="D2595" t="n">
        <v>126.2300033569336</v>
      </c>
      <c r="E2595" t="n">
        <v>109.4400024414062</v>
      </c>
      <c r="F2595" t="n">
        <v>16.27209854125977</v>
      </c>
      <c r="G2595" t="n">
        <v>73.85379791259766</v>
      </c>
      <c r="H2595">
        <f>AVERAGE(D2396:D2595)</f>
        <v/>
      </c>
      <c r="I2595">
        <f>AVERAGE(E2396:E2595)</f>
        <v/>
      </c>
      <c r="J2595">
        <f>AVERAGE(F2396:F2595)</f>
        <v/>
      </c>
    </row>
    <row r="2596">
      <c r="C2596" s="539" t="n">
        <v>43215</v>
      </c>
      <c r="D2596" t="n">
        <v>125.4100036621094</v>
      </c>
      <c r="E2596" t="n">
        <v>109.7600021362305</v>
      </c>
      <c r="F2596" t="n">
        <v>16.38384628295898</v>
      </c>
      <c r="G2596" t="n">
        <v>73.86186981201172</v>
      </c>
      <c r="H2596">
        <f>AVERAGE(D2397:D2596)</f>
        <v/>
      </c>
      <c r="I2596">
        <f>AVERAGE(E2397:E2596)</f>
        <v/>
      </c>
      <c r="J2596">
        <f>AVERAGE(F2397:F2596)</f>
        <v/>
      </c>
    </row>
    <row r="2597">
      <c r="C2597" s="539" t="n">
        <v>43216</v>
      </c>
      <c r="D2597" t="n">
        <v>124.9700012207031</v>
      </c>
      <c r="E2597" t="n">
        <v>110.1600036621094</v>
      </c>
      <c r="F2597" t="n">
        <v>16.30648231506348</v>
      </c>
      <c r="G2597" t="n">
        <v>73.86989593505859</v>
      </c>
      <c r="H2597">
        <f>AVERAGE(D2398:D2597)</f>
        <v/>
      </c>
      <c r="I2597">
        <f>AVERAGE(E2398:E2597)</f>
        <v/>
      </c>
      <c r="J2597">
        <f>AVERAGE(F2398:F2597)</f>
        <v/>
      </c>
    </row>
    <row r="2598">
      <c r="C2598" s="539" t="n">
        <v>43217</v>
      </c>
      <c r="D2598" t="n">
        <v>125.5</v>
      </c>
      <c r="E2598" t="n">
        <v>109.8399963378906</v>
      </c>
      <c r="F2598" t="n">
        <v>16.52138137817383</v>
      </c>
      <c r="G2598" t="n">
        <v>73.87798309326172</v>
      </c>
      <c r="H2598">
        <f>AVERAGE(D2399:D2598)</f>
        <v/>
      </c>
      <c r="I2598">
        <f>AVERAGE(E2399:E2598)</f>
        <v/>
      </c>
      <c r="J2598">
        <f>AVERAGE(F2399:F2598)</f>
        <v/>
      </c>
    </row>
    <row r="2599">
      <c r="C2599" s="539" t="n">
        <v>43220</v>
      </c>
      <c r="D2599" t="n">
        <v>124.5899963378906</v>
      </c>
      <c r="E2599" t="n">
        <v>110.4000015258789</v>
      </c>
      <c r="F2599" t="n">
        <v>16.54717063903809</v>
      </c>
      <c r="G2599" t="n">
        <v>73.86989593505859</v>
      </c>
      <c r="H2599">
        <f>AVERAGE(D2400:D2599)</f>
        <v/>
      </c>
      <c r="I2599">
        <f>AVERAGE(E2400:E2599)</f>
        <v/>
      </c>
      <c r="J2599">
        <f>AVERAGE(F2400:F2599)</f>
        <v/>
      </c>
    </row>
    <row r="2600">
      <c r="C2600" s="539" t="n">
        <v>43221</v>
      </c>
      <c r="D2600" t="n">
        <v>123.7099990844727</v>
      </c>
      <c r="E2600" t="n">
        <v>108.879997253418</v>
      </c>
      <c r="F2600" t="n">
        <v>16.74487495422363</v>
      </c>
      <c r="G2600" t="n">
        <v>73.87557983398438</v>
      </c>
      <c r="H2600">
        <f>AVERAGE(D2401:D2600)</f>
        <v/>
      </c>
      <c r="I2600">
        <f>AVERAGE(E2401:E2600)</f>
        <v/>
      </c>
      <c r="J2600">
        <f>AVERAGE(F2401:F2600)</f>
        <v/>
      </c>
    </row>
    <row r="2601">
      <c r="C2601" s="539" t="n">
        <v>43222</v>
      </c>
      <c r="D2601" t="n">
        <v>123.6500015258789</v>
      </c>
      <c r="E2601" t="n">
        <v>109.3600006103516</v>
      </c>
      <c r="F2601" t="n">
        <v>16.60734176635742</v>
      </c>
      <c r="G2601" t="n">
        <v>73.88360595703125</v>
      </c>
      <c r="H2601">
        <f>AVERAGE(D2402:D2601)</f>
        <v/>
      </c>
      <c r="I2601">
        <f>AVERAGE(E2402:E2601)</f>
        <v/>
      </c>
      <c r="J2601">
        <f>AVERAGE(F2402:F2601)</f>
        <v/>
      </c>
    </row>
    <row r="2602">
      <c r="C2602" s="539" t="n">
        <v>43223</v>
      </c>
      <c r="D2602" t="n">
        <v>124.2799987792969</v>
      </c>
      <c r="E2602" t="n">
        <v>110.5599975585938</v>
      </c>
      <c r="F2602" t="n">
        <v>16.79645156860352</v>
      </c>
      <c r="G2602" t="n">
        <v>73.88360595703125</v>
      </c>
      <c r="H2602">
        <f>AVERAGE(D2403:D2602)</f>
        <v/>
      </c>
      <c r="I2602">
        <f>AVERAGE(E2403:E2602)</f>
        <v/>
      </c>
      <c r="J2602">
        <f>AVERAGE(F2403:F2602)</f>
        <v/>
      </c>
    </row>
    <row r="2603">
      <c r="C2603" s="539" t="n">
        <v>43224</v>
      </c>
      <c r="D2603" t="n">
        <v>124.5400009155273</v>
      </c>
      <c r="E2603" t="n">
        <v>112.7200012207031</v>
      </c>
      <c r="F2603" t="n">
        <v>16.60734176635742</v>
      </c>
      <c r="G2603" t="n">
        <v>73.8997802734375</v>
      </c>
      <c r="H2603">
        <f>AVERAGE(D2404:D2603)</f>
        <v/>
      </c>
      <c r="I2603">
        <f>AVERAGE(E2404:E2603)</f>
        <v/>
      </c>
      <c r="J2603">
        <f>AVERAGE(F2404:F2603)</f>
        <v/>
      </c>
    </row>
    <row r="2604">
      <c r="C2604" s="539" t="n">
        <v>43227</v>
      </c>
      <c r="D2604" t="n">
        <v>124.5699996948242</v>
      </c>
      <c r="E2604" t="n">
        <v>112.8000030517578</v>
      </c>
      <c r="F2604" t="n">
        <v>16.46121025085449</v>
      </c>
      <c r="G2604" t="n">
        <v>73.8997802734375</v>
      </c>
      <c r="H2604">
        <f>AVERAGE(D2405:D2604)</f>
        <v/>
      </c>
      <c r="I2604">
        <f>AVERAGE(E2405:E2604)</f>
        <v/>
      </c>
      <c r="J2604">
        <f>AVERAGE(F2405:F2604)</f>
        <v/>
      </c>
    </row>
    <row r="2605">
      <c r="C2605" s="539" t="n">
        <v>43228</v>
      </c>
      <c r="D2605" t="n">
        <v>124.5899963378906</v>
      </c>
      <c r="E2605" t="n">
        <v>112.4800033569336</v>
      </c>
      <c r="F2605" t="n">
        <v>16.4955940246582</v>
      </c>
      <c r="G2605" t="n">
        <v>73.90790557861328</v>
      </c>
      <c r="H2605">
        <f>AVERAGE(D2406:D2605)</f>
        <v/>
      </c>
      <c r="I2605">
        <f>AVERAGE(E2406:E2605)</f>
        <v/>
      </c>
      <c r="J2605">
        <f>AVERAGE(F2406:F2605)</f>
        <v/>
      </c>
    </row>
    <row r="2606">
      <c r="C2606" s="539" t="n">
        <v>43229</v>
      </c>
      <c r="D2606" t="n">
        <v>124.3300018310547</v>
      </c>
      <c r="E2606" t="n">
        <v>114.9599990844727</v>
      </c>
      <c r="F2606" t="n">
        <v>16.36665534973145</v>
      </c>
      <c r="G2606" t="n">
        <v>73.90790557861328</v>
      </c>
      <c r="H2606">
        <f>AVERAGE(D2407:D2606)</f>
        <v/>
      </c>
      <c r="I2606">
        <f>AVERAGE(E2407:E2606)</f>
        <v/>
      </c>
      <c r="J2606">
        <f>AVERAGE(F2407:F2606)</f>
        <v/>
      </c>
    </row>
    <row r="2607">
      <c r="C2607" s="539" t="n">
        <v>43230</v>
      </c>
      <c r="D2607" t="n">
        <v>125.1800003051758</v>
      </c>
      <c r="E2607" t="n">
        <v>115.2799987792969</v>
      </c>
      <c r="F2607" t="n">
        <v>16.3752498626709</v>
      </c>
      <c r="G2607" t="n">
        <v>73.90790557861328</v>
      </c>
      <c r="H2607">
        <f>AVERAGE(D2408:D2607)</f>
        <v/>
      </c>
      <c r="I2607">
        <f>AVERAGE(E2408:E2607)</f>
        <v/>
      </c>
      <c r="J2607">
        <f>AVERAGE(F2408:F2607)</f>
        <v/>
      </c>
    </row>
    <row r="2608">
      <c r="C2608" s="539" t="n">
        <v>43231</v>
      </c>
      <c r="D2608" t="n">
        <v>125</v>
      </c>
      <c r="E2608" t="n">
        <v>114</v>
      </c>
      <c r="F2608" t="n">
        <v>16.28929328918457</v>
      </c>
      <c r="G2608" t="n">
        <v>73.90790557861328</v>
      </c>
      <c r="H2608">
        <f>AVERAGE(D2409:D2608)</f>
        <v/>
      </c>
      <c r="I2608">
        <f>AVERAGE(E2409:E2608)</f>
        <v/>
      </c>
      <c r="J2608">
        <f>AVERAGE(F2409:F2608)</f>
        <v/>
      </c>
    </row>
    <row r="2609">
      <c r="C2609" s="539" t="n">
        <v>43234</v>
      </c>
      <c r="D2609" t="n">
        <v>124.4899978637695</v>
      </c>
      <c r="E2609" t="n">
        <v>115.0400009155273</v>
      </c>
      <c r="F2609" t="n">
        <v>16.20333480834961</v>
      </c>
      <c r="G2609" t="n">
        <v>73.90790557861328</v>
      </c>
      <c r="H2609">
        <f>AVERAGE(D2410:D2609)</f>
        <v/>
      </c>
      <c r="I2609">
        <f>AVERAGE(E2410:E2609)</f>
        <v/>
      </c>
      <c r="J2609">
        <f>AVERAGE(F2410:F2609)</f>
        <v/>
      </c>
    </row>
    <row r="2610">
      <c r="C2610" s="539" t="n">
        <v>43235</v>
      </c>
      <c r="D2610" t="n">
        <v>122.4800033569336</v>
      </c>
      <c r="E2610" t="n">
        <v>115.1999969482422</v>
      </c>
      <c r="F2610" t="n">
        <v>16.11737251281738</v>
      </c>
      <c r="G2610" t="n">
        <v>73.92404174804688</v>
      </c>
      <c r="H2610">
        <f>AVERAGE(D2411:D2610)</f>
        <v/>
      </c>
      <c r="I2610">
        <f>AVERAGE(E2411:E2610)</f>
        <v/>
      </c>
      <c r="J2610">
        <f>AVERAGE(F2411:F2610)</f>
        <v/>
      </c>
    </row>
    <row r="2611">
      <c r="C2611" s="539" t="n">
        <v>43236</v>
      </c>
      <c r="D2611" t="n">
        <v>122.2900009155273</v>
      </c>
      <c r="E2611" t="n">
        <v>115.6800003051758</v>
      </c>
      <c r="F2611" t="n">
        <v>16.13456344604492</v>
      </c>
      <c r="G2611" t="n">
        <v>73.93211364746094</v>
      </c>
      <c r="H2611">
        <f>AVERAGE(D2412:D2611)</f>
        <v/>
      </c>
      <c r="I2611">
        <f>AVERAGE(E2412:E2611)</f>
        <v/>
      </c>
      <c r="J2611">
        <f>AVERAGE(F2412:F2611)</f>
        <v/>
      </c>
    </row>
    <row r="2612">
      <c r="C2612" s="539" t="n">
        <v>43237</v>
      </c>
      <c r="D2612" t="n">
        <v>122.3600006103516</v>
      </c>
      <c r="E2612" t="n">
        <v>115.9199981689453</v>
      </c>
      <c r="F2612" t="n">
        <v>16.04001045227051</v>
      </c>
      <c r="G2612" t="n">
        <v>73.93211364746094</v>
      </c>
      <c r="H2612">
        <f>AVERAGE(D2413:D2612)</f>
        <v/>
      </c>
      <c r="I2612">
        <f>AVERAGE(E2413:E2612)</f>
        <v/>
      </c>
      <c r="J2612">
        <f>AVERAGE(F2413:F2612)</f>
        <v/>
      </c>
    </row>
    <row r="2613">
      <c r="C2613" s="539" t="n">
        <v>43238</v>
      </c>
      <c r="D2613" t="n">
        <v>122.4100036621094</v>
      </c>
      <c r="E2613" t="n">
        <v>115.4400024414062</v>
      </c>
      <c r="F2613" t="n">
        <v>16.22052574157715</v>
      </c>
      <c r="G2613" t="n">
        <v>73.94025421142578</v>
      </c>
      <c r="H2613">
        <f>AVERAGE(D2414:D2613)</f>
        <v/>
      </c>
      <c r="I2613">
        <f>AVERAGE(E2414:E2613)</f>
        <v/>
      </c>
      <c r="J2613">
        <f>AVERAGE(F2414:F2613)</f>
        <v/>
      </c>
    </row>
    <row r="2614">
      <c r="C2614" s="539" t="n">
        <v>43241</v>
      </c>
      <c r="D2614" t="n">
        <v>122.4800033569336</v>
      </c>
      <c r="E2614" t="n">
        <v>117.3600006103516</v>
      </c>
      <c r="F2614" t="n">
        <v>16.32367324829102</v>
      </c>
      <c r="G2614" t="n">
        <v>73.94025421142578</v>
      </c>
      <c r="H2614">
        <f>AVERAGE(D2415:D2614)</f>
        <v/>
      </c>
      <c r="I2614">
        <f>AVERAGE(E2415:E2614)</f>
        <v/>
      </c>
      <c r="J2614">
        <f>AVERAGE(F2415:F2614)</f>
        <v/>
      </c>
    </row>
    <row r="2615">
      <c r="C2615" s="539" t="n">
        <v>43242</v>
      </c>
      <c r="D2615" t="n">
        <v>122.4100036621094</v>
      </c>
      <c r="E2615" t="n">
        <v>116.4800033569336</v>
      </c>
      <c r="F2615" t="n">
        <v>16.4182300567627</v>
      </c>
      <c r="G2615" t="n">
        <v>73.94025421142578</v>
      </c>
      <c r="H2615">
        <f>AVERAGE(D2416:D2615)</f>
        <v/>
      </c>
      <c r="I2615">
        <f>AVERAGE(E2416:E2615)</f>
        <v/>
      </c>
      <c r="J2615">
        <f>AVERAGE(F2416:F2615)</f>
        <v/>
      </c>
    </row>
    <row r="2616">
      <c r="C2616" s="539" t="n">
        <v>43243</v>
      </c>
      <c r="D2616" t="n">
        <v>122.5400009155273</v>
      </c>
      <c r="E2616" t="n">
        <v>116.0800018310547</v>
      </c>
      <c r="F2616" t="n">
        <v>16.5815544128418</v>
      </c>
      <c r="G2616" t="n">
        <v>73.94827270507812</v>
      </c>
      <c r="H2616">
        <f>AVERAGE(D2417:D2616)</f>
        <v/>
      </c>
      <c r="I2616">
        <f>AVERAGE(E2417:E2616)</f>
        <v/>
      </c>
      <c r="J2616">
        <f>AVERAGE(F2417:F2616)</f>
        <v/>
      </c>
    </row>
    <row r="2617">
      <c r="C2617" s="539" t="n">
        <v>43244</v>
      </c>
      <c r="D2617" t="n">
        <v>123.5899963378906</v>
      </c>
      <c r="E2617" t="n">
        <v>114.3199996948242</v>
      </c>
      <c r="F2617" t="n">
        <v>16.52997779846191</v>
      </c>
      <c r="G2617" t="n">
        <v>73.96445465087891</v>
      </c>
      <c r="H2617">
        <f>AVERAGE(D2418:D2617)</f>
        <v/>
      </c>
      <c r="I2617">
        <f>AVERAGE(E2418:E2617)</f>
        <v/>
      </c>
      <c r="J2617">
        <f>AVERAGE(F2418:F2617)</f>
        <v/>
      </c>
    </row>
    <row r="2618">
      <c r="C2618" s="539" t="n">
        <v>43245</v>
      </c>
      <c r="D2618" t="n">
        <v>123.2099990844727</v>
      </c>
      <c r="E2618" t="n">
        <v>109.4400024414062</v>
      </c>
      <c r="F2618" t="n">
        <v>16.64172744750977</v>
      </c>
      <c r="G2618" t="n">
        <v>73.97251892089844</v>
      </c>
      <c r="H2618">
        <f>AVERAGE(D2419:D2618)</f>
        <v/>
      </c>
      <c r="I2618">
        <f>AVERAGE(E2419:E2618)</f>
        <v/>
      </c>
      <c r="J2618">
        <f>AVERAGE(F2419:F2618)</f>
        <v/>
      </c>
    </row>
    <row r="2619">
      <c r="C2619" s="539" t="n">
        <v>43249</v>
      </c>
      <c r="D2619" t="n">
        <v>123.1900024414062</v>
      </c>
      <c r="E2619" t="n">
        <v>108.0800018310547</v>
      </c>
      <c r="F2619" t="n">
        <v>16.52138137817383</v>
      </c>
      <c r="G2619" t="n">
        <v>73.97251892089844</v>
      </c>
      <c r="H2619">
        <f>AVERAGE(D2420:D2619)</f>
        <v/>
      </c>
      <c r="I2619">
        <f>AVERAGE(E2420:E2619)</f>
        <v/>
      </c>
      <c r="J2619">
        <f>AVERAGE(F2420:F2619)</f>
        <v/>
      </c>
    </row>
    <row r="2620">
      <c r="C2620" s="539" t="n">
        <v>43250</v>
      </c>
      <c r="D2620" t="n">
        <v>123.370002746582</v>
      </c>
      <c r="E2620" t="n">
        <v>110.6399993896484</v>
      </c>
      <c r="F2620" t="n">
        <v>16.52997779846191</v>
      </c>
      <c r="G2620" t="n">
        <v>73.96445465087891</v>
      </c>
      <c r="H2620">
        <f>AVERAGE(D2421:D2620)</f>
        <v/>
      </c>
      <c r="I2620">
        <f>AVERAGE(E2421:E2620)</f>
        <v/>
      </c>
      <c r="J2620">
        <f>AVERAGE(F2421:F2620)</f>
        <v/>
      </c>
    </row>
    <row r="2621">
      <c r="C2621" s="539" t="n">
        <v>43251</v>
      </c>
      <c r="D2621" t="n">
        <v>123.0999984741211</v>
      </c>
      <c r="E2621" t="n">
        <v>108.4000015258789</v>
      </c>
      <c r="F2621" t="n">
        <v>16.51278686523438</v>
      </c>
      <c r="G2621" t="n">
        <v>73.98060607910156</v>
      </c>
      <c r="H2621">
        <f>AVERAGE(D2422:D2621)</f>
        <v/>
      </c>
      <c r="I2621">
        <f>AVERAGE(E2422:E2621)</f>
        <v/>
      </c>
      <c r="J2621">
        <f>AVERAGE(F2422:F2621)</f>
        <v/>
      </c>
    </row>
    <row r="2622">
      <c r="C2622" s="539" t="n">
        <v>43252</v>
      </c>
      <c r="D2622" t="n">
        <v>122.4899978637695</v>
      </c>
      <c r="E2622" t="n">
        <v>106</v>
      </c>
      <c r="F2622" t="n">
        <v>16.45261383056641</v>
      </c>
      <c r="G2622" t="n">
        <v>73.98545837402344</v>
      </c>
      <c r="H2622">
        <f>AVERAGE(D2423:D2622)</f>
        <v/>
      </c>
      <c r="I2622">
        <f>AVERAGE(E2423:E2622)</f>
        <v/>
      </c>
      <c r="J2622">
        <f>AVERAGE(F2423:F2622)</f>
        <v/>
      </c>
    </row>
    <row r="2623">
      <c r="C2623" s="539" t="n">
        <v>43255</v>
      </c>
      <c r="D2623" t="n">
        <v>122.370002746582</v>
      </c>
      <c r="E2623" t="n">
        <v>104.9599990844727</v>
      </c>
      <c r="F2623" t="n">
        <v>16.05720138549805</v>
      </c>
      <c r="G2623" t="n">
        <v>73.99354553222656</v>
      </c>
      <c r="H2623">
        <f>AVERAGE(D2424:D2623)</f>
        <v/>
      </c>
      <c r="I2623">
        <f>AVERAGE(E2424:E2623)</f>
        <v/>
      </c>
      <c r="J2623">
        <f>AVERAGE(F2424:F2623)</f>
        <v/>
      </c>
    </row>
    <row r="2624">
      <c r="C2624" s="539" t="n">
        <v>43256</v>
      </c>
      <c r="D2624" t="n">
        <v>122.8499984741211</v>
      </c>
      <c r="E2624" t="n">
        <v>105.7600021362305</v>
      </c>
      <c r="F2624" t="n">
        <v>16.02281761169434</v>
      </c>
      <c r="G2624" t="n">
        <v>73.99354553222656</v>
      </c>
      <c r="H2624">
        <f>AVERAGE(D2425:D2624)</f>
        <v/>
      </c>
      <c r="I2624">
        <f>AVERAGE(E2425:E2624)</f>
        <v/>
      </c>
      <c r="J2624">
        <f>AVERAGE(F2425:F2624)</f>
        <v/>
      </c>
    </row>
    <row r="2625">
      <c r="C2625" s="539" t="n">
        <v>43257</v>
      </c>
      <c r="D2625" t="n">
        <v>122.9199981689453</v>
      </c>
      <c r="E2625" t="n">
        <v>105.2799987792969</v>
      </c>
      <c r="F2625" t="n">
        <v>16.10018157958984</v>
      </c>
      <c r="G2625" t="n">
        <v>73.98545837402344</v>
      </c>
      <c r="H2625">
        <f>AVERAGE(D2426:D2625)</f>
        <v/>
      </c>
      <c r="I2625">
        <f>AVERAGE(E2426:E2625)</f>
        <v/>
      </c>
      <c r="J2625">
        <f>AVERAGE(F2426:F2625)</f>
        <v/>
      </c>
    </row>
    <row r="2626">
      <c r="C2626" s="539" t="n">
        <v>43258</v>
      </c>
      <c r="D2626" t="n">
        <v>122.8600006103516</v>
      </c>
      <c r="E2626" t="n">
        <v>106.8000030517578</v>
      </c>
      <c r="F2626" t="n">
        <v>15.97124290466309</v>
      </c>
      <c r="G2626" t="n">
        <v>73.99354553222656</v>
      </c>
      <c r="H2626">
        <f>AVERAGE(D2427:D2626)</f>
        <v/>
      </c>
      <c r="I2626">
        <f>AVERAGE(E2427:E2626)</f>
        <v/>
      </c>
      <c r="J2626">
        <f>AVERAGE(F2427:F2626)</f>
        <v/>
      </c>
    </row>
    <row r="2627">
      <c r="C2627" s="539" t="n">
        <v>43259</v>
      </c>
      <c r="D2627" t="n">
        <v>123.0100021362305</v>
      </c>
      <c r="E2627" t="n">
        <v>106.1600036621094</v>
      </c>
      <c r="F2627" t="n">
        <v>16.13456344604492</v>
      </c>
      <c r="G2627" t="n">
        <v>74.00968933105469</v>
      </c>
      <c r="H2627">
        <f>AVERAGE(D2428:D2627)</f>
        <v/>
      </c>
      <c r="I2627">
        <f>AVERAGE(E2428:E2627)</f>
        <v/>
      </c>
      <c r="J2627">
        <f>AVERAGE(F2428:F2627)</f>
        <v/>
      </c>
    </row>
    <row r="2628">
      <c r="C2628" s="539" t="n">
        <v>43262</v>
      </c>
      <c r="D2628" t="n">
        <v>123.2300033569336</v>
      </c>
      <c r="E2628" t="n">
        <v>106.879997253418</v>
      </c>
      <c r="F2628" t="n">
        <v>15.95405197143555</v>
      </c>
      <c r="G2628" t="n">
        <v>74.017822265625</v>
      </c>
      <c r="H2628">
        <f>AVERAGE(D2429:D2628)</f>
        <v/>
      </c>
      <c r="I2628">
        <f>AVERAGE(E2429:E2628)</f>
        <v/>
      </c>
      <c r="J2628">
        <f>AVERAGE(F2429:F2628)</f>
        <v/>
      </c>
    </row>
    <row r="2629">
      <c r="C2629" s="539" t="n">
        <v>43263</v>
      </c>
      <c r="D2629" t="n">
        <v>122.8199996948242</v>
      </c>
      <c r="E2629" t="n">
        <v>107.1999969482422</v>
      </c>
      <c r="F2629" t="n">
        <v>16.15175819396973</v>
      </c>
      <c r="G2629" t="n">
        <v>74.017822265625</v>
      </c>
      <c r="H2629">
        <f>AVERAGE(D2430:D2629)</f>
        <v/>
      </c>
      <c r="I2629">
        <f>AVERAGE(E2430:E2629)</f>
        <v/>
      </c>
      <c r="J2629">
        <f>AVERAGE(F2430:F2629)</f>
        <v/>
      </c>
    </row>
    <row r="2630">
      <c r="C2630" s="539" t="n">
        <v>43264</v>
      </c>
      <c r="D2630" t="n">
        <v>123.1900024414062</v>
      </c>
      <c r="E2630" t="n">
        <v>107.7600021362305</v>
      </c>
      <c r="F2630" t="n">
        <v>16.04860687255859</v>
      </c>
      <c r="G2630" t="n">
        <v>74.00968933105469</v>
      </c>
      <c r="H2630">
        <f>AVERAGE(D2431:D2630)</f>
        <v/>
      </c>
      <c r="I2630">
        <f>AVERAGE(E2431:E2630)</f>
        <v/>
      </c>
      <c r="J2630">
        <f>AVERAGE(F2431:F2630)</f>
        <v/>
      </c>
    </row>
    <row r="2631">
      <c r="C2631" s="539" t="n">
        <v>43265</v>
      </c>
      <c r="D2631" t="n">
        <v>123.379997253418</v>
      </c>
      <c r="E2631" t="n">
        <v>108.1600036621094</v>
      </c>
      <c r="F2631" t="n">
        <v>15.83370590209961</v>
      </c>
      <c r="G2631" t="n">
        <v>74.03398895263672</v>
      </c>
      <c r="H2631">
        <f>AVERAGE(D2432:D2631)</f>
        <v/>
      </c>
      <c r="I2631">
        <f>AVERAGE(E2432:E2631)</f>
        <v/>
      </c>
      <c r="J2631">
        <f>AVERAGE(F2432:F2631)</f>
        <v/>
      </c>
    </row>
    <row r="2632">
      <c r="C2632" s="539" t="n">
        <v>43266</v>
      </c>
      <c r="D2632" t="n">
        <v>121.3399963378906</v>
      </c>
      <c r="E2632" t="n">
        <v>104.4000015258789</v>
      </c>
      <c r="F2632" t="n">
        <v>15.86809062957764</v>
      </c>
      <c r="G2632" t="n">
        <v>74.03398895263672</v>
      </c>
      <c r="H2632">
        <f>AVERAGE(D2433:D2632)</f>
        <v/>
      </c>
      <c r="I2632">
        <f>AVERAGE(E2433:E2632)</f>
        <v/>
      </c>
      <c r="J2632">
        <f>AVERAGE(F2433:F2632)</f>
        <v/>
      </c>
    </row>
    <row r="2633">
      <c r="C2633" s="539" t="n">
        <v>43269</v>
      </c>
      <c r="D2633" t="n">
        <v>121.1100006103516</v>
      </c>
      <c r="E2633" t="n">
        <v>106.3199996948242</v>
      </c>
      <c r="F2633" t="n">
        <v>15.71336555480957</v>
      </c>
      <c r="G2633" t="n">
        <v>74.02593231201172</v>
      </c>
      <c r="H2633">
        <f>AVERAGE(D2434:D2633)</f>
        <v/>
      </c>
      <c r="I2633">
        <f>AVERAGE(E2434:E2633)</f>
        <v/>
      </c>
      <c r="J2633">
        <f>AVERAGE(F2434:F2633)</f>
        <v/>
      </c>
    </row>
    <row r="2634">
      <c r="C2634" s="539" t="n">
        <v>43270</v>
      </c>
      <c r="D2634" t="n">
        <v>120.8000030517578</v>
      </c>
      <c r="E2634" t="n">
        <v>105.120002746582</v>
      </c>
      <c r="F2634" t="n">
        <v>15.55863857269287</v>
      </c>
      <c r="G2634" t="n">
        <v>74.04212951660156</v>
      </c>
      <c r="H2634">
        <f>AVERAGE(D2435:D2634)</f>
        <v/>
      </c>
      <c r="I2634">
        <f>AVERAGE(E2435:E2634)</f>
        <v/>
      </c>
      <c r="J2634">
        <f>AVERAGE(F2435:F2634)</f>
        <v/>
      </c>
    </row>
    <row r="2635">
      <c r="C2635" s="539" t="n">
        <v>43271</v>
      </c>
      <c r="D2635" t="n">
        <v>120.2600021362305</v>
      </c>
      <c r="E2635" t="n">
        <v>106.2399978637695</v>
      </c>
      <c r="F2635" t="n">
        <v>15.62740421295166</v>
      </c>
      <c r="G2635" t="n">
        <v>74.03398895263672</v>
      </c>
      <c r="H2635">
        <f>AVERAGE(D2436:D2635)</f>
        <v/>
      </c>
      <c r="I2635">
        <f>AVERAGE(E2436:E2635)</f>
        <v/>
      </c>
      <c r="J2635">
        <f>AVERAGE(F2436:F2635)</f>
        <v/>
      </c>
    </row>
    <row r="2636">
      <c r="C2636" s="539" t="n">
        <v>43272</v>
      </c>
      <c r="D2636" t="n">
        <v>120.0500030517578</v>
      </c>
      <c r="E2636" t="n">
        <v>106.4800033569336</v>
      </c>
      <c r="F2636" t="n">
        <v>15.58442497253418</v>
      </c>
      <c r="G2636" t="n">
        <v>74.04212951660156</v>
      </c>
      <c r="H2636">
        <f>AVERAGE(D2437:D2636)</f>
        <v/>
      </c>
      <c r="I2636">
        <f>AVERAGE(E2437:E2636)</f>
        <v/>
      </c>
      <c r="J2636">
        <f>AVERAGE(F2437:F2636)</f>
        <v/>
      </c>
    </row>
    <row r="2637">
      <c r="C2637" s="539" t="n">
        <v>43273</v>
      </c>
      <c r="D2637" t="n">
        <v>120.3399963378906</v>
      </c>
      <c r="E2637" t="n">
        <v>112.1600036621094</v>
      </c>
      <c r="F2637" t="n">
        <v>15.65319061279297</v>
      </c>
      <c r="G2637" t="n">
        <v>74.05014801025391</v>
      </c>
      <c r="H2637">
        <f>AVERAGE(D2438:D2637)</f>
        <v/>
      </c>
      <c r="I2637">
        <f>AVERAGE(E2438:E2637)</f>
        <v/>
      </c>
      <c r="J2637">
        <f>AVERAGE(F2438:F2637)</f>
        <v/>
      </c>
    </row>
    <row r="2638">
      <c r="C2638" s="539" t="n">
        <v>43276</v>
      </c>
      <c r="D2638" t="n">
        <v>119.8899993896484</v>
      </c>
      <c r="E2638" t="n">
        <v>110.1600036621094</v>
      </c>
      <c r="F2638" t="n">
        <v>15.40391063690186</v>
      </c>
      <c r="G2638" t="n">
        <v>74.06636047363281</v>
      </c>
      <c r="H2638">
        <f>AVERAGE(D2439:D2638)</f>
        <v/>
      </c>
      <c r="I2638">
        <f>AVERAGE(E2439:E2638)</f>
        <v/>
      </c>
      <c r="J2638">
        <f>AVERAGE(F2439:F2638)</f>
        <v/>
      </c>
    </row>
    <row r="2639">
      <c r="C2639" s="539" t="n">
        <v>43277</v>
      </c>
      <c r="D2639" t="n">
        <v>119.2600021362305</v>
      </c>
      <c r="E2639" t="n">
        <v>114.1600036621094</v>
      </c>
      <c r="F2639" t="n">
        <v>15.37812232971191</v>
      </c>
      <c r="G2639" t="n">
        <v>74.05823516845703</v>
      </c>
      <c r="H2639">
        <f>AVERAGE(D2440:D2639)</f>
        <v/>
      </c>
      <c r="I2639">
        <f>AVERAGE(E2440:E2639)</f>
        <v/>
      </c>
      <c r="J2639">
        <f>AVERAGE(F2440:F2639)</f>
        <v/>
      </c>
    </row>
    <row r="2640">
      <c r="C2640" s="539" t="n">
        <v>43278</v>
      </c>
      <c r="D2640" t="n">
        <v>118.5800018310547</v>
      </c>
      <c r="E2640" t="n">
        <v>117.1999969482422</v>
      </c>
      <c r="F2640" t="n">
        <v>15.26637554168701</v>
      </c>
      <c r="G2640" t="n">
        <v>74.074462890625</v>
      </c>
      <c r="H2640">
        <f>AVERAGE(D2441:D2640)</f>
        <v/>
      </c>
      <c r="I2640">
        <f>AVERAGE(E2441:E2640)</f>
        <v/>
      </c>
      <c r="J2640">
        <f>AVERAGE(F2441:F2640)</f>
        <v/>
      </c>
    </row>
    <row r="2641">
      <c r="C2641" s="539" t="n">
        <v>43279</v>
      </c>
      <c r="D2641" t="n">
        <v>118.2200012207031</v>
      </c>
      <c r="E2641" t="n">
        <v>118.879997253418</v>
      </c>
      <c r="F2641" t="n">
        <v>15.27497291564941</v>
      </c>
      <c r="G2641" t="n">
        <v>74.074462890625</v>
      </c>
      <c r="H2641">
        <f>AVERAGE(D2442:D2641)</f>
        <v/>
      </c>
      <c r="I2641">
        <f>AVERAGE(E2442:E2641)</f>
        <v/>
      </c>
      <c r="J2641">
        <f>AVERAGE(F2442:F2641)</f>
        <v/>
      </c>
    </row>
    <row r="2642">
      <c r="C2642" s="539" t="n">
        <v>43280</v>
      </c>
      <c r="D2642" t="n">
        <v>118.6500015258789</v>
      </c>
      <c r="E2642" t="n">
        <v>120.4800033569336</v>
      </c>
      <c r="F2642" t="n">
        <v>15.49846649169922</v>
      </c>
      <c r="G2642" t="n">
        <v>74.09062957763672</v>
      </c>
      <c r="H2642">
        <f>AVERAGE(D2443:D2642)</f>
        <v/>
      </c>
      <c r="I2642">
        <f>AVERAGE(E2443:E2642)</f>
        <v/>
      </c>
      <c r="J2642">
        <f>AVERAGE(F2443:F2642)</f>
        <v/>
      </c>
    </row>
    <row r="2643">
      <c r="C2643" s="539" t="n">
        <v>43283</v>
      </c>
      <c r="D2643" t="n">
        <v>117.4599990844727</v>
      </c>
      <c r="E2643" t="n">
        <v>119.6800003051758</v>
      </c>
      <c r="F2643" t="n">
        <v>15.18041515350342</v>
      </c>
      <c r="G2643" t="n">
        <v>74.08009338378906</v>
      </c>
      <c r="H2643">
        <f>AVERAGE(D2444:D2643)</f>
        <v/>
      </c>
      <c r="I2643">
        <f>AVERAGE(E2444:E2643)</f>
        <v/>
      </c>
      <c r="J2643">
        <f>AVERAGE(F2444:F2643)</f>
        <v/>
      </c>
    </row>
    <row r="2644">
      <c r="C2644" s="539" t="n">
        <v>43284</v>
      </c>
      <c r="D2644" t="n">
        <v>118.6500015258789</v>
      </c>
      <c r="E2644" t="n">
        <v>119.3600006103516</v>
      </c>
      <c r="F2644" t="n">
        <v>15.18901252746582</v>
      </c>
      <c r="G2644" t="n">
        <v>74.09626007080078</v>
      </c>
      <c r="H2644">
        <f>AVERAGE(D2445:D2644)</f>
        <v/>
      </c>
      <c r="I2644">
        <f>AVERAGE(E2445:E2644)</f>
        <v/>
      </c>
      <c r="J2644">
        <f>AVERAGE(F2445:F2644)</f>
        <v/>
      </c>
    </row>
    <row r="2645">
      <c r="C2645" s="539" t="n">
        <v>43286</v>
      </c>
      <c r="D2645" t="n">
        <v>119.0500030517578</v>
      </c>
      <c r="E2645" t="n">
        <v>118.2399978637695</v>
      </c>
      <c r="F2645" t="n">
        <v>15.18041515350342</v>
      </c>
      <c r="G2645" t="n">
        <v>74.09626007080078</v>
      </c>
      <c r="H2645">
        <f>AVERAGE(D2446:D2645)</f>
        <v/>
      </c>
      <c r="I2645">
        <f>AVERAGE(E2446:E2645)</f>
        <v/>
      </c>
      <c r="J2645">
        <f>AVERAGE(F2446:F2645)</f>
        <v/>
      </c>
    </row>
    <row r="2646">
      <c r="C2646" s="539" t="n">
        <v>43287</v>
      </c>
      <c r="D2646" t="n">
        <v>118.8600006103516</v>
      </c>
      <c r="E2646" t="n">
        <v>119.6800003051758</v>
      </c>
      <c r="F2646" t="n">
        <v>15.39531421661377</v>
      </c>
      <c r="G2646" t="n">
        <v>74.11251068115234</v>
      </c>
      <c r="H2646">
        <f>AVERAGE(D2447:D2646)</f>
        <v/>
      </c>
      <c r="I2646">
        <f>AVERAGE(E2447:E2646)</f>
        <v/>
      </c>
      <c r="J2646">
        <f>AVERAGE(F2447:F2646)</f>
        <v/>
      </c>
    </row>
    <row r="2647">
      <c r="C2647" s="539" t="n">
        <v>43290</v>
      </c>
      <c r="D2647" t="n">
        <v>119.1500015258789</v>
      </c>
      <c r="E2647" t="n">
        <v>120.2399978637695</v>
      </c>
      <c r="F2647" t="n">
        <v>15.2319917678833</v>
      </c>
      <c r="G2647" t="n">
        <v>74.11251068115234</v>
      </c>
      <c r="H2647">
        <f>AVERAGE(D2448:D2647)</f>
        <v/>
      </c>
      <c r="I2647">
        <f>AVERAGE(E2448:E2647)</f>
        <v/>
      </c>
      <c r="J2647">
        <f>AVERAGE(F2448:F2647)</f>
        <v/>
      </c>
    </row>
    <row r="2648">
      <c r="C2648" s="539" t="n">
        <v>43291</v>
      </c>
      <c r="D2648" t="n">
        <v>118.9300003051758</v>
      </c>
      <c r="E2648" t="n">
        <v>120.5599975585938</v>
      </c>
      <c r="F2648" t="n">
        <v>15.14603424072266</v>
      </c>
      <c r="G2648" t="n">
        <v>74.12062072753906</v>
      </c>
      <c r="H2648">
        <f>AVERAGE(D2449:D2648)</f>
        <v/>
      </c>
      <c r="I2648">
        <f>AVERAGE(E2449:E2648)</f>
        <v/>
      </c>
      <c r="J2648">
        <f>AVERAGE(F2449:F2648)</f>
        <v/>
      </c>
    </row>
    <row r="2649">
      <c r="C2649" s="539" t="n">
        <v>43292</v>
      </c>
      <c r="D2649" t="n">
        <v>117.6399993896484</v>
      </c>
      <c r="E2649" t="n">
        <v>114.4800033569336</v>
      </c>
      <c r="F2649" t="n">
        <v>14.85377311706543</v>
      </c>
      <c r="G2649" t="n">
        <v>74.12062072753906</v>
      </c>
      <c r="H2649">
        <f>AVERAGE(D2450:D2649)</f>
        <v/>
      </c>
      <c r="I2649">
        <f>AVERAGE(E2450:E2649)</f>
        <v/>
      </c>
      <c r="J2649">
        <f>AVERAGE(F2450:F2649)</f>
        <v/>
      </c>
    </row>
    <row r="2650">
      <c r="C2650" s="539" t="n">
        <v>43293</v>
      </c>
      <c r="D2650" t="n">
        <v>118.129997253418</v>
      </c>
      <c r="E2650" t="n">
        <v>115.120002746582</v>
      </c>
      <c r="F2650" t="n">
        <v>14.95692157745361</v>
      </c>
      <c r="G2650" t="n">
        <v>74.12062072753906</v>
      </c>
      <c r="H2650">
        <f>AVERAGE(D2451:D2650)</f>
        <v/>
      </c>
      <c r="I2650">
        <f>AVERAGE(E2451:E2650)</f>
        <v/>
      </c>
      <c r="J2650">
        <f>AVERAGE(F2451:F2650)</f>
        <v/>
      </c>
    </row>
    <row r="2651">
      <c r="C2651" s="539" t="n">
        <v>43294</v>
      </c>
      <c r="D2651" t="n">
        <v>117.6100006103516</v>
      </c>
      <c r="E2651" t="n">
        <v>115.7600021362305</v>
      </c>
      <c r="F2651" t="n">
        <v>14.92253875732422</v>
      </c>
      <c r="G2651" t="n">
        <v>74.12873840332031</v>
      </c>
      <c r="H2651">
        <f>AVERAGE(D2452:D2651)</f>
        <v/>
      </c>
      <c r="I2651">
        <f>AVERAGE(E2452:E2651)</f>
        <v/>
      </c>
      <c r="J2651">
        <f>AVERAGE(F2452:F2651)</f>
        <v/>
      </c>
    </row>
    <row r="2652">
      <c r="C2652" s="539" t="n">
        <v>43297</v>
      </c>
      <c r="D2652" t="n">
        <v>117.5500030517578</v>
      </c>
      <c r="E2652" t="n">
        <v>111.5199966430664</v>
      </c>
      <c r="F2652" t="n">
        <v>14.89675140380859</v>
      </c>
      <c r="G2652" t="n">
        <v>74.13681030273438</v>
      </c>
      <c r="H2652">
        <f>AVERAGE(D2453:D2652)</f>
        <v/>
      </c>
      <c r="I2652">
        <f>AVERAGE(E2453:E2652)</f>
        <v/>
      </c>
      <c r="J2652">
        <f>AVERAGE(F2453:F2652)</f>
        <v/>
      </c>
    </row>
    <row r="2653">
      <c r="C2653" s="539" t="n">
        <v>43298</v>
      </c>
      <c r="D2653" t="n">
        <v>116.2799987792969</v>
      </c>
      <c r="E2653" t="n">
        <v>111.5999984741211</v>
      </c>
      <c r="F2653" t="n">
        <v>14.89675140380859</v>
      </c>
      <c r="G2653" t="n">
        <v>74.13681030273438</v>
      </c>
      <c r="H2653">
        <f>AVERAGE(D2454:D2653)</f>
        <v/>
      </c>
      <c r="I2653">
        <f>AVERAGE(E2454:E2653)</f>
        <v/>
      </c>
      <c r="J2653">
        <f>AVERAGE(F2454:F2653)</f>
        <v/>
      </c>
    </row>
    <row r="2654">
      <c r="C2654" s="539" t="n">
        <v>43299</v>
      </c>
      <c r="D2654" t="n">
        <v>116.3099975585938</v>
      </c>
      <c r="E2654" t="n">
        <v>112.8000030517578</v>
      </c>
      <c r="F2654" t="n">
        <v>14.85377311706543</v>
      </c>
      <c r="G2654" t="n">
        <v>74.14490509033203</v>
      </c>
      <c r="H2654">
        <f>AVERAGE(D2455:D2654)</f>
        <v/>
      </c>
      <c r="I2654">
        <f>AVERAGE(E2455:E2654)</f>
        <v/>
      </c>
      <c r="J2654">
        <f>AVERAGE(F2455:F2654)</f>
        <v/>
      </c>
    </row>
    <row r="2655">
      <c r="C2655" s="539" t="n">
        <v>43300</v>
      </c>
      <c r="D2655" t="n">
        <v>115.8099975585938</v>
      </c>
      <c r="E2655" t="n">
        <v>113.0400009155273</v>
      </c>
      <c r="F2655" t="n">
        <v>14.88815498352051</v>
      </c>
      <c r="G2655" t="n">
        <v>74.15299987792969</v>
      </c>
      <c r="H2655">
        <f>AVERAGE(D2456:D2655)</f>
        <v/>
      </c>
      <c r="I2655">
        <f>AVERAGE(E2456:E2655)</f>
        <v/>
      </c>
      <c r="J2655">
        <f>AVERAGE(F2456:F2655)</f>
        <v/>
      </c>
    </row>
    <row r="2656">
      <c r="C2656" s="539" t="n">
        <v>43301</v>
      </c>
      <c r="D2656" t="n">
        <v>116.5599975585938</v>
      </c>
      <c r="E2656" t="n">
        <v>113.1999969482422</v>
      </c>
      <c r="F2656" t="n">
        <v>14.99130725860596</v>
      </c>
      <c r="G2656" t="n">
        <v>74.16110992431641</v>
      </c>
      <c r="H2656">
        <f>AVERAGE(D2457:D2656)</f>
        <v/>
      </c>
      <c r="I2656">
        <f>AVERAGE(E2457:E2656)</f>
        <v/>
      </c>
      <c r="J2656">
        <f>AVERAGE(F2457:F2656)</f>
        <v/>
      </c>
    </row>
    <row r="2657">
      <c r="C2657" s="539" t="n">
        <v>43304</v>
      </c>
      <c r="D2657" t="n">
        <v>116</v>
      </c>
      <c r="E2657" t="n">
        <v>112.7200012207031</v>
      </c>
      <c r="F2657" t="n">
        <v>15.02568912506104</v>
      </c>
      <c r="G2657" t="n">
        <v>74.15299987792969</v>
      </c>
      <c r="H2657">
        <f>AVERAGE(D2458:D2657)</f>
        <v/>
      </c>
      <c r="I2657">
        <f>AVERAGE(E2458:E2657)</f>
        <v/>
      </c>
      <c r="J2657">
        <f>AVERAGE(F2458:F2657)</f>
        <v/>
      </c>
    </row>
    <row r="2658">
      <c r="C2658" s="539" t="n">
        <v>43305</v>
      </c>
      <c r="D2658" t="n">
        <v>116.0400009155273</v>
      </c>
      <c r="E2658" t="n">
        <v>113.8399963378906</v>
      </c>
      <c r="F2658" t="n">
        <v>14.97411441802979</v>
      </c>
      <c r="G2658" t="n">
        <v>74.16923522949219</v>
      </c>
      <c r="H2658">
        <f>AVERAGE(D2459:D2658)</f>
        <v/>
      </c>
      <c r="I2658">
        <f>AVERAGE(E2459:E2658)</f>
        <v/>
      </c>
      <c r="J2658">
        <f>AVERAGE(F2459:F2658)</f>
        <v/>
      </c>
    </row>
    <row r="2659">
      <c r="C2659" s="539" t="n">
        <v>43306</v>
      </c>
      <c r="D2659" t="n">
        <v>116.6800003051758</v>
      </c>
      <c r="E2659" t="n">
        <v>115.3600006103516</v>
      </c>
      <c r="F2659" t="n">
        <v>15.18901252746582</v>
      </c>
      <c r="G2659" t="n">
        <v>74.16110992431641</v>
      </c>
      <c r="H2659">
        <f>AVERAGE(D2460:D2659)</f>
        <v/>
      </c>
      <c r="I2659">
        <f>AVERAGE(E2460:E2659)</f>
        <v/>
      </c>
      <c r="J2659">
        <f>AVERAGE(F2460:F2659)</f>
        <v/>
      </c>
    </row>
    <row r="2660">
      <c r="C2660" s="539" t="n">
        <v>43307</v>
      </c>
      <c r="D2660" t="n">
        <v>115.7699966430664</v>
      </c>
      <c r="E2660" t="n">
        <v>115.7600021362305</v>
      </c>
      <c r="F2660" t="n">
        <v>15.08586120605469</v>
      </c>
      <c r="G2660" t="n">
        <v>74.16923522949219</v>
      </c>
      <c r="H2660">
        <f>AVERAGE(D2461:D2660)</f>
        <v/>
      </c>
      <c r="I2660">
        <f>AVERAGE(E2461:E2660)</f>
        <v/>
      </c>
      <c r="J2660">
        <f>AVERAGE(F2461:F2660)</f>
        <v/>
      </c>
    </row>
    <row r="2661">
      <c r="C2661" s="539" t="n">
        <v>43308</v>
      </c>
      <c r="D2661" t="n">
        <v>115.8300018310547</v>
      </c>
      <c r="E2661" t="n">
        <v>114.5599975585938</v>
      </c>
      <c r="F2661" t="n">
        <v>15.01709461212158</v>
      </c>
      <c r="G2661" t="n">
        <v>74.18541717529297</v>
      </c>
      <c r="H2661">
        <f>AVERAGE(D2462:D2661)</f>
        <v/>
      </c>
      <c r="I2661">
        <f>AVERAGE(E2462:E2661)</f>
        <v/>
      </c>
      <c r="J2661">
        <f>AVERAGE(F2462:F2661)</f>
        <v/>
      </c>
    </row>
    <row r="2662">
      <c r="C2662" s="539" t="n">
        <v>43311</v>
      </c>
      <c r="D2662" t="n">
        <v>115.6500015258789</v>
      </c>
      <c r="E2662" t="n">
        <v>116.3199996948242</v>
      </c>
      <c r="F2662" t="n">
        <v>15.11164951324463</v>
      </c>
      <c r="G2662" t="n">
        <v>74.17733764648438</v>
      </c>
      <c r="H2662">
        <f>AVERAGE(D2463:D2662)</f>
        <v/>
      </c>
      <c r="I2662">
        <f>AVERAGE(E2463:E2662)</f>
        <v/>
      </c>
      <c r="J2662">
        <f>AVERAGE(F2463:F2662)</f>
        <v/>
      </c>
    </row>
    <row r="2663">
      <c r="C2663" s="539" t="n">
        <v>43312</v>
      </c>
      <c r="D2663" t="n">
        <v>115.9899978637695</v>
      </c>
      <c r="E2663" t="n">
        <v>114.2399978637695</v>
      </c>
      <c r="F2663" t="n">
        <v>15.06867027282715</v>
      </c>
      <c r="G2663" t="n">
        <v>74.19349670410156</v>
      </c>
      <c r="H2663">
        <f>AVERAGE(D2464:D2663)</f>
        <v/>
      </c>
      <c r="I2663">
        <f>AVERAGE(E2464:E2663)</f>
        <v/>
      </c>
      <c r="J2663">
        <f>AVERAGE(F2464:F2663)</f>
        <v/>
      </c>
    </row>
    <row r="2664">
      <c r="C2664" s="539" t="n">
        <v>43313</v>
      </c>
      <c r="D2664" t="n">
        <v>115.1399993896484</v>
      </c>
      <c r="E2664" t="n">
        <v>112.7200012207031</v>
      </c>
      <c r="F2664" t="n">
        <v>14.99130725860596</v>
      </c>
      <c r="G2664" t="n">
        <v>74.19757080078125</v>
      </c>
      <c r="H2664">
        <f>AVERAGE(D2465:D2664)</f>
        <v/>
      </c>
      <c r="I2664">
        <f>AVERAGE(E2465:E2664)</f>
        <v/>
      </c>
      <c r="J2664">
        <f>AVERAGE(F2465:F2664)</f>
        <v/>
      </c>
    </row>
    <row r="2665">
      <c r="C2665" s="539" t="n">
        <v>43314</v>
      </c>
      <c r="D2665" t="n">
        <v>114.5199966430664</v>
      </c>
      <c r="E2665" t="n">
        <v>114.879997253418</v>
      </c>
      <c r="F2665" t="n">
        <v>14.93972969055176</v>
      </c>
      <c r="G2665" t="n">
        <v>74.20565795898438</v>
      </c>
      <c r="H2665">
        <f>AVERAGE(D2466:D2665)</f>
        <v/>
      </c>
      <c r="I2665">
        <f>AVERAGE(E2466:E2665)</f>
        <v/>
      </c>
      <c r="J2665">
        <f>AVERAGE(F2466:F2665)</f>
        <v/>
      </c>
    </row>
    <row r="2666">
      <c r="C2666" s="539" t="n">
        <v>43315</v>
      </c>
      <c r="D2666" t="n">
        <v>114.9199981689453</v>
      </c>
      <c r="E2666" t="n">
        <v>114.1600036621094</v>
      </c>
      <c r="F2666" t="n">
        <v>15.05147647857666</v>
      </c>
      <c r="G2666" t="n">
        <v>74.20565795898438</v>
      </c>
      <c r="H2666">
        <f>AVERAGE(D2467:D2666)</f>
        <v/>
      </c>
      <c r="I2666">
        <f>AVERAGE(E2467:E2666)</f>
        <v/>
      </c>
      <c r="J2666">
        <f>AVERAGE(F2467:F2666)</f>
        <v/>
      </c>
    </row>
    <row r="2667">
      <c r="C2667" s="539" t="n">
        <v>43318</v>
      </c>
      <c r="D2667" t="n">
        <v>114.3300018310547</v>
      </c>
      <c r="E2667" t="n">
        <v>114.4800033569336</v>
      </c>
      <c r="F2667" t="n">
        <v>15.1632251739502</v>
      </c>
      <c r="G2667" t="n">
        <v>74.21379089355469</v>
      </c>
      <c r="H2667">
        <f>AVERAGE(D2468:D2667)</f>
        <v/>
      </c>
      <c r="I2667">
        <f>AVERAGE(E2468:E2667)</f>
        <v/>
      </c>
      <c r="J2667">
        <f>AVERAGE(F2468:F2667)</f>
        <v/>
      </c>
    </row>
    <row r="2668">
      <c r="C2668" s="539" t="n">
        <v>43319</v>
      </c>
      <c r="D2668" t="n">
        <v>114.5899963378906</v>
      </c>
      <c r="E2668" t="n">
        <v>114.879997253418</v>
      </c>
      <c r="F2668" t="n">
        <v>15.08586120605469</v>
      </c>
      <c r="G2668" t="n">
        <v>74.22193145751953</v>
      </c>
      <c r="H2668">
        <f>AVERAGE(D2469:D2668)</f>
        <v/>
      </c>
      <c r="I2668">
        <f>AVERAGE(E2469:E2668)</f>
        <v/>
      </c>
      <c r="J2668">
        <f>AVERAGE(F2469:F2668)</f>
        <v/>
      </c>
    </row>
    <row r="2669">
      <c r="C2669" s="539" t="n">
        <v>43320</v>
      </c>
      <c r="D2669" t="n">
        <v>114.9100036621094</v>
      </c>
      <c r="E2669" t="n">
        <v>111.1999969482422</v>
      </c>
      <c r="F2669" t="n">
        <v>15.07726764678955</v>
      </c>
      <c r="G2669" t="n">
        <v>74.21379089355469</v>
      </c>
      <c r="H2669">
        <f>AVERAGE(D2470:D2669)</f>
        <v/>
      </c>
      <c r="I2669">
        <f>AVERAGE(E2470:E2669)</f>
        <v/>
      </c>
      <c r="J2669">
        <f>AVERAGE(F2470:F2669)</f>
        <v/>
      </c>
    </row>
    <row r="2670">
      <c r="C2670" s="539" t="n">
        <v>43321</v>
      </c>
      <c r="D2670" t="n">
        <v>114.7399978637695</v>
      </c>
      <c r="E2670" t="n">
        <v>111.0400009155273</v>
      </c>
      <c r="F2670" t="n">
        <v>15.03428554534912</v>
      </c>
      <c r="G2670" t="n">
        <v>74.22193145751953</v>
      </c>
      <c r="H2670">
        <f>AVERAGE(D2471:D2670)</f>
        <v/>
      </c>
      <c r="I2670">
        <f>AVERAGE(E2471:E2670)</f>
        <v/>
      </c>
      <c r="J2670">
        <f>AVERAGE(F2471:F2670)</f>
        <v/>
      </c>
    </row>
    <row r="2671">
      <c r="C2671" s="539" t="n">
        <v>43322</v>
      </c>
      <c r="D2671" t="n">
        <v>114.6900024414062</v>
      </c>
      <c r="E2671" t="n">
        <v>112.6399993896484</v>
      </c>
      <c r="F2671" t="n">
        <v>14.79359817504883</v>
      </c>
      <c r="G2671" t="n">
        <v>74.2381591796875</v>
      </c>
      <c r="H2671">
        <f>AVERAGE(D2472:D2671)</f>
        <v/>
      </c>
      <c r="I2671">
        <f>AVERAGE(E2472:E2671)</f>
        <v/>
      </c>
      <c r="J2671">
        <f>AVERAGE(F2472:F2671)</f>
        <v/>
      </c>
    </row>
    <row r="2672">
      <c r="C2672" s="539" t="n">
        <v>43325</v>
      </c>
      <c r="D2672" t="n">
        <v>112.9599990844727</v>
      </c>
      <c r="E2672" t="n">
        <v>112.0800018310547</v>
      </c>
      <c r="F2672" t="n">
        <v>14.68185234069824</v>
      </c>
      <c r="G2672" t="n">
        <v>74.24623870849609</v>
      </c>
      <c r="H2672">
        <f>AVERAGE(D2473:D2672)</f>
        <v/>
      </c>
      <c r="I2672">
        <f>AVERAGE(E2473:E2672)</f>
        <v/>
      </c>
      <c r="J2672">
        <f>AVERAGE(F2473:F2672)</f>
        <v/>
      </c>
    </row>
    <row r="2673">
      <c r="C2673" s="539" t="n">
        <v>43326</v>
      </c>
      <c r="D2673" t="n">
        <v>113.0699996948242</v>
      </c>
      <c r="E2673" t="n">
        <v>111.9199981689453</v>
      </c>
      <c r="F2673" t="n">
        <v>14.80219650268555</v>
      </c>
      <c r="G2673" t="n">
        <v>74.23004913330078</v>
      </c>
      <c r="H2673">
        <f>AVERAGE(D2474:D2673)</f>
        <v/>
      </c>
      <c r="I2673">
        <f>AVERAGE(E2474:E2673)</f>
        <v/>
      </c>
      <c r="J2673">
        <f>AVERAGE(F2474:F2673)</f>
        <v/>
      </c>
    </row>
    <row r="2674">
      <c r="C2674" s="539" t="n">
        <v>43327</v>
      </c>
      <c r="D2674" t="n">
        <v>111.1900024414062</v>
      </c>
      <c r="E2674" t="n">
        <v>108.0800018310547</v>
      </c>
      <c r="F2674" t="n">
        <v>14.67325782775879</v>
      </c>
      <c r="G2674" t="n">
        <v>74.24623870849609</v>
      </c>
      <c r="H2674">
        <f>AVERAGE(D2475:D2674)</f>
        <v/>
      </c>
      <c r="I2674">
        <f>AVERAGE(E2475:E2674)</f>
        <v/>
      </c>
      <c r="J2674">
        <f>AVERAGE(F2475:F2674)</f>
        <v/>
      </c>
    </row>
    <row r="2675">
      <c r="C2675" s="539" t="n">
        <v>43328</v>
      </c>
      <c r="D2675" t="n">
        <v>111.0999984741211</v>
      </c>
      <c r="E2675" t="n">
        <v>109.0400009155273</v>
      </c>
      <c r="F2675" t="n">
        <v>14.8623685836792</v>
      </c>
      <c r="G2675" t="n">
        <v>74.24623870849609</v>
      </c>
      <c r="H2675">
        <f>AVERAGE(D2476:D2675)</f>
        <v/>
      </c>
      <c r="I2675">
        <f>AVERAGE(E2476:E2675)</f>
        <v/>
      </c>
      <c r="J2675">
        <f>AVERAGE(F2476:F2675)</f>
        <v/>
      </c>
    </row>
    <row r="2676">
      <c r="C2676" s="539" t="n">
        <v>43329</v>
      </c>
      <c r="D2676" t="n">
        <v>112.129997253418</v>
      </c>
      <c r="E2676" t="n">
        <v>109.5199966430664</v>
      </c>
      <c r="F2676" t="n">
        <v>14.99130725860596</v>
      </c>
      <c r="G2676" t="n">
        <v>74.25437164306641</v>
      </c>
      <c r="H2676">
        <f>AVERAGE(D2477:D2676)</f>
        <v/>
      </c>
      <c r="I2676">
        <f>AVERAGE(E2477:E2676)</f>
        <v/>
      </c>
      <c r="J2676">
        <f>AVERAGE(F2477:F2676)</f>
        <v/>
      </c>
    </row>
    <row r="2677">
      <c r="C2677" s="539" t="n">
        <v>43332</v>
      </c>
      <c r="D2677" t="n">
        <v>112.6900024414062</v>
      </c>
      <c r="E2677" t="n">
        <v>110.0800018310547</v>
      </c>
      <c r="F2677" t="n">
        <v>14.84517574310303</v>
      </c>
      <c r="G2677" t="n">
        <v>74.25437164306641</v>
      </c>
      <c r="H2677">
        <f>AVERAGE(D2478:D2677)</f>
        <v/>
      </c>
      <c r="I2677">
        <f>AVERAGE(E2478:E2677)</f>
        <v/>
      </c>
      <c r="J2677">
        <f>AVERAGE(F2478:F2677)</f>
        <v/>
      </c>
    </row>
    <row r="2678">
      <c r="C2678" s="539" t="n">
        <v>43333</v>
      </c>
      <c r="D2678" t="n">
        <v>113.0199966430664</v>
      </c>
      <c r="E2678" t="n">
        <v>110.6399993896484</v>
      </c>
      <c r="F2678" t="n">
        <v>14.82798290252686</v>
      </c>
      <c r="G2678" t="n">
        <v>74.26247406005859</v>
      </c>
      <c r="H2678">
        <f>AVERAGE(D2479:D2678)</f>
        <v/>
      </c>
      <c r="I2678">
        <f>AVERAGE(E2479:E2678)</f>
        <v/>
      </c>
      <c r="J2678">
        <f>AVERAGE(F2479:F2678)</f>
        <v/>
      </c>
    </row>
    <row r="2679">
      <c r="C2679" s="539" t="n">
        <v>43334</v>
      </c>
      <c r="D2679" t="n">
        <v>113.2699966430664</v>
      </c>
      <c r="E2679" t="n">
        <v>114.1600036621094</v>
      </c>
      <c r="F2679" t="n">
        <v>14.73342895507812</v>
      </c>
      <c r="G2679" t="n">
        <v>74.26247406005859</v>
      </c>
      <c r="H2679">
        <f>AVERAGE(D2480:D2679)</f>
        <v/>
      </c>
      <c r="I2679">
        <f>AVERAGE(E2480:E2679)</f>
        <v/>
      </c>
      <c r="J2679">
        <f>AVERAGE(F2480:F2679)</f>
        <v/>
      </c>
    </row>
    <row r="2680">
      <c r="C2680" s="539" t="n">
        <v>43335</v>
      </c>
      <c r="D2680" t="n">
        <v>112.1999969482422</v>
      </c>
      <c r="E2680" t="n">
        <v>114.1600036621094</v>
      </c>
      <c r="F2680" t="n">
        <v>14.60449028015137</v>
      </c>
      <c r="G2680" t="n">
        <v>74.286865234375</v>
      </c>
      <c r="H2680">
        <f>AVERAGE(D2481:D2680)</f>
        <v/>
      </c>
      <c r="I2680">
        <f>AVERAGE(E2481:E2680)</f>
        <v/>
      </c>
      <c r="J2680">
        <f>AVERAGE(F2481:F2680)</f>
        <v/>
      </c>
    </row>
    <row r="2681">
      <c r="C2681" s="539" t="n">
        <v>43336</v>
      </c>
      <c r="D2681" t="n">
        <v>114.1600036621094</v>
      </c>
      <c r="E2681" t="n">
        <v>115.4400024414062</v>
      </c>
      <c r="F2681" t="n">
        <v>14.64747047424316</v>
      </c>
      <c r="G2681" t="n">
        <v>74.286865234375</v>
      </c>
      <c r="H2681">
        <f>AVERAGE(D2482:D2681)</f>
        <v/>
      </c>
      <c r="I2681">
        <f>AVERAGE(E2482:E2681)</f>
        <v/>
      </c>
      <c r="J2681">
        <f>AVERAGE(F2482:F2681)</f>
        <v/>
      </c>
    </row>
    <row r="2682">
      <c r="C2682" s="539" t="n">
        <v>43339</v>
      </c>
      <c r="D2682" t="n">
        <v>114.5899963378906</v>
      </c>
      <c r="E2682" t="n">
        <v>116</v>
      </c>
      <c r="F2682" t="n">
        <v>14.76781368255615</v>
      </c>
      <c r="G2682" t="n">
        <v>74.294921875</v>
      </c>
      <c r="H2682">
        <f>AVERAGE(D2483:D2682)</f>
        <v/>
      </c>
      <c r="I2682">
        <f>AVERAGE(E2483:E2682)</f>
        <v/>
      </c>
      <c r="J2682">
        <f>AVERAGE(F2483:F2682)</f>
        <v/>
      </c>
    </row>
    <row r="2683">
      <c r="C2683" s="539" t="n">
        <v>43340</v>
      </c>
      <c r="D2683" t="n">
        <v>113.6800003051758</v>
      </c>
      <c r="E2683" t="n">
        <v>115.4400024414062</v>
      </c>
      <c r="F2683" t="n">
        <v>14.52712535858154</v>
      </c>
      <c r="G2683" t="n">
        <v>74.294921875</v>
      </c>
      <c r="H2683">
        <f>AVERAGE(D2484:D2683)</f>
        <v/>
      </c>
      <c r="I2683">
        <f>AVERAGE(E2484:E2683)</f>
        <v/>
      </c>
      <c r="J2683">
        <f>AVERAGE(F2484:F2683)</f>
        <v/>
      </c>
    </row>
    <row r="2684">
      <c r="C2684" s="539" t="n">
        <v>43341</v>
      </c>
      <c r="D2684" t="n">
        <v>114.1999969482422</v>
      </c>
      <c r="E2684" t="n">
        <v>117.2799987792969</v>
      </c>
      <c r="F2684" t="n">
        <v>14.60449028015137</v>
      </c>
      <c r="G2684" t="n">
        <v>74.286865234375</v>
      </c>
      <c r="H2684">
        <f>AVERAGE(D2485:D2684)</f>
        <v/>
      </c>
      <c r="I2684">
        <f>AVERAGE(E2485:E2684)</f>
        <v/>
      </c>
      <c r="J2684">
        <f>AVERAGE(F2485:F2684)</f>
        <v/>
      </c>
    </row>
    <row r="2685">
      <c r="C2685" s="539" t="n">
        <v>43342</v>
      </c>
      <c r="D2685" t="n">
        <v>113.6399993896484</v>
      </c>
      <c r="E2685" t="n">
        <v>118</v>
      </c>
      <c r="F2685" t="n">
        <v>14.48414611816406</v>
      </c>
      <c r="G2685" t="n">
        <v>74.31929016113281</v>
      </c>
      <c r="H2685">
        <f>AVERAGE(D2486:D2685)</f>
        <v/>
      </c>
      <c r="I2685">
        <f>AVERAGE(E2486:E2685)</f>
        <v/>
      </c>
      <c r="J2685">
        <f>AVERAGE(F2486:F2685)</f>
        <v/>
      </c>
    </row>
    <row r="2686">
      <c r="C2686" s="539" t="n">
        <v>43343</v>
      </c>
      <c r="D2686" t="n">
        <v>113.5100021362305</v>
      </c>
      <c r="E2686" t="n">
        <v>117.6800003051758</v>
      </c>
      <c r="F2686" t="n">
        <v>14.66465950012207</v>
      </c>
      <c r="G2686" t="n">
        <v>74.3111572265625</v>
      </c>
      <c r="H2686">
        <f>AVERAGE(D2487:D2686)</f>
        <v/>
      </c>
      <c r="I2686">
        <f>AVERAGE(E2487:E2686)</f>
        <v/>
      </c>
      <c r="J2686">
        <f>AVERAGE(F2487:F2686)</f>
        <v/>
      </c>
    </row>
    <row r="2687">
      <c r="C2687" s="539" t="n">
        <v>43347</v>
      </c>
      <c r="D2687" t="n">
        <v>112.9300003051758</v>
      </c>
      <c r="E2687" t="n">
        <v>116.6399993896484</v>
      </c>
      <c r="F2687" t="n">
        <v>14.6560640335083</v>
      </c>
      <c r="G2687" t="n">
        <v>74.31763458251953</v>
      </c>
      <c r="H2687">
        <f>AVERAGE(D2488:D2687)</f>
        <v/>
      </c>
      <c r="I2687">
        <f>AVERAGE(E2488:E2687)</f>
        <v/>
      </c>
      <c r="J2687">
        <f>AVERAGE(F2488:F2687)</f>
        <v/>
      </c>
    </row>
    <row r="2688">
      <c r="C2688" s="539" t="n">
        <v>43348</v>
      </c>
      <c r="D2688" t="n">
        <v>113.3199996948242</v>
      </c>
      <c r="E2688" t="n">
        <v>115.9199981689453</v>
      </c>
      <c r="F2688" t="n">
        <v>14.6560640335083</v>
      </c>
      <c r="G2688" t="n">
        <v>74.30953979492188</v>
      </c>
      <c r="H2688">
        <f>AVERAGE(D2489:D2688)</f>
        <v/>
      </c>
      <c r="I2688">
        <f>AVERAGE(E2489:E2688)</f>
        <v/>
      </c>
      <c r="J2688">
        <f>AVERAGE(F2489:F2688)</f>
        <v/>
      </c>
    </row>
    <row r="2689">
      <c r="C2689" s="539" t="n">
        <v>43349</v>
      </c>
      <c r="D2689" t="n">
        <v>113.5400009155273</v>
      </c>
      <c r="E2689" t="n">
        <v>114.4000015258789</v>
      </c>
      <c r="F2689" t="n">
        <v>14.62168121337891</v>
      </c>
      <c r="G2689" t="n">
        <v>74.32578277587891</v>
      </c>
      <c r="H2689">
        <f>AVERAGE(D2490:D2689)</f>
        <v/>
      </c>
      <c r="I2689">
        <f>AVERAGE(E2490:E2689)</f>
        <v/>
      </c>
      <c r="J2689">
        <f>AVERAGE(F2490:F2689)</f>
        <v/>
      </c>
    </row>
    <row r="2690">
      <c r="C2690" s="539" t="n">
        <v>43350</v>
      </c>
      <c r="D2690" t="n">
        <v>113.2300033569336</v>
      </c>
      <c r="E2690" t="n">
        <v>114.2399978637695</v>
      </c>
      <c r="F2690" t="n">
        <v>14.6990442276001</v>
      </c>
      <c r="G2690" t="n">
        <v>74.34204864501953</v>
      </c>
      <c r="H2690">
        <f>AVERAGE(D2491:D2690)</f>
        <v/>
      </c>
      <c r="I2690">
        <f>AVERAGE(E2491:E2690)</f>
        <v/>
      </c>
      <c r="J2690">
        <f>AVERAGE(F2491:F2690)</f>
        <v/>
      </c>
    </row>
    <row r="2691">
      <c r="C2691" s="539" t="n">
        <v>43353</v>
      </c>
      <c r="D2691" t="n">
        <v>113.1500015258789</v>
      </c>
      <c r="E2691" t="n">
        <v>113.6800003051758</v>
      </c>
      <c r="F2691" t="n">
        <v>14.80219650268555</v>
      </c>
      <c r="G2691" t="n">
        <v>74.34204864501953</v>
      </c>
      <c r="H2691">
        <f>AVERAGE(D2492:D2691)</f>
        <v/>
      </c>
      <c r="I2691">
        <f>AVERAGE(E2492:E2691)</f>
        <v/>
      </c>
      <c r="J2691">
        <f>AVERAGE(F2492:F2691)</f>
        <v/>
      </c>
    </row>
    <row r="2692">
      <c r="C2692" s="539" t="n">
        <v>43354</v>
      </c>
      <c r="D2692" t="n">
        <v>113.2200012207031</v>
      </c>
      <c r="E2692" t="n">
        <v>116.8000030517578</v>
      </c>
      <c r="F2692" t="n">
        <v>14.6560640335083</v>
      </c>
      <c r="G2692" t="n">
        <v>74.35018920898438</v>
      </c>
      <c r="H2692">
        <f>AVERAGE(D2493:D2692)</f>
        <v/>
      </c>
      <c r="I2692">
        <f>AVERAGE(E2493:E2692)</f>
        <v/>
      </c>
      <c r="J2692">
        <f>AVERAGE(F2493:F2692)</f>
        <v/>
      </c>
    </row>
    <row r="2693">
      <c r="C2693" s="539" t="n">
        <v>43355</v>
      </c>
      <c r="D2693" t="n">
        <v>114.1699981689453</v>
      </c>
      <c r="E2693" t="n">
        <v>118.2399978637695</v>
      </c>
      <c r="F2693" t="n">
        <v>14.75061988830566</v>
      </c>
      <c r="G2693" t="n">
        <v>74.35018920898438</v>
      </c>
      <c r="H2693">
        <f>AVERAGE(D2494:D2693)</f>
        <v/>
      </c>
      <c r="I2693">
        <f>AVERAGE(E2494:E2693)</f>
        <v/>
      </c>
      <c r="J2693">
        <f>AVERAGE(F2494:F2693)</f>
        <v/>
      </c>
    </row>
    <row r="2694">
      <c r="C2694" s="539" t="n">
        <v>43356</v>
      </c>
      <c r="D2694" t="n">
        <v>113.7600021362305</v>
      </c>
      <c r="E2694" t="n">
        <v>115.9199981689453</v>
      </c>
      <c r="F2694" t="n">
        <v>14.68185234069824</v>
      </c>
      <c r="G2694" t="n">
        <v>74.35018920898438</v>
      </c>
      <c r="H2694">
        <f>AVERAGE(D2495:D2694)</f>
        <v/>
      </c>
      <c r="I2694">
        <f>AVERAGE(E2495:E2694)</f>
        <v/>
      </c>
      <c r="J2694">
        <f>AVERAGE(F2495:F2694)</f>
        <v/>
      </c>
    </row>
    <row r="2695">
      <c r="C2695" s="539" t="n">
        <v>43357</v>
      </c>
      <c r="D2695" t="n">
        <v>113.0199966430664</v>
      </c>
      <c r="E2695" t="n">
        <v>116</v>
      </c>
      <c r="F2695" t="n">
        <v>14.6560640335083</v>
      </c>
      <c r="G2695" t="n">
        <v>74.3582763671875</v>
      </c>
      <c r="H2695">
        <f>AVERAGE(D2496:D2695)</f>
        <v/>
      </c>
      <c r="I2695">
        <f>AVERAGE(E2496:E2695)</f>
        <v/>
      </c>
      <c r="J2695">
        <f>AVERAGE(F2496:F2695)</f>
        <v/>
      </c>
    </row>
    <row r="2696">
      <c r="C2696" s="539" t="n">
        <v>43360</v>
      </c>
      <c r="D2696" t="n">
        <v>113.6100006103516</v>
      </c>
      <c r="E2696" t="n">
        <v>115.7600021362305</v>
      </c>
      <c r="F2696" t="n">
        <v>14.52712535858154</v>
      </c>
      <c r="G2696" t="n">
        <v>74.37453460693359</v>
      </c>
      <c r="H2696">
        <f>AVERAGE(D2497:D2696)</f>
        <v/>
      </c>
      <c r="I2696">
        <f>AVERAGE(E2497:E2696)</f>
        <v/>
      </c>
      <c r="J2696">
        <f>AVERAGE(F2497:F2696)</f>
        <v/>
      </c>
    </row>
    <row r="2697">
      <c r="C2697" s="539" t="n">
        <v>43361</v>
      </c>
      <c r="D2697" t="n">
        <v>113.4400024414062</v>
      </c>
      <c r="E2697" t="n">
        <v>117.5199966430664</v>
      </c>
      <c r="F2697" t="n">
        <v>14.51852798461914</v>
      </c>
      <c r="G2697" t="n">
        <v>74.37453460693359</v>
      </c>
      <c r="H2697">
        <f>AVERAGE(D2498:D2697)</f>
        <v/>
      </c>
      <c r="I2697">
        <f>AVERAGE(E2498:E2697)</f>
        <v/>
      </c>
      <c r="J2697">
        <f>AVERAGE(F2498:F2697)</f>
        <v/>
      </c>
    </row>
    <row r="2698">
      <c r="C2698" s="539" t="n">
        <v>43362</v>
      </c>
      <c r="D2698" t="n">
        <v>113.879997253418</v>
      </c>
      <c r="E2698" t="n">
        <v>119.5199966430664</v>
      </c>
      <c r="F2698" t="n">
        <v>14.5872974395752</v>
      </c>
      <c r="G2698" t="n">
        <v>74.37453460693359</v>
      </c>
      <c r="H2698">
        <f>AVERAGE(D2499:D2698)</f>
        <v/>
      </c>
      <c r="I2698">
        <f>AVERAGE(E2499:E2698)</f>
        <v/>
      </c>
      <c r="J2698">
        <f>AVERAGE(F2499:F2698)</f>
        <v/>
      </c>
    </row>
    <row r="2699">
      <c r="C2699" s="539" t="n">
        <v>43363</v>
      </c>
      <c r="D2699" t="n">
        <v>114.2699966430664</v>
      </c>
      <c r="E2699" t="n">
        <v>118.4000015258789</v>
      </c>
      <c r="F2699" t="n">
        <v>14.68185234069824</v>
      </c>
      <c r="G2699" t="n">
        <v>74.39082336425781</v>
      </c>
      <c r="H2699">
        <f>AVERAGE(D2500:D2699)</f>
        <v/>
      </c>
      <c r="I2699">
        <f>AVERAGE(E2500:E2699)</f>
        <v/>
      </c>
      <c r="J2699">
        <f>AVERAGE(F2500:F2699)</f>
        <v/>
      </c>
    </row>
    <row r="2700">
      <c r="C2700" s="539" t="n">
        <v>43364</v>
      </c>
      <c r="D2700" t="n">
        <v>113.4899978637695</v>
      </c>
      <c r="E2700" t="n">
        <v>119.6800003051758</v>
      </c>
      <c r="F2700" t="n">
        <v>14.68185234069824</v>
      </c>
      <c r="G2700" t="n">
        <v>74.39082336425781</v>
      </c>
      <c r="H2700">
        <f>AVERAGE(D2501:D2700)</f>
        <v/>
      </c>
      <c r="I2700">
        <f>AVERAGE(E2501:E2700)</f>
        <v/>
      </c>
      <c r="J2700">
        <f>AVERAGE(F2501:F2700)</f>
        <v/>
      </c>
    </row>
    <row r="2701">
      <c r="C2701" s="539" t="n">
        <v>43367</v>
      </c>
      <c r="D2701" t="n">
        <v>113.4700012207031</v>
      </c>
      <c r="E2701" t="n">
        <v>122</v>
      </c>
      <c r="F2701" t="n">
        <v>14.63887405395508</v>
      </c>
      <c r="G2701" t="n">
        <v>74.39893341064453</v>
      </c>
      <c r="H2701">
        <f>AVERAGE(D2502:D2701)</f>
        <v/>
      </c>
      <c r="I2701">
        <f>AVERAGE(E2502:E2701)</f>
        <v/>
      </c>
      <c r="J2701">
        <f>AVERAGE(F2502:F2701)</f>
        <v/>
      </c>
    </row>
    <row r="2702">
      <c r="C2702" s="539" t="n">
        <v>43368</v>
      </c>
      <c r="D2702" t="n">
        <v>113.6500015258789</v>
      </c>
      <c r="E2702" t="n">
        <v>122.1600036621094</v>
      </c>
      <c r="F2702" t="n">
        <v>14.59589290618896</v>
      </c>
      <c r="G2702" t="n">
        <v>74.39893341064453</v>
      </c>
      <c r="H2702">
        <f>AVERAGE(D2503:D2702)</f>
        <v/>
      </c>
      <c r="I2702">
        <f>AVERAGE(E2503:E2702)</f>
        <v/>
      </c>
      <c r="J2702">
        <f>AVERAGE(F2503:F2702)</f>
        <v/>
      </c>
    </row>
    <row r="2703">
      <c r="C2703" s="539" t="n">
        <v>43369</v>
      </c>
      <c r="D2703" t="n">
        <v>113.0500030517578</v>
      </c>
      <c r="E2703" t="n">
        <v>120.879997253418</v>
      </c>
      <c r="F2703" t="n">
        <v>14.57870101928711</v>
      </c>
      <c r="G2703" t="n">
        <v>74.39893341064453</v>
      </c>
      <c r="H2703">
        <f>AVERAGE(D2504:D2703)</f>
        <v/>
      </c>
      <c r="I2703">
        <f>AVERAGE(E2504:E2703)</f>
        <v/>
      </c>
      <c r="J2703">
        <f>AVERAGE(F2504:F2703)</f>
        <v/>
      </c>
    </row>
    <row r="2704">
      <c r="C2704" s="539" t="n">
        <v>43370</v>
      </c>
      <c r="D2704" t="n">
        <v>112.0500030517578</v>
      </c>
      <c r="E2704" t="n">
        <v>122.0800018310547</v>
      </c>
      <c r="F2704" t="n">
        <v>14.51852798461914</v>
      </c>
      <c r="G2704" t="n">
        <v>74.4151611328125</v>
      </c>
      <c r="H2704">
        <f>AVERAGE(D2505:D2704)</f>
        <v/>
      </c>
      <c r="I2704">
        <f>AVERAGE(E2505:E2704)</f>
        <v/>
      </c>
      <c r="J2704">
        <f>AVERAGE(F2505:F2704)</f>
        <v/>
      </c>
    </row>
    <row r="2705">
      <c r="C2705" s="539" t="n">
        <v>43371</v>
      </c>
      <c r="D2705" t="n">
        <v>112.7600021362305</v>
      </c>
      <c r="E2705" t="n">
        <v>124.1600036621094</v>
      </c>
      <c r="F2705" t="n">
        <v>14.53572082519531</v>
      </c>
      <c r="G2705" t="n">
        <v>74.4151611328125</v>
      </c>
      <c r="H2705">
        <f>AVERAGE(D2506:D2705)</f>
        <v/>
      </c>
      <c r="I2705">
        <f>AVERAGE(E2506:E2705)</f>
        <v/>
      </c>
      <c r="J2705">
        <f>AVERAGE(F2506:F2705)</f>
        <v/>
      </c>
    </row>
    <row r="2706">
      <c r="C2706" s="539" t="n">
        <v>43374</v>
      </c>
      <c r="D2706" t="n">
        <v>112.5699996948242</v>
      </c>
      <c r="E2706" t="n">
        <v>127.5999984741211</v>
      </c>
      <c r="F2706" t="n">
        <v>14.6560640335083</v>
      </c>
      <c r="G2706" t="n">
        <v>74.42005157470703</v>
      </c>
      <c r="H2706">
        <f>AVERAGE(D2507:D2706)</f>
        <v/>
      </c>
      <c r="I2706">
        <f>AVERAGE(E2507:E2706)</f>
        <v/>
      </c>
      <c r="J2706">
        <f>AVERAGE(F2507:F2706)</f>
        <v/>
      </c>
    </row>
    <row r="2707">
      <c r="C2707" s="539" t="n">
        <v>43375</v>
      </c>
      <c r="D2707" t="n">
        <v>113.870002746582</v>
      </c>
      <c r="E2707" t="n">
        <v>126.9599990844727</v>
      </c>
      <c r="F2707" t="n">
        <v>14.92253875732422</v>
      </c>
      <c r="G2707" t="n">
        <v>74.42819213867188</v>
      </c>
      <c r="H2707">
        <f>AVERAGE(D2508:D2707)</f>
        <v/>
      </c>
      <c r="I2707">
        <f>AVERAGE(E2508:E2707)</f>
        <v/>
      </c>
      <c r="J2707">
        <f>AVERAGE(F2508:F2707)</f>
        <v/>
      </c>
    </row>
    <row r="2708">
      <c r="C2708" s="539" t="n">
        <v>43376</v>
      </c>
      <c r="D2708" t="n">
        <v>113.4199981689453</v>
      </c>
      <c r="E2708" t="n">
        <v>128.6399993896484</v>
      </c>
      <c r="F2708" t="n">
        <v>14.76781368255615</v>
      </c>
      <c r="G2708" t="n">
        <v>74.42819213867188</v>
      </c>
      <c r="H2708">
        <f>AVERAGE(D2509:D2708)</f>
        <v/>
      </c>
      <c r="I2708">
        <f>AVERAGE(E2509:E2708)</f>
        <v/>
      </c>
      <c r="J2708">
        <f>AVERAGE(F2509:F2708)</f>
        <v/>
      </c>
    </row>
    <row r="2709">
      <c r="C2709" s="539" t="n">
        <v>43377</v>
      </c>
      <c r="D2709" t="n">
        <v>113.4800033569336</v>
      </c>
      <c r="E2709" t="n">
        <v>125.9199981689453</v>
      </c>
      <c r="F2709" t="n">
        <v>14.74202346801758</v>
      </c>
      <c r="G2709" t="n">
        <v>74.44448089599609</v>
      </c>
      <c r="H2709">
        <f>AVERAGE(D2510:D2709)</f>
        <v/>
      </c>
      <c r="I2709">
        <f>AVERAGE(E2510:E2709)</f>
        <v/>
      </c>
      <c r="J2709">
        <f>AVERAGE(F2510:F2709)</f>
        <v/>
      </c>
    </row>
    <row r="2710">
      <c r="C2710" s="539" t="n">
        <v>43378</v>
      </c>
      <c r="D2710" t="n">
        <v>113.8000030517578</v>
      </c>
      <c r="E2710" t="n">
        <v>125.5199966430664</v>
      </c>
      <c r="F2710" t="n">
        <v>14.91394329071045</v>
      </c>
      <c r="G2710" t="n">
        <v>74.45259857177734</v>
      </c>
      <c r="H2710">
        <f>AVERAGE(D2511:D2710)</f>
        <v/>
      </c>
      <c r="I2710">
        <f>AVERAGE(E2511:E2710)</f>
        <v/>
      </c>
      <c r="J2710">
        <f>AVERAGE(F2511:F2710)</f>
        <v/>
      </c>
    </row>
    <row r="2711">
      <c r="C2711" s="539" t="n">
        <v>43381</v>
      </c>
      <c r="D2711" t="n">
        <v>112.5400009155273</v>
      </c>
      <c r="E2711" t="n">
        <v>125.4400024414062</v>
      </c>
      <c r="F2711" t="n">
        <v>14.99990272521973</v>
      </c>
      <c r="G2711" t="n">
        <v>74.45259857177734</v>
      </c>
      <c r="H2711">
        <f>AVERAGE(D2512:D2711)</f>
        <v/>
      </c>
      <c r="I2711">
        <f>AVERAGE(E2512:E2711)</f>
        <v/>
      </c>
      <c r="J2711">
        <f>AVERAGE(F2512:F2711)</f>
        <v/>
      </c>
    </row>
    <row r="2712">
      <c r="C2712" s="539" t="n">
        <v>43382</v>
      </c>
      <c r="D2712" t="n">
        <v>112.5999984741211</v>
      </c>
      <c r="E2712" t="n">
        <v>126.5599975585938</v>
      </c>
      <c r="F2712" t="n">
        <v>14.98271179199219</v>
      </c>
      <c r="G2712" t="n">
        <v>74.44448089599609</v>
      </c>
      <c r="H2712">
        <f>AVERAGE(D2513:D2712)</f>
        <v/>
      </c>
      <c r="I2712">
        <f>AVERAGE(E2513:E2712)</f>
        <v/>
      </c>
      <c r="J2712">
        <f>AVERAGE(F2513:F2712)</f>
        <v/>
      </c>
    </row>
    <row r="2713">
      <c r="C2713" s="539" t="n">
        <v>43383</v>
      </c>
      <c r="D2713" t="n">
        <v>112.879997253418</v>
      </c>
      <c r="E2713" t="n">
        <v>123.0400009155273</v>
      </c>
      <c r="F2713" t="n">
        <v>14.85377311706543</v>
      </c>
      <c r="G2713" t="n">
        <v>74.46075439453125</v>
      </c>
      <c r="H2713">
        <f>AVERAGE(D2514:D2713)</f>
        <v/>
      </c>
      <c r="I2713">
        <f>AVERAGE(E2514:E2713)</f>
        <v/>
      </c>
      <c r="J2713">
        <f>AVERAGE(F2514:F2713)</f>
        <v/>
      </c>
    </row>
    <row r="2714">
      <c r="C2714" s="539" t="n">
        <v>43384</v>
      </c>
      <c r="D2714" t="n">
        <v>115.7799987792969</v>
      </c>
      <c r="E2714" t="n">
        <v>119.5999984741211</v>
      </c>
      <c r="F2714" t="n">
        <v>14.88815498352051</v>
      </c>
      <c r="G2714" t="n">
        <v>74.46891784667969</v>
      </c>
      <c r="H2714">
        <f>AVERAGE(D2515:D2714)</f>
        <v/>
      </c>
      <c r="I2714">
        <f>AVERAGE(E2515:E2714)</f>
        <v/>
      </c>
      <c r="J2714">
        <f>AVERAGE(F2515:F2714)</f>
        <v/>
      </c>
    </row>
    <row r="2715">
      <c r="C2715" s="539" t="n">
        <v>43385</v>
      </c>
      <c r="D2715" t="n">
        <v>115.2300033569336</v>
      </c>
      <c r="E2715" t="n">
        <v>120.9599990844727</v>
      </c>
      <c r="F2715" t="n">
        <v>15.08586120605469</v>
      </c>
      <c r="G2715" t="n">
        <v>74.46891784667969</v>
      </c>
      <c r="H2715">
        <f>AVERAGE(D2516:D2715)</f>
        <v/>
      </c>
      <c r="I2715">
        <f>AVERAGE(E2516:E2715)</f>
        <v/>
      </c>
      <c r="J2715">
        <f>AVERAGE(F2516:F2715)</f>
        <v/>
      </c>
    </row>
    <row r="2716">
      <c r="C2716" s="539" t="n">
        <v>43388</v>
      </c>
      <c r="D2716" t="n">
        <v>116</v>
      </c>
      <c r="E2716" t="n">
        <v>121.0400009155273</v>
      </c>
      <c r="F2716" t="n">
        <v>15.26637554168701</v>
      </c>
      <c r="G2716" t="n">
        <v>74.47703552246094</v>
      </c>
      <c r="H2716">
        <f>AVERAGE(D2517:D2716)</f>
        <v/>
      </c>
      <c r="I2716">
        <f>AVERAGE(E2517:E2716)</f>
        <v/>
      </c>
      <c r="J2716">
        <f>AVERAGE(F2517:F2716)</f>
        <v/>
      </c>
    </row>
    <row r="2717">
      <c r="C2717" s="539" t="n">
        <v>43389</v>
      </c>
      <c r="D2717" t="n">
        <v>115.8000030517578</v>
      </c>
      <c r="E2717" t="n">
        <v>121.5199966430664</v>
      </c>
      <c r="F2717" t="n">
        <v>15.26637554168701</v>
      </c>
      <c r="G2717" t="n">
        <v>74.48517608642578</v>
      </c>
      <c r="H2717">
        <f>AVERAGE(D2518:D2717)</f>
        <v/>
      </c>
      <c r="I2717">
        <f>AVERAGE(E2518:E2717)</f>
        <v/>
      </c>
      <c r="J2717">
        <f>AVERAGE(F2518:F2717)</f>
        <v/>
      </c>
    </row>
    <row r="2718">
      <c r="C2718" s="539" t="n">
        <v>43390</v>
      </c>
      <c r="D2718" t="n">
        <v>115.7900009155273</v>
      </c>
      <c r="E2718" t="n">
        <v>118.5599975585938</v>
      </c>
      <c r="F2718" t="n">
        <v>15.25778102874756</v>
      </c>
      <c r="G2718" t="n">
        <v>74.48517608642578</v>
      </c>
      <c r="H2718">
        <f>AVERAGE(D2519:D2718)</f>
        <v/>
      </c>
      <c r="I2718">
        <f>AVERAGE(E2519:E2718)</f>
        <v/>
      </c>
      <c r="J2718">
        <f>AVERAGE(F2519:F2718)</f>
        <v/>
      </c>
    </row>
    <row r="2719">
      <c r="C2719" s="539" t="n">
        <v>43391</v>
      </c>
      <c r="D2719" t="n">
        <v>115.9199981689453</v>
      </c>
      <c r="E2719" t="n">
        <v>116.4800033569336</v>
      </c>
      <c r="F2719" t="n">
        <v>15.08586120605469</v>
      </c>
      <c r="G2719" t="n">
        <v>74.48517608642578</v>
      </c>
      <c r="H2719">
        <f>AVERAGE(D2520:D2719)</f>
        <v/>
      </c>
      <c r="I2719">
        <f>AVERAGE(E2520:E2719)</f>
        <v/>
      </c>
      <c r="J2719">
        <f>AVERAGE(F2520:F2719)</f>
        <v/>
      </c>
    </row>
    <row r="2720">
      <c r="C2720" s="539" t="n">
        <v>43392</v>
      </c>
      <c r="D2720" t="n">
        <v>116.0100021362305</v>
      </c>
      <c r="E2720" t="n">
        <v>117.7600021362305</v>
      </c>
      <c r="F2720" t="n">
        <v>15.07726764678955</v>
      </c>
      <c r="G2720" t="n">
        <v>74.49329376220703</v>
      </c>
      <c r="H2720">
        <f>AVERAGE(D2521:D2720)</f>
        <v/>
      </c>
      <c r="I2720">
        <f>AVERAGE(E2521:E2720)</f>
        <v/>
      </c>
      <c r="J2720">
        <f>AVERAGE(F2521:F2720)</f>
        <v/>
      </c>
    </row>
    <row r="2721">
      <c r="C2721" s="539" t="n">
        <v>43395</v>
      </c>
      <c r="D2721" t="n">
        <v>115.7099990844727</v>
      </c>
      <c r="E2721" t="n">
        <v>117.9199981689453</v>
      </c>
      <c r="F2721" t="n">
        <v>15.14603424072266</v>
      </c>
      <c r="G2721" t="n">
        <v>74.50960540771484</v>
      </c>
      <c r="H2721">
        <f>AVERAGE(D2522:D2721)</f>
        <v/>
      </c>
      <c r="I2721">
        <f>AVERAGE(E2522:E2721)</f>
        <v/>
      </c>
      <c r="J2721">
        <f>AVERAGE(F2522:F2721)</f>
        <v/>
      </c>
    </row>
    <row r="2722">
      <c r="C2722" s="539" t="n">
        <v>43396</v>
      </c>
      <c r="D2722" t="n">
        <v>116.3899993896484</v>
      </c>
      <c r="E2722" t="n">
        <v>112.3199996948242</v>
      </c>
      <c r="F2722" t="n">
        <v>15.18041515350342</v>
      </c>
      <c r="G2722" t="n">
        <v>74.50960540771484</v>
      </c>
      <c r="H2722">
        <f>AVERAGE(D2523:D2722)</f>
        <v/>
      </c>
      <c r="I2722">
        <f>AVERAGE(E2523:E2722)</f>
        <v/>
      </c>
      <c r="J2722">
        <f>AVERAGE(F2523:F2722)</f>
        <v/>
      </c>
    </row>
    <row r="2723">
      <c r="C2723" s="539" t="n">
        <v>43397</v>
      </c>
      <c r="D2723" t="n">
        <v>116.6600036621094</v>
      </c>
      <c r="E2723" t="n">
        <v>112.4000015258789</v>
      </c>
      <c r="F2723" t="n">
        <v>15.14603424072266</v>
      </c>
      <c r="G2723" t="n">
        <v>74.51776123046875</v>
      </c>
      <c r="H2723">
        <f>AVERAGE(D2524:D2723)</f>
        <v/>
      </c>
      <c r="I2723">
        <f>AVERAGE(E2524:E2723)</f>
        <v/>
      </c>
      <c r="J2723">
        <f>AVERAGE(F2524:F2723)</f>
        <v/>
      </c>
    </row>
    <row r="2724">
      <c r="C2724" s="539" t="n">
        <v>43398</v>
      </c>
      <c r="D2724" t="n">
        <v>116.4000015258789</v>
      </c>
      <c r="E2724" t="n">
        <v>113.6800003051758</v>
      </c>
      <c r="F2724" t="n">
        <v>15.09445667266846</v>
      </c>
      <c r="G2724" t="n">
        <v>74.52584838867188</v>
      </c>
      <c r="H2724">
        <f>AVERAGE(D2525:D2724)</f>
        <v/>
      </c>
      <c r="I2724">
        <f>AVERAGE(E2525:E2724)</f>
        <v/>
      </c>
      <c r="J2724">
        <f>AVERAGE(F2525:F2724)</f>
        <v/>
      </c>
    </row>
    <row r="2725">
      <c r="C2725" s="539" t="n">
        <v>43399</v>
      </c>
      <c r="D2725" t="n">
        <v>116.7699966430664</v>
      </c>
      <c r="E2725" t="n">
        <v>114.6399993896484</v>
      </c>
      <c r="F2725" t="n">
        <v>15.2319917678833</v>
      </c>
      <c r="G2725" t="n">
        <v>74.53397369384766</v>
      </c>
      <c r="H2725">
        <f>AVERAGE(D2526:D2725)</f>
        <v/>
      </c>
      <c r="I2725">
        <f>AVERAGE(E2526:E2725)</f>
        <v/>
      </c>
      <c r="J2725">
        <f>AVERAGE(F2526:F2725)</f>
        <v/>
      </c>
    </row>
    <row r="2726">
      <c r="C2726" s="539" t="n">
        <v>43402</v>
      </c>
      <c r="D2726" t="n">
        <v>116.3099975585938</v>
      </c>
      <c r="E2726" t="n">
        <v>112.879997253418</v>
      </c>
      <c r="F2726" t="n">
        <v>15.05147647857666</v>
      </c>
      <c r="G2726" t="n">
        <v>74.53397369384766</v>
      </c>
      <c r="H2726">
        <f>AVERAGE(D2527:D2726)</f>
        <v/>
      </c>
      <c r="I2726">
        <f>AVERAGE(E2527:E2726)</f>
        <v/>
      </c>
      <c r="J2726">
        <f>AVERAGE(F2527:F2726)</f>
        <v/>
      </c>
    </row>
    <row r="2727">
      <c r="C2727" s="539" t="n">
        <v>43403</v>
      </c>
      <c r="D2727" t="n">
        <v>115.8000030517578</v>
      </c>
      <c r="E2727" t="n">
        <v>112.2399978637695</v>
      </c>
      <c r="F2727" t="n">
        <v>14.99990272521973</v>
      </c>
      <c r="G2727" t="n">
        <v>74.53397369384766</v>
      </c>
      <c r="H2727">
        <f>AVERAGE(D2528:D2727)</f>
        <v/>
      </c>
      <c r="I2727">
        <f>AVERAGE(E2528:E2727)</f>
        <v/>
      </c>
      <c r="J2727">
        <f>AVERAGE(F2528:F2727)</f>
        <v/>
      </c>
    </row>
    <row r="2728">
      <c r="C2728" s="539" t="n">
        <v>43404</v>
      </c>
      <c r="D2728" t="n">
        <v>115.1500015258789</v>
      </c>
      <c r="E2728" t="n">
        <v>110.3199996948242</v>
      </c>
      <c r="F2728" t="n">
        <v>14.96551895141602</v>
      </c>
      <c r="G2728" t="n">
        <v>74.54212951660156</v>
      </c>
      <c r="H2728">
        <f>AVERAGE(D2529:D2728)</f>
        <v/>
      </c>
      <c r="I2728">
        <f>AVERAGE(E2529:E2728)</f>
        <v/>
      </c>
      <c r="J2728">
        <f>AVERAGE(F2529:F2728)</f>
        <v/>
      </c>
    </row>
    <row r="2729">
      <c r="C2729" s="539" t="n">
        <v>43405</v>
      </c>
      <c r="D2729" t="n">
        <v>116.629997253418</v>
      </c>
      <c r="E2729" t="n">
        <v>107.6800003051758</v>
      </c>
      <c r="F2729" t="n">
        <v>15.14603424072266</v>
      </c>
      <c r="G2729" t="n">
        <v>74.55844116210938</v>
      </c>
      <c r="H2729">
        <f>AVERAGE(D2530:D2729)</f>
        <v/>
      </c>
      <c r="I2729">
        <f>AVERAGE(E2530:E2729)</f>
        <v/>
      </c>
      <c r="J2729">
        <f>AVERAGE(F2530:F2729)</f>
        <v/>
      </c>
    </row>
    <row r="2730">
      <c r="C2730" s="539" t="n">
        <v>43406</v>
      </c>
      <c r="D2730" t="n">
        <v>116.6500015258789</v>
      </c>
      <c r="E2730" t="n">
        <v>106.4800033569336</v>
      </c>
      <c r="F2730" t="n">
        <v>15.27497291564941</v>
      </c>
      <c r="G2730" t="n">
        <v>74.55844116210938</v>
      </c>
      <c r="H2730">
        <f>AVERAGE(D2531:D2730)</f>
        <v/>
      </c>
      <c r="I2730">
        <f>AVERAGE(E2531:E2730)</f>
        <v/>
      </c>
      <c r="J2730">
        <f>AVERAGE(F2531:F2730)</f>
        <v/>
      </c>
    </row>
    <row r="2731">
      <c r="C2731" s="539" t="n">
        <v>43409</v>
      </c>
      <c r="D2731" t="n">
        <v>116.370002746582</v>
      </c>
      <c r="E2731" t="n">
        <v>106.4000015258789</v>
      </c>
      <c r="F2731" t="n">
        <v>15.18901252746582</v>
      </c>
      <c r="G2731" t="n">
        <v>74.56657409667969</v>
      </c>
      <c r="H2731">
        <f>AVERAGE(D2532:D2731)</f>
        <v/>
      </c>
      <c r="I2731">
        <f>AVERAGE(E2532:E2731)</f>
        <v/>
      </c>
      <c r="J2731">
        <f>AVERAGE(F2532:F2731)</f>
        <v/>
      </c>
    </row>
    <row r="2732">
      <c r="C2732" s="539" t="n">
        <v>43410</v>
      </c>
      <c r="D2732" t="n">
        <v>116.0400009155273</v>
      </c>
      <c r="E2732" t="n">
        <v>105.4400024414062</v>
      </c>
      <c r="F2732" t="n">
        <v>15.11164951324463</v>
      </c>
      <c r="G2732" t="n">
        <v>74.56657409667969</v>
      </c>
      <c r="H2732">
        <f>AVERAGE(D2533:D2732)</f>
        <v/>
      </c>
      <c r="I2732">
        <f>AVERAGE(E2533:E2732)</f>
        <v/>
      </c>
      <c r="J2732">
        <f>AVERAGE(F2533:F2732)</f>
        <v/>
      </c>
    </row>
    <row r="2733">
      <c r="C2733" s="539" t="n">
        <v>43411</v>
      </c>
      <c r="D2733" t="n">
        <v>116.0299987792969</v>
      </c>
      <c r="E2733" t="n">
        <v>104.4800033569336</v>
      </c>
      <c r="F2733" t="n">
        <v>15.12024593353271</v>
      </c>
      <c r="G2733" t="n">
        <v>74.57472991943359</v>
      </c>
      <c r="H2733">
        <f>AVERAGE(D2534:D2733)</f>
        <v/>
      </c>
      <c r="I2733">
        <f>AVERAGE(E2534:E2733)</f>
        <v/>
      </c>
      <c r="J2733">
        <f>AVERAGE(F2534:F2733)</f>
        <v/>
      </c>
    </row>
    <row r="2734">
      <c r="C2734" s="539" t="n">
        <v>43412</v>
      </c>
      <c r="D2734" t="n">
        <v>115.7799987792969</v>
      </c>
      <c r="E2734" t="n">
        <v>102.7200012207031</v>
      </c>
      <c r="F2734" t="n">
        <v>15.04288196563721</v>
      </c>
      <c r="G2734" t="n">
        <v>74.58292388916016</v>
      </c>
      <c r="H2734">
        <f>AVERAGE(D2535:D2734)</f>
        <v/>
      </c>
      <c r="I2734">
        <f>AVERAGE(E2535:E2734)</f>
        <v/>
      </c>
      <c r="J2734">
        <f>AVERAGE(F2535:F2734)</f>
        <v/>
      </c>
    </row>
    <row r="2735">
      <c r="C2735" s="539" t="n">
        <v>43413</v>
      </c>
      <c r="D2735" t="n">
        <v>114.4800033569336</v>
      </c>
      <c r="E2735" t="n">
        <v>101.5999984741211</v>
      </c>
      <c r="F2735" t="n">
        <v>14.87955856323242</v>
      </c>
      <c r="G2735" t="n">
        <v>74.59922790527344</v>
      </c>
      <c r="H2735">
        <f>AVERAGE(D2536:D2735)</f>
        <v/>
      </c>
      <c r="I2735">
        <f>AVERAGE(E2536:E2735)</f>
        <v/>
      </c>
      <c r="J2735">
        <f>AVERAGE(F2536:F2735)</f>
        <v/>
      </c>
    </row>
    <row r="2736">
      <c r="C2736" s="539" t="n">
        <v>43416</v>
      </c>
      <c r="D2736" t="n">
        <v>113.6600036621094</v>
      </c>
      <c r="E2736" t="n">
        <v>99.83999633789062</v>
      </c>
      <c r="F2736" t="n">
        <v>14.8709602355957</v>
      </c>
      <c r="G2736" t="n">
        <v>74.59107208251953</v>
      </c>
      <c r="H2736">
        <f>AVERAGE(D2537:D2736)</f>
        <v/>
      </c>
      <c r="I2736">
        <f>AVERAGE(E2537:E2736)</f>
        <v/>
      </c>
      <c r="J2736">
        <f>AVERAGE(F2537:F2736)</f>
        <v/>
      </c>
    </row>
    <row r="2737">
      <c r="C2737" s="539" t="n">
        <v>43417</v>
      </c>
      <c r="D2737" t="n">
        <v>113.6999969482422</v>
      </c>
      <c r="E2737" t="n">
        <v>93.51999664306641</v>
      </c>
      <c r="F2737" t="n">
        <v>14.810791015625</v>
      </c>
      <c r="G2737" t="n">
        <v>74.59922790527344</v>
      </c>
      <c r="H2737">
        <f>AVERAGE(D2538:D2737)</f>
        <v/>
      </c>
      <c r="I2737">
        <f>AVERAGE(E2538:E2737)</f>
        <v/>
      </c>
      <c r="J2737">
        <f>AVERAGE(F2538:F2737)</f>
        <v/>
      </c>
    </row>
    <row r="2738">
      <c r="C2738" s="539" t="n">
        <v>43418</v>
      </c>
      <c r="D2738" t="n">
        <v>114.6399993896484</v>
      </c>
      <c r="E2738" t="n">
        <v>95.59999847412109</v>
      </c>
      <c r="F2738" t="n">
        <v>14.85377311706543</v>
      </c>
      <c r="G2738" t="n">
        <v>74.59107208251953</v>
      </c>
      <c r="H2738">
        <f>AVERAGE(D2539:D2738)</f>
        <v/>
      </c>
      <c r="I2738">
        <f>AVERAGE(E2539:E2738)</f>
        <v/>
      </c>
      <c r="J2738">
        <f>AVERAGE(F2539:F2738)</f>
        <v/>
      </c>
    </row>
    <row r="2739">
      <c r="C2739" s="539" t="n">
        <v>43419</v>
      </c>
      <c r="D2739" t="n">
        <v>114.7699966430664</v>
      </c>
      <c r="E2739" t="n">
        <v>95.83999633789062</v>
      </c>
      <c r="F2739" t="n">
        <v>14.81938934326172</v>
      </c>
      <c r="G2739" t="n">
        <v>74.61550140380859</v>
      </c>
      <c r="H2739">
        <f>AVERAGE(D2540:D2739)</f>
        <v/>
      </c>
      <c r="I2739">
        <f>AVERAGE(E2540:E2739)</f>
        <v/>
      </c>
      <c r="J2739">
        <f>AVERAGE(F2540:F2739)</f>
        <v/>
      </c>
    </row>
    <row r="2740">
      <c r="C2740" s="539" t="n">
        <v>43420</v>
      </c>
      <c r="D2740" t="n">
        <v>115.620002746582</v>
      </c>
      <c r="E2740" t="n">
        <v>96.55999755859375</v>
      </c>
      <c r="F2740" t="n">
        <v>14.97411441802979</v>
      </c>
      <c r="G2740" t="n">
        <v>74.62364959716797</v>
      </c>
      <c r="H2740">
        <f>AVERAGE(D2541:D2740)</f>
        <v/>
      </c>
      <c r="I2740">
        <f>AVERAGE(E2541:E2740)</f>
        <v/>
      </c>
      <c r="J2740">
        <f>AVERAGE(F2541:F2740)</f>
        <v/>
      </c>
    </row>
    <row r="2741">
      <c r="C2741" s="539" t="n">
        <v>43423</v>
      </c>
      <c r="D2741" t="n">
        <v>115.6699981689453</v>
      </c>
      <c r="E2741" t="n">
        <v>97.12000274658203</v>
      </c>
      <c r="F2741" t="n">
        <v>14.92253875732422</v>
      </c>
      <c r="G2741" t="n">
        <v>74.61550140380859</v>
      </c>
      <c r="H2741">
        <f>AVERAGE(D2542:D2741)</f>
        <v/>
      </c>
      <c r="I2741">
        <f>AVERAGE(E2542:E2741)</f>
        <v/>
      </c>
      <c r="J2741">
        <f>AVERAGE(F2542:F2741)</f>
        <v/>
      </c>
    </row>
    <row r="2742">
      <c r="C2742" s="539" t="n">
        <v>43424</v>
      </c>
      <c r="D2742" t="n">
        <v>115.6699981689453</v>
      </c>
      <c r="E2742" t="n">
        <v>90.16000366210938</v>
      </c>
      <c r="F2742" t="n">
        <v>14.82798290252686</v>
      </c>
      <c r="G2742" t="n">
        <v>74.63182067871094</v>
      </c>
      <c r="H2742">
        <f>AVERAGE(D2543:D2742)</f>
        <v/>
      </c>
      <c r="I2742">
        <f>AVERAGE(E2543:E2742)</f>
        <v/>
      </c>
      <c r="J2742">
        <f>AVERAGE(F2543:F2742)</f>
        <v/>
      </c>
    </row>
    <row r="2743">
      <c r="C2743" s="539" t="n">
        <v>43425</v>
      </c>
      <c r="D2743" t="n">
        <v>115.8600006103516</v>
      </c>
      <c r="E2743" t="n">
        <v>92.16000366210938</v>
      </c>
      <c r="F2743" t="n">
        <v>14.81938934326172</v>
      </c>
      <c r="G2743" t="n">
        <v>74.64811706542969</v>
      </c>
      <c r="H2743">
        <f>AVERAGE(D2544:D2743)</f>
        <v/>
      </c>
      <c r="I2743">
        <f>AVERAGE(E2544:E2743)</f>
        <v/>
      </c>
      <c r="J2743">
        <f>AVERAGE(F2544:F2743)</f>
        <v/>
      </c>
    </row>
    <row r="2744">
      <c r="C2744" s="539" t="n">
        <v>43427</v>
      </c>
      <c r="D2744" t="n">
        <v>115.7699966430664</v>
      </c>
      <c r="E2744" t="n">
        <v>86.63999938964844</v>
      </c>
      <c r="F2744" t="n">
        <v>14.75061988830566</v>
      </c>
      <c r="G2744" t="n">
        <v>74.64811706542969</v>
      </c>
      <c r="H2744">
        <f>AVERAGE(D2545:D2744)</f>
        <v/>
      </c>
      <c r="I2744">
        <f>AVERAGE(E2545:E2744)</f>
        <v/>
      </c>
      <c r="J2744">
        <f>AVERAGE(F2545:F2744)</f>
        <v/>
      </c>
    </row>
    <row r="2745">
      <c r="C2745" s="539" t="n">
        <v>43430</v>
      </c>
      <c r="D2745" t="n">
        <v>115.6399993896484</v>
      </c>
      <c r="E2745" t="n">
        <v>87.51999664306641</v>
      </c>
      <c r="F2745" t="n">
        <v>14.68185234069824</v>
      </c>
      <c r="G2745" t="n">
        <v>74.65625762939453</v>
      </c>
      <c r="H2745">
        <f>AVERAGE(D2546:D2745)</f>
        <v/>
      </c>
      <c r="I2745">
        <f>AVERAGE(E2546:E2745)</f>
        <v/>
      </c>
      <c r="J2745">
        <f>AVERAGE(F2546:F2745)</f>
        <v/>
      </c>
    </row>
    <row r="2746">
      <c r="C2746" s="539" t="n">
        <v>43431</v>
      </c>
      <c r="D2746" t="n">
        <v>114.9499969482422</v>
      </c>
      <c r="E2746" t="n">
        <v>87.59999847412109</v>
      </c>
      <c r="F2746" t="n">
        <v>14.69044971466064</v>
      </c>
      <c r="G2746" t="n">
        <v>74.65625762939453</v>
      </c>
      <c r="H2746">
        <f>AVERAGE(D2547:D2746)</f>
        <v/>
      </c>
      <c r="I2746">
        <f>AVERAGE(E2547:E2746)</f>
        <v/>
      </c>
      <c r="J2746">
        <f>AVERAGE(F2547:F2746)</f>
        <v/>
      </c>
    </row>
    <row r="2747">
      <c r="C2747" s="539" t="n">
        <v>43432</v>
      </c>
      <c r="D2747" t="n">
        <v>115.379997253418</v>
      </c>
      <c r="E2747" t="n">
        <v>85.27999877929688</v>
      </c>
      <c r="F2747" t="n">
        <v>14.82798290252686</v>
      </c>
      <c r="G2747" t="n">
        <v>74.66441345214844</v>
      </c>
      <c r="H2747">
        <f>AVERAGE(D2548:D2747)</f>
        <v/>
      </c>
      <c r="I2747">
        <f>AVERAGE(E2548:E2747)</f>
        <v/>
      </c>
      <c r="J2747">
        <f>AVERAGE(F2548:F2747)</f>
        <v/>
      </c>
    </row>
    <row r="2748">
      <c r="C2748" s="539" t="n">
        <v>43433</v>
      </c>
      <c r="D2748" t="n">
        <v>115.7399978637695</v>
      </c>
      <c r="E2748" t="n">
        <v>86.95999908447266</v>
      </c>
      <c r="F2748" t="n">
        <v>14.8623685836792</v>
      </c>
      <c r="G2748" t="n">
        <v>74.67258453369141</v>
      </c>
      <c r="H2748">
        <f>AVERAGE(D2549:D2748)</f>
        <v/>
      </c>
      <c r="I2748">
        <f>AVERAGE(E2549:E2748)</f>
        <v/>
      </c>
      <c r="J2748">
        <f>AVERAGE(F2549:F2748)</f>
        <v/>
      </c>
    </row>
    <row r="2749">
      <c r="C2749" s="539" t="n">
        <v>43434</v>
      </c>
      <c r="D2749" t="n">
        <v>115.5400009155273</v>
      </c>
      <c r="E2749" t="n">
        <v>85.83999633789062</v>
      </c>
      <c r="F2749" t="n">
        <v>14.8623685836792</v>
      </c>
      <c r="G2749" t="n">
        <v>74.68072509765625</v>
      </c>
      <c r="H2749">
        <f>AVERAGE(D2550:D2749)</f>
        <v/>
      </c>
      <c r="I2749">
        <f>AVERAGE(E2550:E2749)</f>
        <v/>
      </c>
      <c r="J2749">
        <f>AVERAGE(F2550:F2749)</f>
        <v/>
      </c>
    </row>
    <row r="2750">
      <c r="C2750" s="539" t="n">
        <v>43437</v>
      </c>
      <c r="D2750" t="n">
        <v>116.4100036621094</v>
      </c>
      <c r="E2750" t="n">
        <v>90.16000366210938</v>
      </c>
      <c r="F2750" t="n">
        <v>14.9311351776123</v>
      </c>
      <c r="G2750" t="n">
        <v>74.67826080322266</v>
      </c>
      <c r="H2750">
        <f>AVERAGE(D2551:D2750)</f>
        <v/>
      </c>
      <c r="I2750">
        <f>AVERAGE(E2551:E2750)</f>
        <v/>
      </c>
      <c r="J2750">
        <f>AVERAGE(F2551:F2750)</f>
        <v/>
      </c>
    </row>
    <row r="2751">
      <c r="C2751" s="539" t="n">
        <v>43438</v>
      </c>
      <c r="D2751" t="n">
        <v>117.120002746582</v>
      </c>
      <c r="E2751" t="n">
        <v>89.44000244140625</v>
      </c>
      <c r="F2751" t="n">
        <v>14.8623685836792</v>
      </c>
      <c r="G2751" t="n">
        <v>74.68646240234375</v>
      </c>
      <c r="H2751">
        <f>AVERAGE(D2552:D2751)</f>
        <v/>
      </c>
      <c r="I2751">
        <f>AVERAGE(E2552:E2751)</f>
        <v/>
      </c>
      <c r="J2751">
        <f>AVERAGE(F2552:F2751)</f>
        <v/>
      </c>
    </row>
    <row r="2752">
      <c r="C2752" s="539" t="n">
        <v>43440</v>
      </c>
      <c r="D2752" t="n">
        <v>117.1399993896484</v>
      </c>
      <c r="E2752" t="n">
        <v>87.51999664306641</v>
      </c>
      <c r="F2752" t="n">
        <v>14.82798290252686</v>
      </c>
      <c r="G2752" t="n">
        <v>74.70276641845703</v>
      </c>
      <c r="H2752">
        <f>AVERAGE(D2553:D2752)</f>
        <v/>
      </c>
      <c r="I2752">
        <f>AVERAGE(E2553:E2752)</f>
        <v/>
      </c>
      <c r="J2752">
        <f>AVERAGE(F2553:F2752)</f>
        <v/>
      </c>
    </row>
    <row r="2753">
      <c r="C2753" s="539" t="n">
        <v>43441</v>
      </c>
      <c r="D2753" t="n">
        <v>118.0899963378906</v>
      </c>
      <c r="E2753" t="n">
        <v>88.87999725341797</v>
      </c>
      <c r="F2753" t="n">
        <v>14.96551895141602</v>
      </c>
      <c r="G2753" t="n">
        <v>74.71095275878906</v>
      </c>
      <c r="H2753">
        <f>AVERAGE(D2554:D2753)</f>
        <v/>
      </c>
      <c r="I2753">
        <f>AVERAGE(E2554:E2753)</f>
        <v/>
      </c>
      <c r="J2753">
        <f>AVERAGE(F2554:F2753)</f>
        <v/>
      </c>
    </row>
    <row r="2754">
      <c r="C2754" s="539" t="n">
        <v>43444</v>
      </c>
      <c r="D2754" t="n">
        <v>117.6800003051758</v>
      </c>
      <c r="E2754" t="n">
        <v>86</v>
      </c>
      <c r="F2754" t="n">
        <v>14.90534687042236</v>
      </c>
      <c r="G2754" t="n">
        <v>74.71910858154297</v>
      </c>
      <c r="H2754">
        <f>AVERAGE(D2555:D2754)</f>
        <v/>
      </c>
      <c r="I2754">
        <f>AVERAGE(E2555:E2754)</f>
        <v/>
      </c>
      <c r="J2754">
        <f>AVERAGE(F2555:F2754)</f>
        <v/>
      </c>
    </row>
    <row r="2755">
      <c r="C2755" s="539" t="n">
        <v>43445</v>
      </c>
      <c r="D2755" t="n">
        <v>117.5400009155273</v>
      </c>
      <c r="E2755" t="n">
        <v>87.59999847412109</v>
      </c>
      <c r="F2755" t="n">
        <v>14.82798290252686</v>
      </c>
      <c r="G2755" t="n">
        <v>74.71095275878906</v>
      </c>
      <c r="H2755">
        <f>AVERAGE(D2556:D2755)</f>
        <v/>
      </c>
      <c r="I2755">
        <f>AVERAGE(E2556:E2755)</f>
        <v/>
      </c>
      <c r="J2755">
        <f>AVERAGE(F2556:F2755)</f>
        <v/>
      </c>
    </row>
    <row r="2756">
      <c r="C2756" s="539" t="n">
        <v>43446</v>
      </c>
      <c r="D2756" t="n">
        <v>117.7900009155273</v>
      </c>
      <c r="E2756" t="n">
        <v>86.55999755859375</v>
      </c>
      <c r="F2756" t="n">
        <v>14.89675140380859</v>
      </c>
      <c r="G2756" t="n">
        <v>74.72728729248047</v>
      </c>
      <c r="H2756">
        <f>AVERAGE(D2557:D2756)</f>
        <v/>
      </c>
      <c r="I2756">
        <f>AVERAGE(E2557:E2756)</f>
        <v/>
      </c>
      <c r="J2756">
        <f>AVERAGE(F2557:F2756)</f>
        <v/>
      </c>
    </row>
    <row r="2757">
      <c r="C2757" s="539" t="n">
        <v>43447</v>
      </c>
      <c r="D2757" t="n">
        <v>117.5299987792969</v>
      </c>
      <c r="E2757" t="n">
        <v>89.68000030517578</v>
      </c>
      <c r="F2757" t="n">
        <v>14.96551895141602</v>
      </c>
      <c r="G2757" t="n">
        <v>74.73542785644531</v>
      </c>
      <c r="H2757">
        <f>AVERAGE(D2558:D2757)</f>
        <v/>
      </c>
      <c r="I2757">
        <f>AVERAGE(E2558:E2757)</f>
        <v/>
      </c>
      <c r="J2757">
        <f>AVERAGE(F2558:F2757)</f>
        <v/>
      </c>
    </row>
    <row r="2758">
      <c r="C2758" s="539" t="n">
        <v>43448</v>
      </c>
      <c r="D2758" t="n">
        <v>117.0599975585938</v>
      </c>
      <c r="E2758" t="n">
        <v>86.55999755859375</v>
      </c>
      <c r="F2758" t="n">
        <v>14.89675140380859</v>
      </c>
      <c r="G2758" t="n">
        <v>74.74359130859375</v>
      </c>
      <c r="H2758">
        <f>AVERAGE(D2559:D2758)</f>
        <v/>
      </c>
      <c r="I2758">
        <f>AVERAGE(E2559:E2758)</f>
        <v/>
      </c>
      <c r="J2758">
        <f>AVERAGE(F2559:F2758)</f>
        <v/>
      </c>
    </row>
    <row r="2759">
      <c r="C2759" s="539" t="n">
        <v>43451</v>
      </c>
      <c r="D2759" t="n">
        <v>117.870002746582</v>
      </c>
      <c r="E2759" t="n">
        <v>83.59999847412109</v>
      </c>
      <c r="F2759" t="n">
        <v>14.80219650268555</v>
      </c>
      <c r="G2759" t="n">
        <v>74.75177001953125</v>
      </c>
      <c r="H2759">
        <f>AVERAGE(D2560:D2759)</f>
        <v/>
      </c>
      <c r="I2759">
        <f>AVERAGE(E2560:E2759)</f>
        <v/>
      </c>
      <c r="J2759">
        <f>AVERAGE(F2560:F2759)</f>
        <v/>
      </c>
    </row>
    <row r="2760">
      <c r="C2760" s="539" t="n">
        <v>43452</v>
      </c>
      <c r="D2760" t="n">
        <v>118.1500015258789</v>
      </c>
      <c r="E2760" t="n">
        <v>78.31999969482422</v>
      </c>
      <c r="F2760" t="n">
        <v>14.80219650268555</v>
      </c>
      <c r="G2760" t="n">
        <v>74.75177001953125</v>
      </c>
      <c r="H2760">
        <f>AVERAGE(D2561:D2760)</f>
        <v/>
      </c>
      <c r="I2760">
        <f>AVERAGE(E2561:E2760)</f>
        <v/>
      </c>
      <c r="J2760">
        <f>AVERAGE(F2561:F2760)</f>
        <v/>
      </c>
    </row>
    <row r="2761">
      <c r="C2761" s="539" t="n">
        <v>43453</v>
      </c>
      <c r="D2761" t="n">
        <v>117.4300003051758</v>
      </c>
      <c r="E2761" t="n">
        <v>80.16000366210938</v>
      </c>
      <c r="F2761" t="n">
        <v>14.77640819549561</v>
      </c>
      <c r="G2761" t="n">
        <v>74.74358367919922</v>
      </c>
      <c r="H2761">
        <f>AVERAGE(D2562:D2761)</f>
        <v/>
      </c>
      <c r="I2761">
        <f>AVERAGE(E2562:E2761)</f>
        <v/>
      </c>
      <c r="J2761">
        <f>AVERAGE(F2562:F2761)</f>
        <v/>
      </c>
    </row>
    <row r="2762">
      <c r="C2762" s="539" t="n">
        <v>43454</v>
      </c>
      <c r="D2762" t="n">
        <v>119.2399978637695</v>
      </c>
      <c r="E2762" t="n">
        <v>77.76000213623047</v>
      </c>
      <c r="F2762" t="n">
        <v>14.73342895507812</v>
      </c>
      <c r="G2762" t="n">
        <v>74.75994873046875</v>
      </c>
      <c r="H2762">
        <f>AVERAGE(D2563:D2762)</f>
        <v/>
      </c>
      <c r="I2762">
        <f>AVERAGE(E2563:E2762)</f>
        <v/>
      </c>
      <c r="J2762">
        <f>AVERAGE(F2563:F2762)</f>
        <v/>
      </c>
    </row>
    <row r="2763">
      <c r="C2763" s="539" t="n">
        <v>43455</v>
      </c>
      <c r="D2763" t="n">
        <v>118.7200012207031</v>
      </c>
      <c r="E2763" t="n">
        <v>76.55999755859375</v>
      </c>
      <c r="F2763" t="n">
        <v>14.6130838394165</v>
      </c>
      <c r="G2763" t="n">
        <v>74.77632141113281</v>
      </c>
      <c r="H2763">
        <f>AVERAGE(D2564:D2763)</f>
        <v/>
      </c>
      <c r="I2763">
        <f>AVERAGE(E2564:E2763)</f>
        <v/>
      </c>
      <c r="J2763">
        <f>AVERAGE(F2564:F2763)</f>
        <v/>
      </c>
    </row>
    <row r="2764">
      <c r="C2764" s="539" t="n">
        <v>43458</v>
      </c>
      <c r="D2764" t="n">
        <v>120.0199966430664</v>
      </c>
      <c r="E2764" t="n">
        <v>74.31999969482422</v>
      </c>
      <c r="F2764" t="n">
        <v>14.72602844238281</v>
      </c>
      <c r="G2764" t="n">
        <v>74.78447723388672</v>
      </c>
      <c r="H2764">
        <f>AVERAGE(D2565:D2764)</f>
        <v/>
      </c>
      <c r="I2764">
        <f>AVERAGE(E2565:E2764)</f>
        <v/>
      </c>
      <c r="J2764">
        <f>AVERAGE(F2565:F2764)</f>
        <v/>
      </c>
    </row>
    <row r="2765">
      <c r="C2765" s="539" t="n">
        <v>43460</v>
      </c>
      <c r="D2765" t="n">
        <v>119.6600036621094</v>
      </c>
      <c r="E2765" t="n">
        <v>79.19999694824219</v>
      </c>
      <c r="F2765" t="n">
        <v>14.73471450805664</v>
      </c>
      <c r="G2765" t="n">
        <v>74.77632141113281</v>
      </c>
      <c r="H2765">
        <f>AVERAGE(D2566:D2765)</f>
        <v/>
      </c>
      <c r="I2765">
        <f>AVERAGE(E2566:E2765)</f>
        <v/>
      </c>
      <c r="J2765">
        <f>AVERAGE(F2566:F2765)</f>
        <v/>
      </c>
    </row>
    <row r="2766">
      <c r="C2766" s="539" t="n">
        <v>43461</v>
      </c>
      <c r="D2766" t="n">
        <v>120.5699996948242</v>
      </c>
      <c r="E2766" t="n">
        <v>76.95999908447266</v>
      </c>
      <c r="F2766" t="n">
        <v>14.68258762359619</v>
      </c>
      <c r="G2766" t="n">
        <v>74.80084991455078</v>
      </c>
      <c r="H2766">
        <f>AVERAGE(D2567:D2766)</f>
        <v/>
      </c>
      <c r="I2766">
        <f>AVERAGE(E2567:E2766)</f>
        <v/>
      </c>
      <c r="J2766">
        <f>AVERAGE(F2567:F2766)</f>
        <v/>
      </c>
    </row>
    <row r="2767">
      <c r="C2767" s="539" t="n">
        <v>43462</v>
      </c>
      <c r="D2767" t="n">
        <v>121.0599975585938</v>
      </c>
      <c r="E2767" t="n">
        <v>76.23999786376953</v>
      </c>
      <c r="F2767" t="n">
        <v>14.74340343475342</v>
      </c>
      <c r="G2767" t="n">
        <v>74.80900573730469</v>
      </c>
      <c r="H2767">
        <f>AVERAGE(D2568:D2767)</f>
        <v/>
      </c>
      <c r="I2767">
        <f>AVERAGE(E2568:E2767)</f>
        <v/>
      </c>
      <c r="J2767">
        <f>AVERAGE(F2568:F2767)</f>
        <v/>
      </c>
    </row>
    <row r="2768">
      <c r="C2768" s="539" t="n">
        <v>43465</v>
      </c>
      <c r="D2768" t="n">
        <v>121.25</v>
      </c>
      <c r="E2768" t="n">
        <v>77.27999877929688</v>
      </c>
      <c r="F2768" t="n">
        <v>14.71733951568604</v>
      </c>
      <c r="G2768" t="n">
        <v>74.81721496582031</v>
      </c>
      <c r="H2768">
        <f>AVERAGE(D2569:D2768)</f>
        <v/>
      </c>
      <c r="I2768">
        <f>AVERAGE(E2569:E2768)</f>
        <v/>
      </c>
      <c r="J2768">
        <f>AVERAGE(F2569:F2768)</f>
        <v/>
      </c>
    </row>
    <row r="2769">
      <c r="C2769" s="539" t="n">
        <v>43467</v>
      </c>
      <c r="D2769" t="n">
        <v>121.3300018310547</v>
      </c>
      <c r="E2769" t="n">
        <v>78.80000305175781</v>
      </c>
      <c r="F2769" t="n">
        <v>14.69127655029297</v>
      </c>
      <c r="G2769" t="n">
        <v>74.80900573730469</v>
      </c>
      <c r="H2769">
        <f>AVERAGE(D2570:D2769)</f>
        <v/>
      </c>
      <c r="I2769">
        <f>AVERAGE(E2570:E2769)</f>
        <v/>
      </c>
      <c r="J2769">
        <f>AVERAGE(F2570:F2769)</f>
        <v/>
      </c>
    </row>
    <row r="2770">
      <c r="C2770" s="539" t="n">
        <v>43468</v>
      </c>
      <c r="D2770" t="n">
        <v>122.4300003051758</v>
      </c>
      <c r="E2770" t="n">
        <v>79.59999847412109</v>
      </c>
      <c r="F2770" t="n">
        <v>14.74340343475342</v>
      </c>
      <c r="G2770" t="n">
        <v>74.83355712890625</v>
      </c>
      <c r="H2770">
        <f>AVERAGE(D2571:D2770)</f>
        <v/>
      </c>
      <c r="I2770">
        <f>AVERAGE(E2571:E2770)</f>
        <v/>
      </c>
      <c r="J2770">
        <f>AVERAGE(F2571:F2770)</f>
        <v/>
      </c>
    </row>
    <row r="2771">
      <c r="C2771" s="539" t="n">
        <v>43469</v>
      </c>
      <c r="D2771" t="n">
        <v>121.4400024414062</v>
      </c>
      <c r="E2771" t="n">
        <v>81.44000244140625</v>
      </c>
      <c r="F2771" t="n">
        <v>14.71733951568604</v>
      </c>
      <c r="G2771" t="n">
        <v>74.84175872802734</v>
      </c>
      <c r="H2771">
        <f>AVERAGE(D2572:D2771)</f>
        <v/>
      </c>
      <c r="I2771">
        <f>AVERAGE(E2572:E2771)</f>
        <v/>
      </c>
      <c r="J2771">
        <f>AVERAGE(F2572:F2771)</f>
        <v/>
      </c>
    </row>
    <row r="2772">
      <c r="C2772" s="539" t="n">
        <v>43472</v>
      </c>
      <c r="D2772" t="n">
        <v>121.8600006103516</v>
      </c>
      <c r="E2772" t="n">
        <v>82.31999969482422</v>
      </c>
      <c r="F2772" t="n">
        <v>14.90847396850586</v>
      </c>
      <c r="G2772" t="n">
        <v>74.84175872802734</v>
      </c>
      <c r="H2772">
        <f>AVERAGE(D2573:D2772)</f>
        <v/>
      </c>
      <c r="I2772">
        <f>AVERAGE(E2573:E2772)</f>
        <v/>
      </c>
      <c r="J2772">
        <f>AVERAGE(F2573:F2772)</f>
        <v/>
      </c>
    </row>
    <row r="2773">
      <c r="C2773" s="539" t="n">
        <v>43473</v>
      </c>
      <c r="D2773" t="n">
        <v>121.5299987792969</v>
      </c>
      <c r="E2773" t="n">
        <v>84</v>
      </c>
      <c r="F2773" t="n">
        <v>15.01273059844971</v>
      </c>
      <c r="G2773" t="n">
        <v>74.84175872802734</v>
      </c>
      <c r="H2773">
        <f>AVERAGE(D2574:D2773)</f>
        <v/>
      </c>
      <c r="I2773">
        <f>AVERAGE(E2574:E2773)</f>
        <v/>
      </c>
      <c r="J2773">
        <f>AVERAGE(F2574:F2773)</f>
        <v/>
      </c>
    </row>
    <row r="2774">
      <c r="C2774" s="539" t="n">
        <v>43474</v>
      </c>
      <c r="D2774" t="n">
        <v>122.3099975585938</v>
      </c>
      <c r="E2774" t="n">
        <v>88.40000152587891</v>
      </c>
      <c r="F2774" t="n">
        <v>15.03879261016846</v>
      </c>
      <c r="G2774" t="n">
        <v>74.84175872802734</v>
      </c>
      <c r="H2774">
        <f>AVERAGE(D2575:D2774)</f>
        <v/>
      </c>
      <c r="I2774">
        <f>AVERAGE(E2575:E2774)</f>
        <v/>
      </c>
      <c r="J2774">
        <f>AVERAGE(F2575:F2774)</f>
        <v/>
      </c>
    </row>
    <row r="2775">
      <c r="C2775" s="539" t="n">
        <v>43475</v>
      </c>
      <c r="D2775" t="n">
        <v>121.5899963378906</v>
      </c>
      <c r="E2775" t="n">
        <v>88.80000305175781</v>
      </c>
      <c r="F2775" t="n">
        <v>14.92585182189941</v>
      </c>
      <c r="G2775" t="n">
        <v>74.84993743896484</v>
      </c>
      <c r="H2775">
        <f>AVERAGE(D2576:D2775)</f>
        <v/>
      </c>
      <c r="I2775">
        <f>AVERAGE(E2576:E2775)</f>
        <v/>
      </c>
      <c r="J2775">
        <f>AVERAGE(F2576:F2775)</f>
        <v/>
      </c>
    </row>
    <row r="2776">
      <c r="C2776" s="539" t="n">
        <v>43476</v>
      </c>
      <c r="D2776" t="n">
        <v>121.8000030517578</v>
      </c>
      <c r="E2776" t="n">
        <v>87.19999694824219</v>
      </c>
      <c r="F2776" t="n">
        <v>14.97797870635986</v>
      </c>
      <c r="G2776" t="n">
        <v>74.86629486083984</v>
      </c>
      <c r="H2776">
        <f>AVERAGE(D2577:D2776)</f>
        <v/>
      </c>
      <c r="I2776">
        <f>AVERAGE(E2577:E2776)</f>
        <v/>
      </c>
      <c r="J2776">
        <f>AVERAGE(F2577:F2776)</f>
        <v/>
      </c>
    </row>
    <row r="2777">
      <c r="C2777" s="539" t="n">
        <v>43479</v>
      </c>
      <c r="D2777" t="n">
        <v>122.0899963378906</v>
      </c>
      <c r="E2777" t="n">
        <v>85.51999664306641</v>
      </c>
      <c r="F2777" t="n">
        <v>14.90847396850586</v>
      </c>
      <c r="G2777" t="n">
        <v>74.85812377929688</v>
      </c>
      <c r="H2777">
        <f>AVERAGE(D2578:D2777)</f>
        <v/>
      </c>
      <c r="I2777">
        <f>AVERAGE(E2578:E2777)</f>
        <v/>
      </c>
      <c r="J2777">
        <f>AVERAGE(F2578:F2777)</f>
        <v/>
      </c>
    </row>
    <row r="2778">
      <c r="C2778" s="539" t="n">
        <v>43480</v>
      </c>
      <c r="D2778" t="n">
        <v>121.879997253418</v>
      </c>
      <c r="E2778" t="n">
        <v>88</v>
      </c>
      <c r="F2778" t="n">
        <v>14.83897113800049</v>
      </c>
      <c r="G2778" t="n">
        <v>74.87446594238281</v>
      </c>
      <c r="H2778">
        <f>AVERAGE(D2579:D2778)</f>
        <v/>
      </c>
      <c r="I2778">
        <f>AVERAGE(E2579:E2778)</f>
        <v/>
      </c>
      <c r="J2778">
        <f>AVERAGE(F2579:F2778)</f>
        <v/>
      </c>
    </row>
    <row r="2779">
      <c r="C2779" s="539" t="n">
        <v>43481</v>
      </c>
      <c r="D2779" t="n">
        <v>122.2699966430664</v>
      </c>
      <c r="E2779" t="n">
        <v>88.48000335693359</v>
      </c>
      <c r="F2779" t="n">
        <v>14.85634708404541</v>
      </c>
      <c r="G2779" t="n">
        <v>74.88266754150391</v>
      </c>
      <c r="H2779">
        <f>AVERAGE(D2580:D2779)</f>
        <v/>
      </c>
      <c r="I2779">
        <f>AVERAGE(E2580:E2779)</f>
        <v/>
      </c>
      <c r="J2779">
        <f>AVERAGE(F2580:F2779)</f>
        <v/>
      </c>
    </row>
    <row r="2780">
      <c r="C2780" s="539" t="n">
        <v>43482</v>
      </c>
      <c r="D2780" t="n">
        <v>122.1100006103516</v>
      </c>
      <c r="E2780" t="n">
        <v>88.23999786376953</v>
      </c>
      <c r="F2780" t="n">
        <v>14.9432258605957</v>
      </c>
      <c r="G2780" t="n">
        <v>74.89903259277344</v>
      </c>
      <c r="H2780">
        <f>AVERAGE(D2581:D2780)</f>
        <v/>
      </c>
      <c r="I2780">
        <f>AVERAGE(E2581:E2780)</f>
        <v/>
      </c>
      <c r="J2780">
        <f>AVERAGE(F2581:F2780)</f>
        <v/>
      </c>
    </row>
    <row r="2781">
      <c r="C2781" s="539" t="n">
        <v>43483</v>
      </c>
      <c r="D2781" t="n">
        <v>121.0199966430664</v>
      </c>
      <c r="E2781" t="n">
        <v>90.48000335693359</v>
      </c>
      <c r="F2781" t="n">
        <v>15.01273059844971</v>
      </c>
      <c r="G2781" t="n">
        <v>74.89903259277344</v>
      </c>
      <c r="H2781">
        <f>AVERAGE(D2582:D2781)</f>
        <v/>
      </c>
      <c r="I2781">
        <f>AVERAGE(E2582:E2781)</f>
        <v/>
      </c>
      <c r="J2781">
        <f>AVERAGE(F2582:F2781)</f>
        <v/>
      </c>
    </row>
    <row r="2782">
      <c r="C2782" s="539" t="n">
        <v>43487</v>
      </c>
      <c r="D2782" t="n">
        <v>121.4499969482422</v>
      </c>
      <c r="E2782" t="n">
        <v>88.95999908447266</v>
      </c>
      <c r="F2782" t="n">
        <v>14.88240909576416</v>
      </c>
      <c r="G2782" t="n">
        <v>74.90721893310547</v>
      </c>
      <c r="H2782">
        <f>AVERAGE(D2583:D2782)</f>
        <v/>
      </c>
      <c r="I2782">
        <f>AVERAGE(E2583:E2782)</f>
        <v/>
      </c>
      <c r="J2782">
        <f>AVERAGE(F2583:F2782)</f>
        <v/>
      </c>
    </row>
    <row r="2783">
      <c r="C2783" s="539" t="n">
        <v>43488</v>
      </c>
      <c r="D2783" t="n">
        <v>121.2799987792969</v>
      </c>
      <c r="E2783" t="n">
        <v>88.40000152587891</v>
      </c>
      <c r="F2783" t="n">
        <v>14.92585182189941</v>
      </c>
      <c r="G2783" t="n">
        <v>74.90721893310547</v>
      </c>
      <c r="H2783">
        <f>AVERAGE(D2584:D2783)</f>
        <v/>
      </c>
      <c r="I2783">
        <f>AVERAGE(E2584:E2783)</f>
        <v/>
      </c>
      <c r="J2783">
        <f>AVERAGE(F2584:F2783)</f>
        <v/>
      </c>
    </row>
    <row r="2784">
      <c r="C2784" s="539" t="n">
        <v>43489</v>
      </c>
      <c r="D2784" t="n">
        <v>121.0899963378906</v>
      </c>
      <c r="E2784" t="n">
        <v>89.36000061035156</v>
      </c>
      <c r="F2784" t="n">
        <v>14.93453884124756</v>
      </c>
      <c r="G2784" t="n">
        <v>74.93173217773438</v>
      </c>
      <c r="H2784">
        <f>AVERAGE(D2585:D2784)</f>
        <v/>
      </c>
      <c r="I2784">
        <f>AVERAGE(E2585:E2784)</f>
        <v/>
      </c>
      <c r="J2784">
        <f>AVERAGE(F2585:F2784)</f>
        <v/>
      </c>
    </row>
    <row r="2785">
      <c r="C2785" s="539" t="n">
        <v>43490</v>
      </c>
      <c r="D2785" t="n">
        <v>122.8600006103516</v>
      </c>
      <c r="E2785" t="n">
        <v>90</v>
      </c>
      <c r="F2785" t="n">
        <v>14.83897113800049</v>
      </c>
      <c r="G2785" t="n">
        <v>74.92355346679688</v>
      </c>
      <c r="H2785">
        <f>AVERAGE(D2586:D2785)</f>
        <v/>
      </c>
      <c r="I2785">
        <f>AVERAGE(E2586:E2785)</f>
        <v/>
      </c>
      <c r="J2785">
        <f>AVERAGE(F2586:F2785)</f>
        <v/>
      </c>
    </row>
    <row r="2786">
      <c r="C2786" s="539" t="n">
        <v>43493</v>
      </c>
      <c r="D2786" t="n">
        <v>123.2900009155273</v>
      </c>
      <c r="E2786" t="n">
        <v>87.59999847412109</v>
      </c>
      <c r="F2786" t="n">
        <v>14.84766006469727</v>
      </c>
      <c r="G2786" t="n">
        <v>74.93173217773438</v>
      </c>
      <c r="H2786">
        <f>AVERAGE(D2587:D2786)</f>
        <v/>
      </c>
      <c r="I2786">
        <f>AVERAGE(E2587:E2786)</f>
        <v/>
      </c>
      <c r="J2786">
        <f>AVERAGE(F2587:F2786)</f>
        <v/>
      </c>
    </row>
    <row r="2787">
      <c r="C2787" s="539" t="n">
        <v>43494</v>
      </c>
      <c r="D2787" t="n">
        <v>123.9800033569336</v>
      </c>
      <c r="E2787" t="n">
        <v>89.27999877929688</v>
      </c>
      <c r="F2787" t="n">
        <v>14.77815628051758</v>
      </c>
      <c r="G2787" t="n">
        <v>74.93173217773438</v>
      </c>
      <c r="H2787">
        <f>AVERAGE(D2588:D2787)</f>
        <v/>
      </c>
      <c r="I2787">
        <f>AVERAGE(E2588:E2787)</f>
        <v/>
      </c>
      <c r="J2787">
        <f>AVERAGE(F2588:F2787)</f>
        <v/>
      </c>
    </row>
    <row r="2788">
      <c r="C2788" s="539" t="n">
        <v>43495</v>
      </c>
      <c r="D2788" t="n">
        <v>124.6900024414062</v>
      </c>
      <c r="E2788" t="n">
        <v>91.19999694824219</v>
      </c>
      <c r="F2788" t="n">
        <v>14.76946544647217</v>
      </c>
      <c r="G2788" t="n">
        <v>74.94811248779297</v>
      </c>
      <c r="H2788">
        <f>AVERAGE(D2589:D2788)</f>
        <v/>
      </c>
      <c r="I2788">
        <f>AVERAGE(E2589:E2788)</f>
        <v/>
      </c>
      <c r="J2788">
        <f>AVERAGE(F2589:F2788)</f>
        <v/>
      </c>
    </row>
    <row r="2789">
      <c r="C2789" s="539" t="n">
        <v>43496</v>
      </c>
      <c r="D2789" t="n">
        <v>124.75</v>
      </c>
      <c r="E2789" t="n">
        <v>90.80000305175781</v>
      </c>
      <c r="F2789" t="n">
        <v>14.69996356964111</v>
      </c>
      <c r="G2789" t="n">
        <v>74.94811248779297</v>
      </c>
      <c r="H2789">
        <f>AVERAGE(D2590:D2789)</f>
        <v/>
      </c>
      <c r="I2789">
        <f>AVERAGE(E2590:E2789)</f>
        <v/>
      </c>
      <c r="J2789">
        <f>AVERAGE(F2590:F2789)</f>
        <v/>
      </c>
    </row>
    <row r="2790">
      <c r="C2790" s="539" t="n">
        <v>43497</v>
      </c>
      <c r="D2790" t="n">
        <v>124.5</v>
      </c>
      <c r="E2790" t="n">
        <v>93.04000091552734</v>
      </c>
      <c r="F2790" t="n">
        <v>14.70865345001221</v>
      </c>
      <c r="G2790" t="n">
        <v>74.95545196533203</v>
      </c>
      <c r="H2790">
        <f>AVERAGE(D2591:D2790)</f>
        <v/>
      </c>
      <c r="I2790">
        <f>AVERAGE(E2591:E2790)</f>
        <v/>
      </c>
      <c r="J2790">
        <f>AVERAGE(F2591:F2790)</f>
        <v/>
      </c>
    </row>
    <row r="2791">
      <c r="C2791" s="539" t="n">
        <v>43500</v>
      </c>
      <c r="D2791" t="n">
        <v>123.9599990844727</v>
      </c>
      <c r="E2791" t="n">
        <v>92</v>
      </c>
      <c r="F2791" t="n">
        <v>14.87372303009033</v>
      </c>
      <c r="G2791" t="n">
        <v>74.96367645263672</v>
      </c>
      <c r="H2791">
        <f>AVERAGE(D2592:D2791)</f>
        <v/>
      </c>
      <c r="I2791">
        <f>AVERAGE(E2592:E2791)</f>
        <v/>
      </c>
      <c r="J2791">
        <f>AVERAGE(F2592:F2791)</f>
        <v/>
      </c>
    </row>
    <row r="2792">
      <c r="C2792" s="539" t="n">
        <v>43501</v>
      </c>
      <c r="D2792" t="n">
        <v>124.2799987792969</v>
      </c>
      <c r="E2792" t="n">
        <v>90.31999969482422</v>
      </c>
      <c r="F2792" t="n">
        <v>14.83028411865234</v>
      </c>
      <c r="G2792" t="n">
        <v>74.96367645263672</v>
      </c>
      <c r="H2792">
        <f>AVERAGE(D2593:D2792)</f>
        <v/>
      </c>
      <c r="I2792">
        <f>AVERAGE(E2593:E2792)</f>
        <v/>
      </c>
      <c r="J2792">
        <f>AVERAGE(F2593:F2792)</f>
        <v/>
      </c>
    </row>
    <row r="2793">
      <c r="C2793" s="539" t="n">
        <v>43502</v>
      </c>
      <c r="D2793" t="n">
        <v>123.4400024414062</v>
      </c>
      <c r="E2793" t="n">
        <v>90.55999755859375</v>
      </c>
      <c r="F2793" t="n">
        <v>14.86503601074219</v>
      </c>
      <c r="G2793" t="n">
        <v>74.98007202148438</v>
      </c>
      <c r="H2793">
        <f>AVERAGE(D2594:D2793)</f>
        <v/>
      </c>
      <c r="I2793">
        <f>AVERAGE(E2594:E2793)</f>
        <v/>
      </c>
      <c r="J2793">
        <f>AVERAGE(F2594:F2793)</f>
        <v/>
      </c>
    </row>
    <row r="2794">
      <c r="C2794" s="539" t="n">
        <v>43503</v>
      </c>
      <c r="D2794" t="n">
        <v>123.7399978637695</v>
      </c>
      <c r="E2794" t="n">
        <v>88.55999755859375</v>
      </c>
      <c r="F2794" t="n">
        <v>14.72602844238281</v>
      </c>
      <c r="G2794" t="n">
        <v>74.98007202148438</v>
      </c>
      <c r="H2794">
        <f>AVERAGE(D2595:D2794)</f>
        <v/>
      </c>
      <c r="I2794">
        <f>AVERAGE(E2595:E2794)</f>
        <v/>
      </c>
      <c r="J2794">
        <f>AVERAGE(F2595:F2794)</f>
        <v/>
      </c>
    </row>
    <row r="2795">
      <c r="C2795" s="539" t="n">
        <v>43504</v>
      </c>
      <c r="D2795" t="n">
        <v>124.2099990844727</v>
      </c>
      <c r="E2795" t="n">
        <v>88.63999938964844</v>
      </c>
      <c r="F2795" t="n">
        <v>14.62177276611328</v>
      </c>
      <c r="G2795" t="n">
        <v>74.99645233154297</v>
      </c>
      <c r="H2795">
        <f>AVERAGE(D2596:D2795)</f>
        <v/>
      </c>
      <c r="I2795">
        <f>AVERAGE(E2596:E2795)</f>
        <v/>
      </c>
      <c r="J2795">
        <f>AVERAGE(F2596:F2795)</f>
        <v/>
      </c>
    </row>
    <row r="2796">
      <c r="C2796" s="539" t="n">
        <v>43507</v>
      </c>
      <c r="D2796" t="n">
        <v>123.5999984741211</v>
      </c>
      <c r="E2796" t="n">
        <v>88.08000183105469</v>
      </c>
      <c r="F2796" t="n">
        <v>14.60439682006836</v>
      </c>
      <c r="G2796" t="n">
        <v>74.98826599121094</v>
      </c>
      <c r="H2796">
        <f>AVERAGE(D2597:D2796)</f>
        <v/>
      </c>
      <c r="I2796">
        <f>AVERAGE(E2597:E2796)</f>
        <v/>
      </c>
      <c r="J2796">
        <f>AVERAGE(F2597:F2796)</f>
        <v/>
      </c>
    </row>
    <row r="2797">
      <c r="C2797" s="539" t="n">
        <v>43508</v>
      </c>
      <c r="D2797" t="n">
        <v>123.8600006103516</v>
      </c>
      <c r="E2797" t="n">
        <v>89.27999877929688</v>
      </c>
      <c r="F2797" t="n">
        <v>14.67389869689941</v>
      </c>
      <c r="G2797" t="n">
        <v>75.00465393066406</v>
      </c>
      <c r="H2797">
        <f>AVERAGE(D2598:D2797)</f>
        <v/>
      </c>
      <c r="I2797">
        <f>AVERAGE(E2598:E2797)</f>
        <v/>
      </c>
      <c r="J2797">
        <f>AVERAGE(F2598:F2797)</f>
        <v/>
      </c>
    </row>
    <row r="2798">
      <c r="C2798" s="539" t="n">
        <v>43509</v>
      </c>
      <c r="D2798" t="n">
        <v>123.370002746582</v>
      </c>
      <c r="E2798" t="n">
        <v>90.72000122070312</v>
      </c>
      <c r="F2798" t="n">
        <v>14.64783668518066</v>
      </c>
      <c r="G2798" t="n">
        <v>75.00465393066406</v>
      </c>
      <c r="H2798">
        <f>AVERAGE(D2599:D2798)</f>
        <v/>
      </c>
      <c r="I2798">
        <f>AVERAGE(E2599:E2798)</f>
        <v/>
      </c>
      <c r="J2798">
        <f>AVERAGE(F2599:F2798)</f>
        <v/>
      </c>
    </row>
    <row r="2799">
      <c r="C2799" s="539" t="n">
        <v>43510</v>
      </c>
      <c r="D2799" t="n">
        <v>124.0599975585938</v>
      </c>
      <c r="E2799" t="n">
        <v>91.83999633789062</v>
      </c>
      <c r="F2799" t="n">
        <v>14.51751613616943</v>
      </c>
      <c r="G2799" t="n">
        <v>75.02103424072266</v>
      </c>
      <c r="H2799">
        <f>AVERAGE(D2600:D2799)</f>
        <v/>
      </c>
      <c r="I2799">
        <f>AVERAGE(E2600:E2799)</f>
        <v/>
      </c>
      <c r="J2799">
        <f>AVERAGE(F2600:F2799)</f>
        <v/>
      </c>
    </row>
    <row r="2800">
      <c r="C2800" s="539" t="n">
        <v>43511</v>
      </c>
      <c r="D2800" t="n">
        <v>124.8000030517578</v>
      </c>
      <c r="E2800" t="n">
        <v>93.68000030517578</v>
      </c>
      <c r="F2800" t="n">
        <v>14.65652561187744</v>
      </c>
      <c r="G2800" t="n">
        <v>75.02103424072266</v>
      </c>
      <c r="H2800">
        <f>AVERAGE(D2601:D2800)</f>
        <v/>
      </c>
      <c r="I2800">
        <f>AVERAGE(E2601:E2800)</f>
        <v/>
      </c>
      <c r="J2800">
        <f>AVERAGE(F2601:F2800)</f>
        <v/>
      </c>
    </row>
    <row r="2801">
      <c r="C2801" s="539" t="n">
        <v>43515</v>
      </c>
      <c r="D2801" t="n">
        <v>126.6999969482422</v>
      </c>
      <c r="E2801" t="n">
        <v>94.23999786376953</v>
      </c>
      <c r="F2801" t="n">
        <v>14.59570789337158</v>
      </c>
      <c r="G2801" t="n">
        <v>75.03745269775391</v>
      </c>
      <c r="H2801">
        <f>AVERAGE(D2602:D2801)</f>
        <v/>
      </c>
      <c r="I2801">
        <f>AVERAGE(E2602:E2801)</f>
        <v/>
      </c>
      <c r="J2801">
        <f>AVERAGE(F2602:F2801)</f>
        <v/>
      </c>
    </row>
    <row r="2802">
      <c r="C2802" s="539" t="n">
        <v>43516</v>
      </c>
      <c r="D2802" t="n">
        <v>126.4800033569336</v>
      </c>
      <c r="E2802" t="n">
        <v>95.44000244140625</v>
      </c>
      <c r="F2802" t="n">
        <v>14.50014209747314</v>
      </c>
      <c r="G2802" t="n">
        <v>75.03745269775391</v>
      </c>
      <c r="H2802">
        <f>AVERAGE(D2603:D2802)</f>
        <v/>
      </c>
      <c r="I2802">
        <f>AVERAGE(E2603:E2802)</f>
        <v/>
      </c>
      <c r="J2802">
        <f>AVERAGE(F2603:F2802)</f>
        <v/>
      </c>
    </row>
    <row r="2803">
      <c r="C2803" s="539" t="n">
        <v>43517</v>
      </c>
      <c r="D2803" t="n">
        <v>125.0500030517578</v>
      </c>
      <c r="E2803" t="n">
        <v>95.04000091552734</v>
      </c>
      <c r="F2803" t="n">
        <v>14.53489303588867</v>
      </c>
      <c r="G2803" t="n">
        <v>75.04564666748047</v>
      </c>
      <c r="H2803">
        <f>AVERAGE(D2604:D2803)</f>
        <v/>
      </c>
      <c r="I2803">
        <f>AVERAGE(E2604:E2803)</f>
        <v/>
      </c>
      <c r="J2803">
        <f>AVERAGE(F2604:F2803)</f>
        <v/>
      </c>
    </row>
    <row r="2804">
      <c r="C2804" s="539" t="n">
        <v>43518</v>
      </c>
      <c r="D2804" t="n">
        <v>125.5</v>
      </c>
      <c r="E2804" t="n">
        <v>95.59999847412109</v>
      </c>
      <c r="F2804" t="n">
        <v>14.56095790863037</v>
      </c>
      <c r="G2804" t="n">
        <v>75.06198883056641</v>
      </c>
      <c r="H2804">
        <f>AVERAGE(D2605:D2804)</f>
        <v/>
      </c>
      <c r="I2804">
        <f>AVERAGE(E2605:E2804)</f>
        <v/>
      </c>
      <c r="J2804">
        <f>AVERAGE(F2605:F2804)</f>
        <v/>
      </c>
    </row>
    <row r="2805">
      <c r="C2805" s="539" t="n">
        <v>43521</v>
      </c>
      <c r="D2805" t="n">
        <v>125.370002746582</v>
      </c>
      <c r="E2805" t="n">
        <v>92.55999755859375</v>
      </c>
      <c r="F2805" t="n">
        <v>14.39588737487793</v>
      </c>
      <c r="G2805" t="n">
        <v>75.05381011962891</v>
      </c>
      <c r="H2805">
        <f>AVERAGE(D2606:D2805)</f>
        <v/>
      </c>
      <c r="I2805">
        <f>AVERAGE(E2606:E2805)</f>
        <v/>
      </c>
      <c r="J2805">
        <f>AVERAGE(F2606:F2805)</f>
        <v/>
      </c>
    </row>
    <row r="2806">
      <c r="C2806" s="539" t="n">
        <v>43522</v>
      </c>
      <c r="D2806" t="n">
        <v>125.5800018310547</v>
      </c>
      <c r="E2806" t="n">
        <v>93.04000091552734</v>
      </c>
      <c r="F2806" t="n">
        <v>14.36982345581055</v>
      </c>
      <c r="G2806" t="n">
        <v>75.06198883056641</v>
      </c>
      <c r="H2806">
        <f>AVERAGE(D2607:D2806)</f>
        <v/>
      </c>
      <c r="I2806">
        <f>AVERAGE(E2607:E2806)</f>
        <v/>
      </c>
      <c r="J2806">
        <f>AVERAGE(F2607:F2806)</f>
        <v/>
      </c>
    </row>
    <row r="2807">
      <c r="C2807" s="539" t="n">
        <v>43523</v>
      </c>
      <c r="D2807" t="n">
        <v>124.6900024414062</v>
      </c>
      <c r="E2807" t="n">
        <v>95.12000274658203</v>
      </c>
      <c r="F2807" t="n">
        <v>14.43063926696777</v>
      </c>
      <c r="G2807" t="n">
        <v>75.07021331787109</v>
      </c>
      <c r="H2807">
        <f>AVERAGE(D2608:D2807)</f>
        <v/>
      </c>
      <c r="I2807">
        <f>AVERAGE(E2608:E2807)</f>
        <v/>
      </c>
      <c r="J2807">
        <f>AVERAGE(F2608:F2807)</f>
        <v/>
      </c>
    </row>
    <row r="2808">
      <c r="C2808" s="539" t="n">
        <v>43524</v>
      </c>
      <c r="D2808" t="n">
        <v>123.9899978637695</v>
      </c>
      <c r="E2808" t="n">
        <v>95.59999847412109</v>
      </c>
      <c r="F2808" t="n">
        <v>14.28294467926025</v>
      </c>
      <c r="G2808" t="n">
        <v>75.08663177490234</v>
      </c>
      <c r="H2808">
        <f>AVERAGE(D2609:D2808)</f>
        <v/>
      </c>
      <c r="I2808">
        <f>AVERAGE(E2609:E2808)</f>
        <v/>
      </c>
      <c r="J2808">
        <f>AVERAGE(F2609:F2808)</f>
        <v/>
      </c>
    </row>
    <row r="2809">
      <c r="C2809" s="539" t="n">
        <v>43525</v>
      </c>
      <c r="D2809" t="n">
        <v>121.879997253418</v>
      </c>
      <c r="E2809" t="n">
        <v>93.27999877929688</v>
      </c>
      <c r="F2809" t="n">
        <v>14.29163360595703</v>
      </c>
      <c r="G2809" t="n">
        <v>75.09481811523438</v>
      </c>
      <c r="H2809">
        <f>AVERAGE(D2610:D2809)</f>
        <v/>
      </c>
      <c r="I2809">
        <f>AVERAGE(E2610:E2809)</f>
        <v/>
      </c>
      <c r="J2809">
        <f>AVERAGE(F2610:F2809)</f>
        <v/>
      </c>
    </row>
    <row r="2810">
      <c r="C2810" s="539" t="n">
        <v>43528</v>
      </c>
      <c r="D2810" t="n">
        <v>121.5599975585938</v>
      </c>
      <c r="E2810" t="n">
        <v>94.40000152587891</v>
      </c>
      <c r="F2810" t="n">
        <v>14.18737697601318</v>
      </c>
      <c r="G2810" t="n">
        <v>75.08663177490234</v>
      </c>
      <c r="H2810">
        <f>AVERAGE(D2611:D2810)</f>
        <v/>
      </c>
      <c r="I2810">
        <f>AVERAGE(E2611:E2810)</f>
        <v/>
      </c>
      <c r="J2810">
        <f>AVERAGE(F2611:F2810)</f>
        <v/>
      </c>
    </row>
    <row r="2811">
      <c r="C2811" s="539" t="n">
        <v>43529</v>
      </c>
      <c r="D2811" t="n">
        <v>121.7200012207031</v>
      </c>
      <c r="E2811" t="n">
        <v>94.55999755859375</v>
      </c>
      <c r="F2811" t="n">
        <v>14.26556777954102</v>
      </c>
      <c r="G2811" t="n">
        <v>75.09481811523438</v>
      </c>
      <c r="H2811">
        <f>AVERAGE(D2612:D2811)</f>
        <v/>
      </c>
      <c r="I2811">
        <f>AVERAGE(E2612:E2811)</f>
        <v/>
      </c>
      <c r="J2811">
        <f>AVERAGE(F2612:F2811)</f>
        <v/>
      </c>
    </row>
    <row r="2812">
      <c r="C2812" s="539" t="n">
        <v>43530</v>
      </c>
      <c r="D2812" t="n">
        <v>121.6100006103516</v>
      </c>
      <c r="E2812" t="n">
        <v>94</v>
      </c>
      <c r="F2812" t="n">
        <v>14.19606494903564</v>
      </c>
      <c r="G2812" t="n">
        <v>75.10303497314453</v>
      </c>
      <c r="H2812">
        <f>AVERAGE(D2613:D2812)</f>
        <v/>
      </c>
      <c r="I2812">
        <f>AVERAGE(E2613:E2812)</f>
        <v/>
      </c>
      <c r="J2812">
        <f>AVERAGE(F2613:F2812)</f>
        <v/>
      </c>
    </row>
    <row r="2813">
      <c r="C2813" s="539" t="n">
        <v>43531</v>
      </c>
      <c r="D2813" t="n">
        <v>121.5100021362305</v>
      </c>
      <c r="E2813" t="n">
        <v>94.48000335693359</v>
      </c>
      <c r="F2813" t="n">
        <v>14.08312034606934</v>
      </c>
      <c r="G2813" t="n">
        <v>75.11946105957031</v>
      </c>
      <c r="H2813">
        <f>AVERAGE(D2614:D2813)</f>
        <v/>
      </c>
      <c r="I2813">
        <f>AVERAGE(E2614:E2813)</f>
        <v/>
      </c>
      <c r="J2813">
        <f>AVERAGE(F2614:F2813)</f>
        <v/>
      </c>
    </row>
    <row r="2814">
      <c r="C2814" s="539" t="n">
        <v>43532</v>
      </c>
      <c r="D2814" t="n">
        <v>122.8399963378906</v>
      </c>
      <c r="E2814" t="n">
        <v>93.83999633789062</v>
      </c>
      <c r="F2814" t="n">
        <v>14.1613130569458</v>
      </c>
      <c r="G2814" t="n">
        <v>75.12767791748047</v>
      </c>
      <c r="H2814">
        <f>AVERAGE(D2615:D2814)</f>
        <v/>
      </c>
      <c r="I2814">
        <f>AVERAGE(E2615:E2814)</f>
        <v/>
      </c>
      <c r="J2814">
        <f>AVERAGE(F2615:F2814)</f>
        <v/>
      </c>
    </row>
    <row r="2815">
      <c r="C2815" s="539" t="n">
        <v>43535</v>
      </c>
      <c r="D2815" t="n">
        <v>122.2399978637695</v>
      </c>
      <c r="E2815" t="n">
        <v>94.87999725341797</v>
      </c>
      <c r="F2815" t="n">
        <v>14.10918521881104</v>
      </c>
      <c r="G2815" t="n">
        <v>75.12767791748047</v>
      </c>
      <c r="H2815">
        <f>AVERAGE(D2616:D2815)</f>
        <v/>
      </c>
      <c r="I2815">
        <f>AVERAGE(E2616:E2815)</f>
        <v/>
      </c>
      <c r="J2815">
        <f>AVERAGE(F2616:F2815)</f>
        <v/>
      </c>
    </row>
    <row r="2816">
      <c r="C2816" s="539" t="n">
        <v>43536</v>
      </c>
      <c r="D2816" t="n">
        <v>122.9800033569336</v>
      </c>
      <c r="E2816" t="n">
        <v>95.12000274658203</v>
      </c>
      <c r="F2816" t="n">
        <v>14.18737697601318</v>
      </c>
      <c r="G2816" t="n">
        <v>75.13588714599609</v>
      </c>
      <c r="H2816">
        <f>AVERAGE(D2617:D2816)</f>
        <v/>
      </c>
      <c r="I2816">
        <f>AVERAGE(E2617:E2816)</f>
        <v/>
      </c>
      <c r="J2816">
        <f>AVERAGE(F2617:F2816)</f>
        <v/>
      </c>
    </row>
    <row r="2817">
      <c r="C2817" s="539" t="n">
        <v>43537</v>
      </c>
      <c r="D2817" t="n">
        <v>123.8399963378906</v>
      </c>
      <c r="E2817" t="n">
        <v>97.51999664306641</v>
      </c>
      <c r="F2817" t="n">
        <v>14.22212886810303</v>
      </c>
      <c r="G2817" t="n">
        <v>75.14407348632812</v>
      </c>
      <c r="H2817">
        <f>AVERAGE(D2618:D2817)</f>
        <v/>
      </c>
      <c r="I2817">
        <f>AVERAGE(E2618:E2817)</f>
        <v/>
      </c>
      <c r="J2817">
        <f>AVERAGE(F2618:F2817)</f>
        <v/>
      </c>
    </row>
    <row r="2818">
      <c r="C2818" s="539" t="n">
        <v>43538</v>
      </c>
      <c r="D2818" t="n">
        <v>122.4100036621094</v>
      </c>
      <c r="E2818" t="n">
        <v>97.76000213623047</v>
      </c>
      <c r="F2818" t="n">
        <v>14.30900764465332</v>
      </c>
      <c r="G2818" t="n">
        <v>75.14407348632812</v>
      </c>
      <c r="H2818">
        <f>AVERAGE(D2619:D2818)</f>
        <v/>
      </c>
      <c r="I2818">
        <f>AVERAGE(E2619:E2818)</f>
        <v/>
      </c>
      <c r="J2818">
        <f>AVERAGE(F2619:F2818)</f>
        <v/>
      </c>
    </row>
    <row r="2819">
      <c r="C2819" s="539" t="n">
        <v>43539</v>
      </c>
      <c r="D2819" t="n">
        <v>122.9700012207031</v>
      </c>
      <c r="E2819" t="n">
        <v>97.59999847412109</v>
      </c>
      <c r="F2819" t="n">
        <v>14.49145412445068</v>
      </c>
      <c r="G2819" t="n">
        <v>75.15230560302734</v>
      </c>
      <c r="H2819">
        <f>AVERAGE(D2620:D2819)</f>
        <v/>
      </c>
      <c r="I2819">
        <f>AVERAGE(E2620:E2819)</f>
        <v/>
      </c>
      <c r="J2819">
        <f>AVERAGE(F2620:F2819)</f>
        <v/>
      </c>
    </row>
    <row r="2820">
      <c r="C2820" s="539" t="n">
        <v>43542</v>
      </c>
      <c r="D2820" t="n">
        <v>123.0400009155273</v>
      </c>
      <c r="E2820" t="n">
        <v>98.48000335693359</v>
      </c>
      <c r="F2820" t="n">
        <v>14.50014209747314</v>
      </c>
      <c r="G2820" t="n">
        <v>75.16049957275391</v>
      </c>
      <c r="H2820">
        <f>AVERAGE(D2621:D2820)</f>
        <v/>
      </c>
      <c r="I2820">
        <f>AVERAGE(E2621:E2820)</f>
        <v/>
      </c>
      <c r="J2820">
        <f>AVERAGE(F2621:F2820)</f>
        <v/>
      </c>
    </row>
    <row r="2821">
      <c r="C2821" s="539" t="n">
        <v>43543</v>
      </c>
      <c r="D2821" t="n">
        <v>123.379997253418</v>
      </c>
      <c r="E2821" t="n">
        <v>98.23999786376953</v>
      </c>
      <c r="F2821" t="n">
        <v>14.4653902053833</v>
      </c>
      <c r="G2821" t="n">
        <v>75.16049957275391</v>
      </c>
      <c r="H2821">
        <f>AVERAGE(D2622:D2821)</f>
        <v/>
      </c>
      <c r="I2821">
        <f>AVERAGE(E2622:E2821)</f>
        <v/>
      </c>
      <c r="J2821">
        <f>AVERAGE(F2622:F2821)</f>
        <v/>
      </c>
    </row>
    <row r="2822">
      <c r="C2822" s="539" t="n">
        <v>43544</v>
      </c>
      <c r="D2822" t="n">
        <v>124.1800003051758</v>
      </c>
      <c r="E2822" t="n">
        <v>100</v>
      </c>
      <c r="F2822" t="n">
        <v>14.50014209747314</v>
      </c>
      <c r="G2822" t="n">
        <v>75.16049957275391</v>
      </c>
      <c r="H2822">
        <f>AVERAGE(D2623:D2822)</f>
        <v/>
      </c>
      <c r="I2822">
        <f>AVERAGE(E2623:E2822)</f>
        <v/>
      </c>
      <c r="J2822">
        <f>AVERAGE(F2623:F2822)</f>
        <v/>
      </c>
    </row>
    <row r="2823">
      <c r="C2823" s="539" t="n">
        <v>43545</v>
      </c>
      <c r="D2823" t="n">
        <v>123.6800003051758</v>
      </c>
      <c r="E2823" t="n">
        <v>99.51999664306641</v>
      </c>
      <c r="F2823" t="n">
        <v>14.61308574676514</v>
      </c>
      <c r="G2823" t="n">
        <v>75.18515777587891</v>
      </c>
      <c r="H2823">
        <f>AVERAGE(D2624:D2823)</f>
        <v/>
      </c>
      <c r="I2823">
        <f>AVERAGE(E2624:E2823)</f>
        <v/>
      </c>
      <c r="J2823">
        <f>AVERAGE(F2624:F2823)</f>
        <v/>
      </c>
    </row>
    <row r="2824">
      <c r="C2824" s="539" t="n">
        <v>43546</v>
      </c>
      <c r="D2824" t="n">
        <v>123.9700012207031</v>
      </c>
      <c r="E2824" t="n">
        <v>97.83999633789062</v>
      </c>
      <c r="F2824" t="n">
        <v>14.56095790863037</v>
      </c>
      <c r="G2824" t="n">
        <v>75.18515777587891</v>
      </c>
      <c r="H2824">
        <f>AVERAGE(D2625:D2824)</f>
        <v/>
      </c>
      <c r="I2824">
        <f>AVERAGE(E2625:E2824)</f>
        <v/>
      </c>
      <c r="J2824">
        <f>AVERAGE(F2625:F2824)</f>
        <v/>
      </c>
    </row>
    <row r="2825">
      <c r="C2825" s="539" t="n">
        <v>43549</v>
      </c>
      <c r="D2825" t="n">
        <v>124.9199981689453</v>
      </c>
      <c r="E2825" t="n">
        <v>98</v>
      </c>
      <c r="F2825" t="n">
        <v>14.62177276611328</v>
      </c>
      <c r="G2825" t="n">
        <v>75.18515777587891</v>
      </c>
      <c r="H2825">
        <f>AVERAGE(D2626:D2825)</f>
        <v/>
      </c>
      <c r="I2825">
        <f>AVERAGE(E2626:E2825)</f>
        <v/>
      </c>
      <c r="J2825">
        <f>AVERAGE(F2626:F2825)</f>
        <v/>
      </c>
    </row>
    <row r="2826">
      <c r="C2826" s="539" t="n">
        <v>43550</v>
      </c>
      <c r="D2826" t="n">
        <v>124.3000030517578</v>
      </c>
      <c r="E2826" t="n">
        <v>99.76000213623047</v>
      </c>
      <c r="F2826" t="n">
        <v>14.60439682006836</v>
      </c>
      <c r="G2826" t="n">
        <v>75.19334411621094</v>
      </c>
      <c r="H2826">
        <f>AVERAGE(D2627:D2826)</f>
        <v/>
      </c>
      <c r="I2826">
        <f>AVERAGE(E2627:E2826)</f>
        <v/>
      </c>
      <c r="J2826">
        <f>AVERAGE(F2627:F2826)</f>
        <v/>
      </c>
    </row>
    <row r="2827">
      <c r="C2827" s="539" t="n">
        <v>43551</v>
      </c>
      <c r="D2827" t="n">
        <v>123.6500015258789</v>
      </c>
      <c r="E2827" t="n">
        <v>98.72000122070312</v>
      </c>
      <c r="F2827" t="n">
        <v>14.51751613616943</v>
      </c>
      <c r="G2827" t="n">
        <v>75.2015380859375</v>
      </c>
      <c r="H2827">
        <f>AVERAGE(D2628:D2827)</f>
        <v/>
      </c>
      <c r="I2827">
        <f>AVERAGE(E2628:E2827)</f>
        <v/>
      </c>
      <c r="J2827">
        <f>AVERAGE(F2628:F2827)</f>
        <v/>
      </c>
    </row>
    <row r="2828">
      <c r="C2828" s="539" t="n">
        <v>43552</v>
      </c>
      <c r="D2828" t="n">
        <v>121.9000015258789</v>
      </c>
      <c r="E2828" t="n">
        <v>98.80000305175781</v>
      </c>
      <c r="F2828" t="n">
        <v>14.4653902053833</v>
      </c>
      <c r="G2828" t="n">
        <v>75.21802520751953</v>
      </c>
      <c r="H2828">
        <f>AVERAGE(D2629:D2828)</f>
        <v/>
      </c>
      <c r="I2828">
        <f>AVERAGE(E2629:E2828)</f>
        <v/>
      </c>
      <c r="J2828">
        <f>AVERAGE(F2629:F2828)</f>
        <v/>
      </c>
    </row>
    <row r="2829">
      <c r="C2829" s="539" t="n">
        <v>43553</v>
      </c>
      <c r="D2829" t="n">
        <v>122.0100021362305</v>
      </c>
      <c r="E2829" t="n">
        <v>100</v>
      </c>
      <c r="F2829" t="n">
        <v>14.30900764465332</v>
      </c>
      <c r="G2829" t="n">
        <v>75.21802520751953</v>
      </c>
      <c r="H2829">
        <f>AVERAGE(D2630:D2829)</f>
        <v/>
      </c>
      <c r="I2829">
        <f>AVERAGE(E2630:E2829)</f>
        <v/>
      </c>
      <c r="J2829">
        <f>AVERAGE(F2630:F2829)</f>
        <v/>
      </c>
    </row>
    <row r="2830">
      <c r="C2830" s="539" t="n">
        <v>43556</v>
      </c>
      <c r="D2830" t="n">
        <v>121.5299987792969</v>
      </c>
      <c r="E2830" t="n">
        <v>102.5599975585938</v>
      </c>
      <c r="F2830" t="n">
        <v>14.43063926696777</v>
      </c>
      <c r="G2830" t="n">
        <v>75.23114776611328</v>
      </c>
      <c r="H2830">
        <f>AVERAGE(D2631:D2830)</f>
        <v/>
      </c>
      <c r="I2830">
        <f>AVERAGE(E2631:E2830)</f>
        <v/>
      </c>
      <c r="J2830">
        <f>AVERAGE(F2631:F2830)</f>
        <v/>
      </c>
    </row>
    <row r="2831">
      <c r="C2831" s="539" t="n">
        <v>43557</v>
      </c>
      <c r="D2831" t="n">
        <v>121.9800033569336</v>
      </c>
      <c r="E2831" t="n">
        <v>104.0800018310547</v>
      </c>
      <c r="F2831" t="n">
        <v>14.47407913208008</v>
      </c>
      <c r="G2831" t="n">
        <v>75.22294616699219</v>
      </c>
      <c r="H2831">
        <f>AVERAGE(D2632:D2831)</f>
        <v/>
      </c>
      <c r="I2831">
        <f>AVERAGE(E2632:E2831)</f>
        <v/>
      </c>
      <c r="J2831">
        <f>AVERAGE(F2632:F2831)</f>
        <v/>
      </c>
    </row>
    <row r="2832">
      <c r="C2832" s="539" t="n">
        <v>43558</v>
      </c>
      <c r="D2832" t="n">
        <v>121.8000030517578</v>
      </c>
      <c r="E2832" t="n">
        <v>103.9199981689453</v>
      </c>
      <c r="F2832" t="n">
        <v>14.57833480834961</v>
      </c>
      <c r="G2832" t="n">
        <v>75.23114776611328</v>
      </c>
      <c r="H2832">
        <f>AVERAGE(D2633:D2832)</f>
        <v/>
      </c>
      <c r="I2832">
        <f>AVERAGE(E2633:E2832)</f>
        <v/>
      </c>
      <c r="J2832">
        <f>AVERAGE(F2633:F2832)</f>
        <v/>
      </c>
    </row>
    <row r="2833">
      <c r="C2833" s="539" t="n">
        <v>43559</v>
      </c>
      <c r="D2833" t="n">
        <v>122.1100006103516</v>
      </c>
      <c r="E2833" t="n">
        <v>103.3600006103516</v>
      </c>
      <c r="F2833" t="n">
        <v>14.76078128814697</v>
      </c>
      <c r="G2833" t="n">
        <v>75.25582122802734</v>
      </c>
      <c r="H2833">
        <f>AVERAGE(D2634:D2833)</f>
        <v/>
      </c>
      <c r="I2833">
        <f>AVERAGE(E2634:E2833)</f>
        <v/>
      </c>
      <c r="J2833">
        <f>AVERAGE(F2634:F2833)</f>
        <v/>
      </c>
    </row>
    <row r="2834">
      <c r="C2834" s="539" t="n">
        <v>43560</v>
      </c>
      <c r="D2834" t="n">
        <v>121.9800033569336</v>
      </c>
      <c r="E2834" t="n">
        <v>105.1999969482422</v>
      </c>
      <c r="F2834" t="n">
        <v>14.69127655029297</v>
      </c>
      <c r="G2834" t="n">
        <v>75.25582122802734</v>
      </c>
      <c r="H2834">
        <f>AVERAGE(D2635:D2834)</f>
        <v/>
      </c>
      <c r="I2834">
        <f>AVERAGE(E2635:E2834)</f>
        <v/>
      </c>
      <c r="J2834">
        <f>AVERAGE(F2635:F2834)</f>
        <v/>
      </c>
    </row>
    <row r="2835">
      <c r="C2835" s="539" t="n">
        <v>43563</v>
      </c>
      <c r="D2835" t="n">
        <v>122.5100021362305</v>
      </c>
      <c r="E2835" t="n">
        <v>107.1999969482422</v>
      </c>
      <c r="F2835" t="n">
        <v>14.6391487121582</v>
      </c>
      <c r="G2835" t="n">
        <v>75.25582122802734</v>
      </c>
      <c r="H2835">
        <f>AVERAGE(D2636:D2835)</f>
        <v/>
      </c>
      <c r="I2835">
        <f>AVERAGE(E2636:E2835)</f>
        <v/>
      </c>
      <c r="J2835">
        <f>AVERAGE(F2636:F2835)</f>
        <v/>
      </c>
    </row>
    <row r="2836">
      <c r="C2836" s="539" t="n">
        <v>43564</v>
      </c>
      <c r="D2836" t="n">
        <v>123.1500015258789</v>
      </c>
      <c r="E2836" t="n">
        <v>106.6399993896484</v>
      </c>
      <c r="F2836" t="n">
        <v>14.59570789337158</v>
      </c>
      <c r="G2836" t="n">
        <v>75.26408386230469</v>
      </c>
      <c r="H2836">
        <f>AVERAGE(D2637:D2836)</f>
        <v/>
      </c>
      <c r="I2836">
        <f>AVERAGE(E2637:E2836)</f>
        <v/>
      </c>
      <c r="J2836">
        <f>AVERAGE(F2637:F2836)</f>
        <v/>
      </c>
    </row>
    <row r="2837">
      <c r="C2837" s="539" t="n">
        <v>43565</v>
      </c>
      <c r="D2837" t="n">
        <v>123.5299987792969</v>
      </c>
      <c r="E2837" t="n">
        <v>107.2799987792969</v>
      </c>
      <c r="F2837" t="n">
        <v>14.6391487121582</v>
      </c>
      <c r="G2837" t="n">
        <v>75.26408386230469</v>
      </c>
      <c r="H2837">
        <f>AVERAGE(D2638:D2837)</f>
        <v/>
      </c>
      <c r="I2837">
        <f>AVERAGE(E2638:E2837)</f>
        <v/>
      </c>
      <c r="J2837">
        <f>AVERAGE(F2638:F2837)</f>
        <v/>
      </c>
    </row>
    <row r="2838">
      <c r="C2838" s="539" t="n">
        <v>43566</v>
      </c>
      <c r="D2838" t="n">
        <v>121.9499969482422</v>
      </c>
      <c r="E2838" t="n">
        <v>106.1600036621094</v>
      </c>
      <c r="F2838" t="n">
        <v>14.56095790863037</v>
      </c>
      <c r="G2838" t="n">
        <v>75.28875732421875</v>
      </c>
      <c r="H2838">
        <f>AVERAGE(D2639:D2838)</f>
        <v/>
      </c>
      <c r="I2838">
        <f>AVERAGE(E2639:E2838)</f>
        <v/>
      </c>
      <c r="J2838">
        <f>AVERAGE(F2639:F2838)</f>
        <v/>
      </c>
    </row>
    <row r="2839">
      <c r="C2839" s="539" t="n">
        <v>43567</v>
      </c>
      <c r="D2839" t="n">
        <v>121.8300018310547</v>
      </c>
      <c r="E2839" t="n">
        <v>106.4000015258789</v>
      </c>
      <c r="F2839" t="n">
        <v>14.66521167755127</v>
      </c>
      <c r="G2839" t="n">
        <v>75.28875732421875</v>
      </c>
      <c r="H2839">
        <f>AVERAGE(D2640:D2839)</f>
        <v/>
      </c>
      <c r="I2839">
        <f>AVERAGE(E2640:E2839)</f>
        <v/>
      </c>
      <c r="J2839">
        <f>AVERAGE(F2640:F2839)</f>
        <v/>
      </c>
    </row>
    <row r="2840">
      <c r="C2840" s="539" t="n">
        <v>43570</v>
      </c>
      <c r="D2840" t="n">
        <v>121.5999984741211</v>
      </c>
      <c r="E2840" t="n">
        <v>105.9199981689453</v>
      </c>
      <c r="F2840" t="n">
        <v>14.6391487121582</v>
      </c>
      <c r="G2840" t="n">
        <v>75.29697418212891</v>
      </c>
      <c r="H2840">
        <f>AVERAGE(D2641:D2840)</f>
        <v/>
      </c>
      <c r="I2840">
        <f>AVERAGE(E2641:E2840)</f>
        <v/>
      </c>
      <c r="J2840">
        <f>AVERAGE(F2641:F2840)</f>
        <v/>
      </c>
    </row>
    <row r="2841">
      <c r="C2841" s="539" t="n">
        <v>43571</v>
      </c>
      <c r="D2841" t="n">
        <v>120.5100021362305</v>
      </c>
      <c r="E2841" t="n">
        <v>106.9599990844727</v>
      </c>
      <c r="F2841" t="n">
        <v>14.49145412445068</v>
      </c>
      <c r="G2841" t="n">
        <v>75.29697418212891</v>
      </c>
      <c r="H2841">
        <f>AVERAGE(D2642:D2841)</f>
        <v/>
      </c>
      <c r="I2841">
        <f>AVERAGE(E2642:E2841)</f>
        <v/>
      </c>
      <c r="J2841">
        <f>AVERAGE(F2642:F2841)</f>
        <v/>
      </c>
    </row>
    <row r="2842">
      <c r="C2842" s="539" t="n">
        <v>43572</v>
      </c>
      <c r="D2842" t="n">
        <v>120.2799987792969</v>
      </c>
      <c r="E2842" t="n">
        <v>106.2399978637695</v>
      </c>
      <c r="F2842" t="n">
        <v>14.43932723999023</v>
      </c>
      <c r="G2842" t="n">
        <v>75.31345367431641</v>
      </c>
      <c r="H2842">
        <f>AVERAGE(D2643:D2842)</f>
        <v/>
      </c>
      <c r="I2842">
        <f>AVERAGE(E2643:E2842)</f>
        <v/>
      </c>
      <c r="J2842">
        <f>AVERAGE(F2643:F2842)</f>
        <v/>
      </c>
    </row>
    <row r="2843">
      <c r="C2843" s="539" t="n">
        <v>43573</v>
      </c>
      <c r="D2843" t="n">
        <v>120.370002746582</v>
      </c>
      <c r="E2843" t="n">
        <v>106.5599975585938</v>
      </c>
      <c r="F2843" t="n">
        <v>14.53489303588867</v>
      </c>
      <c r="G2843" t="n">
        <v>75.32169342041016</v>
      </c>
      <c r="H2843">
        <f>AVERAGE(D2644:D2843)</f>
        <v/>
      </c>
      <c r="I2843">
        <f>AVERAGE(E2644:E2843)</f>
        <v/>
      </c>
      <c r="J2843">
        <f>AVERAGE(F2644:F2843)</f>
        <v/>
      </c>
    </row>
    <row r="2844">
      <c r="C2844" s="539" t="n">
        <v>43577</v>
      </c>
      <c r="D2844" t="n">
        <v>120.370002746582</v>
      </c>
      <c r="E2844" t="n">
        <v>109.3600006103516</v>
      </c>
      <c r="F2844" t="n">
        <v>14.3611364364624</v>
      </c>
      <c r="G2844" t="n">
        <v>75.32169342041016</v>
      </c>
      <c r="H2844">
        <f>AVERAGE(D2645:D2844)</f>
        <v/>
      </c>
      <c r="I2844">
        <f>AVERAGE(E2645:E2844)</f>
        <v/>
      </c>
      <c r="J2844">
        <f>AVERAGE(F2645:F2844)</f>
        <v/>
      </c>
    </row>
    <row r="2845">
      <c r="C2845" s="539" t="n">
        <v>43578</v>
      </c>
      <c r="D2845" t="n">
        <v>120.120002746582</v>
      </c>
      <c r="E2845" t="n">
        <v>110.3199996948242</v>
      </c>
      <c r="F2845" t="n">
        <v>14.30031871795654</v>
      </c>
      <c r="G2845" t="n">
        <v>75.32169342041016</v>
      </c>
      <c r="H2845">
        <f>AVERAGE(D2646:D2845)</f>
        <v/>
      </c>
      <c r="I2845">
        <f>AVERAGE(E2646:E2845)</f>
        <v/>
      </c>
      <c r="J2845">
        <f>AVERAGE(F2646:F2845)</f>
        <v/>
      </c>
    </row>
    <row r="2846">
      <c r="C2846" s="539" t="n">
        <v>43579</v>
      </c>
      <c r="D2846" t="n">
        <v>120.4700012207031</v>
      </c>
      <c r="E2846" t="n">
        <v>109.4400024414062</v>
      </c>
      <c r="F2846" t="n">
        <v>14.12656211853027</v>
      </c>
      <c r="G2846" t="n">
        <v>75.33810424804688</v>
      </c>
      <c r="H2846">
        <f>AVERAGE(D2647:D2846)</f>
        <v/>
      </c>
      <c r="I2846">
        <f>AVERAGE(E2647:E2846)</f>
        <v/>
      </c>
      <c r="J2846">
        <f>AVERAGE(F2647:F2846)</f>
        <v/>
      </c>
    </row>
    <row r="2847">
      <c r="C2847" s="539" t="n">
        <v>43580</v>
      </c>
      <c r="D2847" t="n">
        <v>120.5699996948242</v>
      </c>
      <c r="E2847" t="n">
        <v>108.2399978637695</v>
      </c>
      <c r="F2847" t="n">
        <v>14.06574630737305</v>
      </c>
      <c r="G2847" t="n">
        <v>75.35456848144531</v>
      </c>
      <c r="H2847">
        <f>AVERAGE(D2648:D2847)</f>
        <v/>
      </c>
      <c r="I2847">
        <f>AVERAGE(E2648:E2847)</f>
        <v/>
      </c>
      <c r="J2847">
        <f>AVERAGE(F2648:F2847)</f>
        <v/>
      </c>
    </row>
    <row r="2848">
      <c r="C2848" s="539" t="n">
        <v>43581</v>
      </c>
      <c r="D2848" t="n">
        <v>121.370002746582</v>
      </c>
      <c r="E2848" t="n">
        <v>104.7200012207031</v>
      </c>
      <c r="F2848" t="n">
        <v>14.07443428039551</v>
      </c>
      <c r="G2848" t="n">
        <v>75.34632873535156</v>
      </c>
      <c r="H2848">
        <f>AVERAGE(D2649:D2848)</f>
        <v/>
      </c>
      <c r="I2848">
        <f>AVERAGE(E2649:E2848)</f>
        <v/>
      </c>
      <c r="J2848">
        <f>AVERAGE(F2649:F2848)</f>
        <v/>
      </c>
    </row>
    <row r="2849">
      <c r="C2849" s="539" t="n">
        <v>43584</v>
      </c>
      <c r="D2849" t="n">
        <v>120.8300018310547</v>
      </c>
      <c r="E2849" t="n">
        <v>105.8399963378906</v>
      </c>
      <c r="F2849" t="n">
        <v>13.9875545501709</v>
      </c>
      <c r="G2849" t="n">
        <v>75.35456848144531</v>
      </c>
      <c r="H2849">
        <f>AVERAGE(D2650:D2849)</f>
        <v/>
      </c>
      <c r="I2849">
        <f>AVERAGE(E2650:E2849)</f>
        <v/>
      </c>
      <c r="J2849">
        <f>AVERAGE(F2650:F2849)</f>
        <v/>
      </c>
    </row>
    <row r="2850">
      <c r="C2850" s="539" t="n">
        <v>43585</v>
      </c>
      <c r="D2850" t="n">
        <v>121.1999969482422</v>
      </c>
      <c r="E2850" t="n">
        <v>106.3199996948242</v>
      </c>
      <c r="F2850" t="n">
        <v>13.95280265808105</v>
      </c>
      <c r="G2850" t="n">
        <v>75.36279296875</v>
      </c>
      <c r="H2850">
        <f>AVERAGE(D2651:D2850)</f>
        <v/>
      </c>
      <c r="I2850">
        <f>AVERAGE(E2651:E2850)</f>
        <v/>
      </c>
      <c r="J2850">
        <f>AVERAGE(F2651:F2850)</f>
        <v/>
      </c>
    </row>
    <row r="2851">
      <c r="C2851" s="539" t="n">
        <v>43586</v>
      </c>
      <c r="D2851" t="n">
        <v>120.4000015258789</v>
      </c>
      <c r="E2851" t="n">
        <v>105.7600021362305</v>
      </c>
      <c r="F2851" t="n">
        <v>13.97017955780029</v>
      </c>
      <c r="G2851" t="n">
        <v>75.36610412597656</v>
      </c>
      <c r="H2851">
        <f>AVERAGE(D2652:D2851)</f>
        <v/>
      </c>
      <c r="I2851">
        <f>AVERAGE(E2652:E2851)</f>
        <v/>
      </c>
      <c r="J2851">
        <f>AVERAGE(F2652:F2851)</f>
        <v/>
      </c>
    </row>
    <row r="2852">
      <c r="C2852" s="539" t="n">
        <v>43587</v>
      </c>
      <c r="D2852" t="n">
        <v>119.9400024414062</v>
      </c>
      <c r="E2852" t="n">
        <v>102.5599975585938</v>
      </c>
      <c r="F2852" t="n">
        <v>14.00493144989014</v>
      </c>
      <c r="G2852" t="n">
        <v>75.37435913085938</v>
      </c>
      <c r="H2852">
        <f>AVERAGE(D2653:D2852)</f>
        <v/>
      </c>
      <c r="I2852">
        <f>AVERAGE(E2653:E2852)</f>
        <v/>
      </c>
      <c r="J2852">
        <f>AVERAGE(F2653:F2852)</f>
        <v/>
      </c>
    </row>
    <row r="2853">
      <c r="C2853" s="539" t="n">
        <v>43588</v>
      </c>
      <c r="D2853" t="n">
        <v>120.6500015258789</v>
      </c>
      <c r="E2853" t="n">
        <v>102.9599990844727</v>
      </c>
      <c r="F2853" t="n">
        <v>13.92673969268799</v>
      </c>
      <c r="G2853" t="n">
        <v>75.382568359375</v>
      </c>
      <c r="H2853">
        <f>AVERAGE(D2654:D2853)</f>
        <v/>
      </c>
      <c r="I2853">
        <f>AVERAGE(E2654:E2853)</f>
        <v/>
      </c>
      <c r="J2853">
        <f>AVERAGE(F2654:F2853)</f>
        <v/>
      </c>
    </row>
    <row r="2854">
      <c r="C2854" s="539" t="n">
        <v>43591</v>
      </c>
      <c r="D2854" t="n">
        <v>120.8099975585938</v>
      </c>
      <c r="E2854" t="n">
        <v>104.5599975585938</v>
      </c>
      <c r="F2854" t="n">
        <v>13.78773212432861</v>
      </c>
      <c r="G2854" t="n">
        <v>75.39083862304688</v>
      </c>
      <c r="H2854">
        <f>AVERAGE(D2655:D2854)</f>
        <v/>
      </c>
      <c r="I2854">
        <f>AVERAGE(E2655:E2854)</f>
        <v/>
      </c>
      <c r="J2854">
        <f>AVERAGE(F2655:F2854)</f>
        <v/>
      </c>
    </row>
    <row r="2855">
      <c r="C2855" s="539" t="n">
        <v>43592</v>
      </c>
      <c r="D2855" t="n">
        <v>121.2099990844727</v>
      </c>
      <c r="E2855" t="n">
        <v>101.8399963378906</v>
      </c>
      <c r="F2855" t="n">
        <v>13.73560428619385</v>
      </c>
      <c r="G2855" t="n">
        <v>75.3990478515625</v>
      </c>
      <c r="H2855">
        <f>AVERAGE(D2656:D2855)</f>
        <v/>
      </c>
      <c r="I2855">
        <f>AVERAGE(E2656:E2855)</f>
        <v/>
      </c>
      <c r="J2855">
        <f>AVERAGE(F2656:F2855)</f>
        <v/>
      </c>
    </row>
    <row r="2856">
      <c r="C2856" s="539" t="n">
        <v>43593</v>
      </c>
      <c r="D2856" t="n">
        <v>120.9100036621094</v>
      </c>
      <c r="E2856" t="n">
        <v>103.120002746582</v>
      </c>
      <c r="F2856" t="n">
        <v>13.62266254425049</v>
      </c>
      <c r="G2856" t="n">
        <v>75.3990478515625</v>
      </c>
      <c r="H2856">
        <f>AVERAGE(D2657:D2856)</f>
        <v/>
      </c>
      <c r="I2856">
        <f>AVERAGE(E2657:E2856)</f>
        <v/>
      </c>
      <c r="J2856">
        <f>AVERAGE(F2657:F2856)</f>
        <v/>
      </c>
    </row>
    <row r="2857">
      <c r="C2857" s="539" t="n">
        <v>43594</v>
      </c>
      <c r="D2857" t="n">
        <v>121.1999969482422</v>
      </c>
      <c r="E2857" t="n">
        <v>102.4800033569336</v>
      </c>
      <c r="F2857" t="n">
        <v>13.57922172546387</v>
      </c>
      <c r="G2857" t="n">
        <v>75.40732574462891</v>
      </c>
      <c r="H2857">
        <f>AVERAGE(D2658:D2857)</f>
        <v/>
      </c>
      <c r="I2857">
        <f>AVERAGE(E2658:E2857)</f>
        <v/>
      </c>
      <c r="J2857">
        <f>AVERAGE(F2658:F2857)</f>
        <v/>
      </c>
    </row>
    <row r="2858">
      <c r="C2858" s="539" t="n">
        <v>43595</v>
      </c>
      <c r="D2858" t="n">
        <v>121.4300003051758</v>
      </c>
      <c r="E2858" t="n">
        <v>102.7200012207031</v>
      </c>
      <c r="F2858" t="n">
        <v>13.54446983337402</v>
      </c>
      <c r="G2858" t="n">
        <v>75.42383575439453</v>
      </c>
      <c r="H2858">
        <f>AVERAGE(D2659:D2858)</f>
        <v/>
      </c>
      <c r="I2858">
        <f>AVERAGE(E2659:E2858)</f>
        <v/>
      </c>
      <c r="J2858">
        <f>AVERAGE(F2659:F2858)</f>
        <v/>
      </c>
    </row>
    <row r="2859">
      <c r="C2859" s="539" t="n">
        <v>43598</v>
      </c>
      <c r="D2859" t="n">
        <v>122.6699981689453</v>
      </c>
      <c r="E2859" t="n">
        <v>101.4400024414062</v>
      </c>
      <c r="F2859" t="n">
        <v>13.5097188949585</v>
      </c>
      <c r="G2859" t="n">
        <v>75.41554260253906</v>
      </c>
      <c r="H2859">
        <f>AVERAGE(D2660:D2859)</f>
        <v/>
      </c>
      <c r="I2859">
        <f>AVERAGE(E2660:E2859)</f>
        <v/>
      </c>
      <c r="J2859">
        <f>AVERAGE(F2660:F2859)</f>
        <v/>
      </c>
    </row>
    <row r="2860">
      <c r="C2860" s="539" t="n">
        <v>43599</v>
      </c>
      <c r="D2860" t="n">
        <v>122.4599990844727</v>
      </c>
      <c r="E2860" t="n">
        <v>102.9599990844727</v>
      </c>
      <c r="F2860" t="n">
        <v>13.73560428619385</v>
      </c>
      <c r="G2860" t="n">
        <v>75.42383575439453</v>
      </c>
      <c r="H2860">
        <f>AVERAGE(D2661:D2860)</f>
        <v/>
      </c>
      <c r="I2860">
        <f>AVERAGE(E2661:E2860)</f>
        <v/>
      </c>
      <c r="J2860">
        <f>AVERAGE(F2661:F2860)</f>
        <v/>
      </c>
    </row>
    <row r="2861">
      <c r="C2861" s="539" t="n">
        <v>43600</v>
      </c>
      <c r="D2861" t="n">
        <v>122.3899993896484</v>
      </c>
      <c r="E2861" t="n">
        <v>103.7600021362305</v>
      </c>
      <c r="F2861" t="n">
        <v>13.76166820526123</v>
      </c>
      <c r="G2861" t="n">
        <v>75.43202972412109</v>
      </c>
      <c r="H2861">
        <f>AVERAGE(D2662:D2861)</f>
        <v/>
      </c>
      <c r="I2861">
        <f>AVERAGE(E2662:E2861)</f>
        <v/>
      </c>
      <c r="J2861">
        <f>AVERAGE(F2662:F2861)</f>
        <v/>
      </c>
    </row>
    <row r="2862">
      <c r="C2862" s="539" t="n">
        <v>43601</v>
      </c>
      <c r="D2862" t="n">
        <v>121.5100021362305</v>
      </c>
      <c r="E2862" t="n">
        <v>105.120002746582</v>
      </c>
      <c r="F2862" t="n">
        <v>13.96149063110352</v>
      </c>
      <c r="G2862" t="n">
        <v>75.44027709960938</v>
      </c>
      <c r="H2862">
        <f>AVERAGE(D2663:D2862)</f>
        <v/>
      </c>
      <c r="I2862">
        <f>AVERAGE(E2663:E2862)</f>
        <v/>
      </c>
      <c r="J2862">
        <f>AVERAGE(F2663:F2862)</f>
        <v/>
      </c>
    </row>
    <row r="2863">
      <c r="C2863" s="539" t="n">
        <v>43602</v>
      </c>
      <c r="D2863" t="n">
        <v>120.6500015258789</v>
      </c>
      <c r="E2863" t="n">
        <v>104.6399993896484</v>
      </c>
      <c r="F2863" t="n">
        <v>13.83117198944092</v>
      </c>
      <c r="G2863" t="n">
        <v>75.44847869873047</v>
      </c>
      <c r="H2863">
        <f>AVERAGE(D2664:D2863)</f>
        <v/>
      </c>
      <c r="I2863">
        <f>AVERAGE(E2664:E2863)</f>
        <v/>
      </c>
      <c r="J2863">
        <f>AVERAGE(F2664:F2863)</f>
        <v/>
      </c>
    </row>
    <row r="2864">
      <c r="C2864" s="539" t="n">
        <v>43605</v>
      </c>
      <c r="D2864" t="n">
        <v>120.6399993896484</v>
      </c>
      <c r="E2864" t="n">
        <v>105.1999969482422</v>
      </c>
      <c r="F2864" t="n">
        <v>14.01361751556396</v>
      </c>
      <c r="G2864" t="n">
        <v>75.456787109375</v>
      </c>
      <c r="H2864">
        <f>AVERAGE(D2665:D2864)</f>
        <v/>
      </c>
      <c r="I2864">
        <f>AVERAGE(E2665:E2864)</f>
        <v/>
      </c>
      <c r="J2864">
        <f>AVERAGE(F2665:F2864)</f>
        <v/>
      </c>
    </row>
    <row r="2865">
      <c r="C2865" s="539" t="n">
        <v>43606</v>
      </c>
      <c r="D2865" t="n">
        <v>120.3600006103516</v>
      </c>
      <c r="E2865" t="n">
        <v>105.0400009155273</v>
      </c>
      <c r="F2865" t="n">
        <v>14.08312034606934</v>
      </c>
      <c r="G2865" t="n">
        <v>75.456787109375</v>
      </c>
      <c r="H2865">
        <f>AVERAGE(D2666:D2865)</f>
        <v/>
      </c>
      <c r="I2865">
        <f>AVERAGE(E2666:E2865)</f>
        <v/>
      </c>
      <c r="J2865">
        <f>AVERAGE(F2666:F2865)</f>
        <v/>
      </c>
    </row>
    <row r="2866">
      <c r="C2866" s="539" t="n">
        <v>43607</v>
      </c>
      <c r="D2866" t="n">
        <v>120.2399978637695</v>
      </c>
      <c r="E2866" t="n">
        <v>101.9199981689453</v>
      </c>
      <c r="F2866" t="n">
        <v>14.03968238830566</v>
      </c>
      <c r="G2866" t="n">
        <v>75.47325134277344</v>
      </c>
      <c r="H2866">
        <f>AVERAGE(D2667:D2866)</f>
        <v/>
      </c>
      <c r="I2866">
        <f>AVERAGE(E2667:E2866)</f>
        <v/>
      </c>
      <c r="J2866">
        <f>AVERAGE(F2667:F2866)</f>
        <v/>
      </c>
    </row>
    <row r="2867">
      <c r="C2867" s="539" t="n">
        <v>43608</v>
      </c>
      <c r="D2867" t="n">
        <v>121.1699981689453</v>
      </c>
      <c r="E2867" t="n">
        <v>96.72000122070312</v>
      </c>
      <c r="F2867" t="n">
        <v>13.99624443054199</v>
      </c>
      <c r="G2867" t="n">
        <v>75.48971557617188</v>
      </c>
      <c r="H2867">
        <f>AVERAGE(D2668:D2867)</f>
        <v/>
      </c>
      <c r="I2867">
        <f>AVERAGE(E2668:E2867)</f>
        <v/>
      </c>
      <c r="J2867">
        <f>AVERAGE(F2668:F2867)</f>
        <v/>
      </c>
    </row>
    <row r="2868">
      <c r="C2868" s="539" t="n">
        <v>43609</v>
      </c>
      <c r="D2868" t="n">
        <v>121.3000030517578</v>
      </c>
      <c r="E2868" t="n">
        <v>97.83999633789062</v>
      </c>
      <c r="F2868" t="n">
        <v>14.13524913787842</v>
      </c>
      <c r="G2868" t="n">
        <v>75.48971557617188</v>
      </c>
      <c r="H2868">
        <f>AVERAGE(D2669:D2868)</f>
        <v/>
      </c>
      <c r="I2868">
        <f>AVERAGE(E2669:E2868)</f>
        <v/>
      </c>
      <c r="J2868">
        <f>AVERAGE(F2669:F2868)</f>
        <v/>
      </c>
    </row>
    <row r="2869">
      <c r="C2869" s="539" t="n">
        <v>43613</v>
      </c>
      <c r="D2869" t="n">
        <v>120.8300018310547</v>
      </c>
      <c r="E2869" t="n">
        <v>97.83999633789062</v>
      </c>
      <c r="F2869" t="n">
        <v>14.3611364364624</v>
      </c>
      <c r="G2869" t="n">
        <v>75.49795532226562</v>
      </c>
      <c r="H2869">
        <f>AVERAGE(D2670:D2869)</f>
        <v/>
      </c>
      <c r="I2869">
        <f>AVERAGE(E2670:E2869)</f>
        <v/>
      </c>
      <c r="J2869">
        <f>AVERAGE(F2670:F2869)</f>
        <v/>
      </c>
    </row>
    <row r="2870">
      <c r="C2870" s="539" t="n">
        <v>43614</v>
      </c>
      <c r="D2870" t="n">
        <v>120.870002746582</v>
      </c>
      <c r="E2870" t="n">
        <v>97.91999816894531</v>
      </c>
      <c r="F2870" t="n">
        <v>14.3611364364624</v>
      </c>
      <c r="G2870" t="n">
        <v>75.49795532226562</v>
      </c>
      <c r="H2870">
        <f>AVERAGE(D2671:D2870)</f>
        <v/>
      </c>
      <c r="I2870">
        <f>AVERAGE(E2671:E2870)</f>
        <v/>
      </c>
      <c r="J2870">
        <f>AVERAGE(F2671:F2870)</f>
        <v/>
      </c>
    </row>
    <row r="2871">
      <c r="C2871" s="539" t="n">
        <v>43615</v>
      </c>
      <c r="D2871" t="n">
        <v>121.6900024414062</v>
      </c>
      <c r="E2871" t="n">
        <v>94.08000183105469</v>
      </c>
      <c r="F2871" t="n">
        <v>14.55226802825928</v>
      </c>
      <c r="G2871" t="n">
        <v>75.52271270751953</v>
      </c>
      <c r="H2871">
        <f>AVERAGE(D2672:D2871)</f>
        <v/>
      </c>
      <c r="I2871">
        <f>AVERAGE(E2672:E2871)</f>
        <v/>
      </c>
      <c r="J2871">
        <f>AVERAGE(F2672:F2871)</f>
        <v/>
      </c>
    </row>
    <row r="2872">
      <c r="C2872" s="539" t="n">
        <v>43616</v>
      </c>
      <c r="D2872" t="n">
        <v>123.3300018310547</v>
      </c>
      <c r="E2872" t="n">
        <v>88.80000305175781</v>
      </c>
      <c r="F2872" t="n">
        <v>14.43932723999023</v>
      </c>
      <c r="G2872" t="n">
        <v>75.52271270751953</v>
      </c>
      <c r="H2872">
        <f>AVERAGE(D2673:D2872)</f>
        <v/>
      </c>
      <c r="I2872">
        <f>AVERAGE(E2673:E2872)</f>
        <v/>
      </c>
      <c r="J2872">
        <f>AVERAGE(F2673:F2872)</f>
        <v/>
      </c>
    </row>
    <row r="2873">
      <c r="C2873" s="539" t="n">
        <v>43619</v>
      </c>
      <c r="D2873" t="n">
        <v>125.1100006103516</v>
      </c>
      <c r="E2873" t="n">
        <v>87.91999816894531</v>
      </c>
      <c r="F2873" t="n">
        <v>14.41326332092285</v>
      </c>
      <c r="G2873" t="n">
        <v>75.5194091796875</v>
      </c>
      <c r="H2873">
        <f>AVERAGE(D2674:D2873)</f>
        <v/>
      </c>
      <c r="I2873">
        <f>AVERAGE(E2674:E2873)</f>
        <v/>
      </c>
      <c r="J2873">
        <f>AVERAGE(F2674:F2873)</f>
        <v/>
      </c>
    </row>
    <row r="2874">
      <c r="C2874" s="539" t="n">
        <v>43620</v>
      </c>
      <c r="D2874" t="n">
        <v>125.1500015258789</v>
      </c>
      <c r="E2874" t="n">
        <v>89.27999877929688</v>
      </c>
      <c r="F2874" t="n">
        <v>14.4653902053833</v>
      </c>
      <c r="G2874" t="n">
        <v>75.53596496582031</v>
      </c>
      <c r="H2874">
        <f>AVERAGE(D2675:D2874)</f>
        <v/>
      </c>
      <c r="I2874">
        <f>AVERAGE(E2675:E2874)</f>
        <v/>
      </c>
      <c r="J2874">
        <f>AVERAGE(F2675:F2874)</f>
        <v/>
      </c>
    </row>
    <row r="2875">
      <c r="C2875" s="539" t="n">
        <v>43621</v>
      </c>
      <c r="D2875" t="n">
        <v>125.4700012207031</v>
      </c>
      <c r="E2875" t="n">
        <v>86.16000366210938</v>
      </c>
      <c r="F2875" t="n">
        <v>14.26556777954102</v>
      </c>
      <c r="G2875" t="n">
        <v>75.53596496582031</v>
      </c>
      <c r="H2875">
        <f>AVERAGE(D2676:D2875)</f>
        <v/>
      </c>
      <c r="I2875">
        <f>AVERAGE(E2676:E2875)</f>
        <v/>
      </c>
      <c r="J2875">
        <f>AVERAGE(F2676:F2875)</f>
        <v/>
      </c>
    </row>
    <row r="2876">
      <c r="C2876" s="539" t="n">
        <v>43622</v>
      </c>
      <c r="D2876" t="n">
        <v>125.879997253418</v>
      </c>
      <c r="E2876" t="n">
        <v>88.48000335693359</v>
      </c>
      <c r="F2876" t="n">
        <v>14.45670127868652</v>
      </c>
      <c r="G2876" t="n">
        <v>75.56069183349609</v>
      </c>
      <c r="H2876">
        <f>AVERAGE(D2677:D2876)</f>
        <v/>
      </c>
      <c r="I2876">
        <f>AVERAGE(E2677:E2876)</f>
        <v/>
      </c>
      <c r="J2876">
        <f>AVERAGE(F2677:F2876)</f>
        <v/>
      </c>
    </row>
    <row r="2877">
      <c r="C2877" s="539" t="n">
        <v>43623</v>
      </c>
      <c r="D2877" t="n">
        <v>126.5899963378906</v>
      </c>
      <c r="E2877" t="n">
        <v>89.83999633789062</v>
      </c>
      <c r="F2877" t="n">
        <v>14.30031871795654</v>
      </c>
      <c r="G2877" t="n">
        <v>75.55245971679688</v>
      </c>
      <c r="H2877">
        <f>AVERAGE(D2678:D2877)</f>
        <v/>
      </c>
      <c r="I2877">
        <f>AVERAGE(E2678:E2877)</f>
        <v/>
      </c>
      <c r="J2877">
        <f>AVERAGE(F2678:F2877)</f>
        <v/>
      </c>
    </row>
    <row r="2878">
      <c r="C2878" s="539" t="n">
        <v>43626</v>
      </c>
      <c r="D2878" t="n">
        <v>125.3300018310547</v>
      </c>
      <c r="E2878" t="n">
        <v>88.87999725341797</v>
      </c>
      <c r="F2878" t="n">
        <v>14.41326332092285</v>
      </c>
      <c r="G2878" t="n">
        <v>75.5689697265625</v>
      </c>
      <c r="H2878">
        <f>AVERAGE(D2679:D2878)</f>
        <v/>
      </c>
      <c r="I2878">
        <f>AVERAGE(E2679:E2878)</f>
        <v/>
      </c>
      <c r="J2878">
        <f>AVERAGE(F2679:F2878)</f>
        <v/>
      </c>
    </row>
    <row r="2879">
      <c r="C2879" s="539" t="n">
        <v>43627</v>
      </c>
      <c r="D2879" t="n">
        <v>125.1800003051758</v>
      </c>
      <c r="E2879" t="n">
        <v>88.87999725341797</v>
      </c>
      <c r="F2879" t="n">
        <v>14.47407913208008</v>
      </c>
      <c r="G2879" t="n">
        <v>75.56069183349609</v>
      </c>
      <c r="H2879">
        <f>AVERAGE(D2680:D2879)</f>
        <v/>
      </c>
      <c r="I2879">
        <f>AVERAGE(E2680:E2879)</f>
        <v/>
      </c>
      <c r="J2879">
        <f>AVERAGE(F2680:F2879)</f>
        <v/>
      </c>
    </row>
    <row r="2880">
      <c r="C2880" s="539" t="n">
        <v>43628</v>
      </c>
      <c r="D2880" t="n">
        <v>125.8300018310547</v>
      </c>
      <c r="E2880" t="n">
        <v>85.12000274658203</v>
      </c>
      <c r="F2880" t="n">
        <v>14.55226802825928</v>
      </c>
      <c r="G2880" t="n">
        <v>75.5689697265625</v>
      </c>
      <c r="H2880">
        <f>AVERAGE(D2681:D2880)</f>
        <v/>
      </c>
      <c r="I2880">
        <f>AVERAGE(E2681:E2880)</f>
        <v/>
      </c>
      <c r="J2880">
        <f>AVERAGE(F2681:F2880)</f>
        <v/>
      </c>
    </row>
    <row r="2881">
      <c r="C2881" s="539" t="n">
        <v>43629</v>
      </c>
      <c r="D2881" t="n">
        <v>126.5999984741211</v>
      </c>
      <c r="E2881" t="n">
        <v>87.04000091552734</v>
      </c>
      <c r="F2881" t="n">
        <v>14.56964588165283</v>
      </c>
      <c r="G2881" t="n">
        <v>75.59371948242188</v>
      </c>
      <c r="H2881">
        <f>AVERAGE(D2682:D2881)</f>
        <v/>
      </c>
      <c r="I2881">
        <f>AVERAGE(E2682:E2881)</f>
        <v/>
      </c>
      <c r="J2881">
        <f>AVERAGE(F2682:F2881)</f>
        <v/>
      </c>
    </row>
    <row r="2882">
      <c r="C2882" s="539" t="n">
        <v>43630</v>
      </c>
      <c r="D2882" t="n">
        <v>126.5599975585938</v>
      </c>
      <c r="E2882" t="n">
        <v>87.51999664306641</v>
      </c>
      <c r="F2882" t="n">
        <v>14.57833480834961</v>
      </c>
      <c r="G2882" t="n">
        <v>75.60198211669922</v>
      </c>
      <c r="H2882">
        <f>AVERAGE(D2683:D2882)</f>
        <v/>
      </c>
      <c r="I2882">
        <f>AVERAGE(E2683:E2882)</f>
        <v/>
      </c>
      <c r="J2882">
        <f>AVERAGE(F2683:F2882)</f>
        <v/>
      </c>
    </row>
    <row r="2883">
      <c r="C2883" s="539" t="n">
        <v>43633</v>
      </c>
      <c r="D2883" t="n">
        <v>126.4800033569336</v>
      </c>
      <c r="E2883" t="n">
        <v>86.48000335693359</v>
      </c>
      <c r="F2883" t="n">
        <v>14.68258762359619</v>
      </c>
      <c r="G2883" t="n">
        <v>75.60198211669922</v>
      </c>
      <c r="H2883">
        <f>AVERAGE(D2684:D2883)</f>
        <v/>
      </c>
      <c r="I2883">
        <f>AVERAGE(E2684:E2883)</f>
        <v/>
      </c>
      <c r="J2883">
        <f>AVERAGE(F2684:F2883)</f>
        <v/>
      </c>
    </row>
    <row r="2884">
      <c r="C2884" s="539" t="n">
        <v>43634</v>
      </c>
      <c r="D2884" t="n">
        <v>127.120002746582</v>
      </c>
      <c r="E2884" t="n">
        <v>90</v>
      </c>
      <c r="F2884" t="n">
        <v>14.60439682006836</v>
      </c>
      <c r="G2884" t="n">
        <v>75.60198211669922</v>
      </c>
      <c r="H2884">
        <f>AVERAGE(D2685:D2884)</f>
        <v/>
      </c>
      <c r="I2884">
        <f>AVERAGE(E2685:E2884)</f>
        <v/>
      </c>
      <c r="J2884">
        <f>AVERAGE(F2685:F2884)</f>
        <v/>
      </c>
    </row>
    <row r="2885">
      <c r="C2885" s="539" t="n">
        <v>43635</v>
      </c>
      <c r="D2885" t="n">
        <v>127.8899993896484</v>
      </c>
      <c r="E2885" t="n">
        <v>90.63999938964844</v>
      </c>
      <c r="F2885" t="n">
        <v>14.54358100891113</v>
      </c>
      <c r="G2885" t="n">
        <v>75.61848449707031</v>
      </c>
      <c r="H2885">
        <f>AVERAGE(D2686:D2885)</f>
        <v/>
      </c>
      <c r="I2885">
        <f>AVERAGE(E2686:E2885)</f>
        <v/>
      </c>
      <c r="J2885">
        <f>AVERAGE(F2686:F2885)</f>
        <v/>
      </c>
    </row>
    <row r="2886">
      <c r="C2886" s="539" t="n">
        <v>43636</v>
      </c>
      <c r="D2886" t="n">
        <v>131.1100006103516</v>
      </c>
      <c r="E2886" t="n">
        <v>94.80000305175781</v>
      </c>
      <c r="F2886" t="n">
        <v>14.56095790863037</v>
      </c>
      <c r="G2886" t="n">
        <v>75.62676239013672</v>
      </c>
      <c r="H2886">
        <f>AVERAGE(D2687:D2886)</f>
        <v/>
      </c>
      <c r="I2886">
        <f>AVERAGE(E2687:E2886)</f>
        <v/>
      </c>
      <c r="J2886">
        <f>AVERAGE(F2687:F2886)</f>
        <v/>
      </c>
    </row>
    <row r="2887">
      <c r="C2887" s="539" t="n">
        <v>43637</v>
      </c>
      <c r="D2887" t="n">
        <v>131.9799957275391</v>
      </c>
      <c r="E2887" t="n">
        <v>95.76000213623047</v>
      </c>
      <c r="F2887" t="n">
        <v>14.39588737487793</v>
      </c>
      <c r="G2887" t="n">
        <v>75.62676239013672</v>
      </c>
      <c r="H2887">
        <f>AVERAGE(D2688:D2887)</f>
        <v/>
      </c>
      <c r="I2887">
        <f>AVERAGE(E2688:E2887)</f>
        <v/>
      </c>
      <c r="J2887">
        <f>AVERAGE(F2688:F2887)</f>
        <v/>
      </c>
    </row>
    <row r="2888">
      <c r="C2888" s="539" t="n">
        <v>43640</v>
      </c>
      <c r="D2888" t="n">
        <v>133.9400024414062</v>
      </c>
      <c r="E2888" t="n">
        <v>96.08000183105469</v>
      </c>
      <c r="F2888" t="n">
        <v>14.421950340271</v>
      </c>
      <c r="G2888" t="n">
        <v>75.63502502441406</v>
      </c>
      <c r="H2888">
        <f>AVERAGE(D2689:D2888)</f>
        <v/>
      </c>
      <c r="I2888">
        <f>AVERAGE(E2689:E2888)</f>
        <v/>
      </c>
      <c r="J2888">
        <f>AVERAGE(F2689:F2888)</f>
        <v/>
      </c>
    </row>
    <row r="2889">
      <c r="C2889" s="539" t="n">
        <v>43641</v>
      </c>
      <c r="D2889" t="n">
        <v>134.1999969482422</v>
      </c>
      <c r="E2889" t="n">
        <v>96</v>
      </c>
      <c r="F2889" t="n">
        <v>14.49145412445068</v>
      </c>
      <c r="G2889" t="n">
        <v>75.63502502441406</v>
      </c>
      <c r="H2889">
        <f>AVERAGE(D2690:D2889)</f>
        <v/>
      </c>
      <c r="I2889">
        <f>AVERAGE(E2690:E2889)</f>
        <v/>
      </c>
      <c r="J2889">
        <f>AVERAGE(F2690:F2889)</f>
        <v/>
      </c>
    </row>
    <row r="2890">
      <c r="C2890" s="539" t="n">
        <v>43642</v>
      </c>
      <c r="D2890" t="n">
        <v>132.9700012207031</v>
      </c>
      <c r="E2890" t="n">
        <v>98.31999969482422</v>
      </c>
      <c r="F2890" t="n">
        <v>14.50014209747314</v>
      </c>
      <c r="G2890" t="n">
        <v>75.65155792236328</v>
      </c>
      <c r="H2890">
        <f>AVERAGE(D2691:D2890)</f>
        <v/>
      </c>
      <c r="I2890">
        <f>AVERAGE(E2691:E2890)</f>
        <v/>
      </c>
      <c r="J2890">
        <f>AVERAGE(F2691:F2890)</f>
        <v/>
      </c>
    </row>
    <row r="2891">
      <c r="C2891" s="539" t="n">
        <v>43643</v>
      </c>
      <c r="D2891" t="n">
        <v>132.8399963378906</v>
      </c>
      <c r="E2891" t="n">
        <v>98.31999969482422</v>
      </c>
      <c r="F2891" t="n">
        <v>14.55226802825928</v>
      </c>
      <c r="G2891" t="n">
        <v>75.65155792236328</v>
      </c>
      <c r="H2891">
        <f>AVERAGE(D2692:D2891)</f>
        <v/>
      </c>
      <c r="I2891">
        <f>AVERAGE(E2692:E2891)</f>
        <v/>
      </c>
      <c r="J2891">
        <f>AVERAGE(F2692:F2891)</f>
        <v/>
      </c>
    </row>
    <row r="2892">
      <c r="C2892" s="539" t="n">
        <v>43644</v>
      </c>
      <c r="D2892" t="n">
        <v>133.1999969482422</v>
      </c>
      <c r="E2892" t="n">
        <v>96.31999969482422</v>
      </c>
      <c r="F2892" t="n">
        <v>14.39588737487793</v>
      </c>
      <c r="G2892" t="n">
        <v>75.65980529785156</v>
      </c>
      <c r="H2892">
        <f>AVERAGE(D2693:D2892)</f>
        <v/>
      </c>
      <c r="I2892">
        <f>AVERAGE(E2693:E2892)</f>
        <v/>
      </c>
      <c r="J2892">
        <f>AVERAGE(F2693:F2892)</f>
        <v/>
      </c>
    </row>
    <row r="2893">
      <c r="C2893" s="539" t="n">
        <v>43647</v>
      </c>
      <c r="D2893" t="n">
        <v>130.6199951171875</v>
      </c>
      <c r="E2893" t="n">
        <v>98.23999786376953</v>
      </c>
      <c r="F2893" t="n">
        <v>14.37850952148438</v>
      </c>
      <c r="G2893" t="n">
        <v>75.65567016601562</v>
      </c>
      <c r="H2893">
        <f>AVERAGE(D2694:D2893)</f>
        <v/>
      </c>
      <c r="I2893">
        <f>AVERAGE(E2694:E2893)</f>
        <v/>
      </c>
      <c r="J2893">
        <f>AVERAGE(F2694:F2893)</f>
        <v/>
      </c>
    </row>
    <row r="2894">
      <c r="C2894" s="539" t="n">
        <v>43648</v>
      </c>
      <c r="D2894" t="n">
        <v>133.4100036621094</v>
      </c>
      <c r="E2894" t="n">
        <v>93.59999847412109</v>
      </c>
      <c r="F2894" t="n">
        <v>14.30900764465332</v>
      </c>
      <c r="G2894" t="n">
        <v>75.66393280029297</v>
      </c>
      <c r="H2894">
        <f>AVERAGE(D2695:D2894)</f>
        <v/>
      </c>
      <c r="I2894">
        <f>AVERAGE(E2695:E2894)</f>
        <v/>
      </c>
      <c r="J2894">
        <f>AVERAGE(F2695:F2894)</f>
        <v/>
      </c>
    </row>
    <row r="2895">
      <c r="C2895" s="539" t="n">
        <v>43649</v>
      </c>
      <c r="D2895" t="n">
        <v>133.6300048828125</v>
      </c>
      <c r="E2895" t="n">
        <v>94.16000366210938</v>
      </c>
      <c r="F2895" t="n">
        <v>14.50014209747314</v>
      </c>
      <c r="G2895" t="n">
        <v>75.68877410888672</v>
      </c>
      <c r="H2895">
        <f>AVERAGE(D2696:D2895)</f>
        <v/>
      </c>
      <c r="I2895">
        <f>AVERAGE(E2696:E2895)</f>
        <v/>
      </c>
      <c r="J2895">
        <f>AVERAGE(F2696:F2895)</f>
        <v/>
      </c>
    </row>
    <row r="2896">
      <c r="C2896" s="539" t="n">
        <v>43651</v>
      </c>
      <c r="D2896" t="n">
        <v>132.1399993896484</v>
      </c>
      <c r="E2896" t="n">
        <v>95.59999847412109</v>
      </c>
      <c r="F2896" t="n">
        <v>14.41326332092285</v>
      </c>
      <c r="G2896" t="n">
        <v>75.68051147460938</v>
      </c>
      <c r="H2896">
        <f>AVERAGE(D2697:D2896)</f>
        <v/>
      </c>
      <c r="I2896">
        <f>AVERAGE(E2697:E2896)</f>
        <v/>
      </c>
      <c r="J2896">
        <f>AVERAGE(F2697:F2896)</f>
        <v/>
      </c>
    </row>
    <row r="2897">
      <c r="C2897" s="539" t="n">
        <v>43654</v>
      </c>
      <c r="D2897" t="n">
        <v>131.2899932861328</v>
      </c>
      <c r="E2897" t="n">
        <v>95.44000244140625</v>
      </c>
      <c r="F2897" t="n">
        <v>14.41326332092285</v>
      </c>
      <c r="G2897" t="n">
        <v>75.68051147460938</v>
      </c>
      <c r="H2897">
        <f>AVERAGE(D2698:D2897)</f>
        <v/>
      </c>
      <c r="I2897">
        <f>AVERAGE(E2698:E2897)</f>
        <v/>
      </c>
      <c r="J2897">
        <f>AVERAGE(F2698:F2897)</f>
        <v/>
      </c>
    </row>
    <row r="2898">
      <c r="C2898" s="539" t="n">
        <v>43655</v>
      </c>
      <c r="D2898" t="n">
        <v>131.75</v>
      </c>
      <c r="E2898" t="n">
        <v>96.31999969482422</v>
      </c>
      <c r="F2898" t="n">
        <v>14.45670127868652</v>
      </c>
      <c r="G2898" t="n">
        <v>75.68877410888672</v>
      </c>
      <c r="H2898">
        <f>AVERAGE(D2699:D2898)</f>
        <v/>
      </c>
      <c r="I2898">
        <f>AVERAGE(E2699:E2898)</f>
        <v/>
      </c>
      <c r="J2898">
        <f>AVERAGE(F2699:F2898)</f>
        <v/>
      </c>
    </row>
    <row r="2899">
      <c r="C2899" s="539" t="n">
        <v>43656</v>
      </c>
      <c r="D2899" t="n">
        <v>133.8300018310547</v>
      </c>
      <c r="E2899" t="n">
        <v>100.2399978637695</v>
      </c>
      <c r="F2899" t="n">
        <v>14.47407913208008</v>
      </c>
      <c r="G2899" t="n">
        <v>75.69703674316406</v>
      </c>
      <c r="H2899">
        <f>AVERAGE(D2700:D2899)</f>
        <v/>
      </c>
      <c r="I2899">
        <f>AVERAGE(E2700:E2899)</f>
        <v/>
      </c>
      <c r="J2899">
        <f>AVERAGE(F2700:F2899)</f>
        <v/>
      </c>
    </row>
    <row r="2900">
      <c r="C2900" s="539" t="n">
        <v>43657</v>
      </c>
      <c r="D2900" t="n">
        <v>132.6999969482422</v>
      </c>
      <c r="E2900" t="n">
        <v>100.4000015258789</v>
      </c>
      <c r="F2900" t="n">
        <v>14.56964588165283</v>
      </c>
      <c r="G2900" t="n">
        <v>75.71357727050781</v>
      </c>
      <c r="H2900">
        <f>AVERAGE(D2701:D2900)</f>
        <v/>
      </c>
      <c r="I2900">
        <f>AVERAGE(E2701:E2900)</f>
        <v/>
      </c>
      <c r="J2900">
        <f>AVERAGE(F2701:F2900)</f>
        <v/>
      </c>
    </row>
    <row r="2901">
      <c r="C2901" s="539" t="n">
        <v>43658</v>
      </c>
      <c r="D2901" t="n">
        <v>133.5299987792969</v>
      </c>
      <c r="E2901" t="n">
        <v>100.1600036621094</v>
      </c>
      <c r="F2901" t="n">
        <v>14.67389869689941</v>
      </c>
      <c r="G2901" t="n">
        <v>75.72184753417969</v>
      </c>
      <c r="H2901">
        <f>AVERAGE(D2702:D2901)</f>
        <v/>
      </c>
      <c r="I2901">
        <f>AVERAGE(E2702:E2901)</f>
        <v/>
      </c>
      <c r="J2901">
        <f>AVERAGE(F2702:F2901)</f>
        <v/>
      </c>
    </row>
    <row r="2902">
      <c r="C2902" s="539" t="n">
        <v>43661</v>
      </c>
      <c r="D2902" t="n">
        <v>133.5299987792969</v>
      </c>
      <c r="E2902" t="n">
        <v>98.40000152587891</v>
      </c>
      <c r="F2902" t="n">
        <v>14.51751613616943</v>
      </c>
      <c r="G2902" t="n">
        <v>75.72184753417969</v>
      </c>
      <c r="H2902">
        <f>AVERAGE(D2703:D2902)</f>
        <v/>
      </c>
      <c r="I2902">
        <f>AVERAGE(E2703:E2902)</f>
        <v/>
      </c>
      <c r="J2902">
        <f>AVERAGE(F2703:F2902)</f>
        <v/>
      </c>
    </row>
    <row r="2903">
      <c r="C2903" s="539" t="n">
        <v>43662</v>
      </c>
      <c r="D2903" t="n">
        <v>132.3999938964844</v>
      </c>
      <c r="E2903" t="n">
        <v>96.55999755859375</v>
      </c>
      <c r="F2903" t="n">
        <v>14.40457439422607</v>
      </c>
      <c r="G2903" t="n">
        <v>75.73011779785156</v>
      </c>
      <c r="H2903">
        <f>AVERAGE(D2704:D2903)</f>
        <v/>
      </c>
      <c r="I2903">
        <f>AVERAGE(E2704:E2903)</f>
        <v/>
      </c>
      <c r="J2903">
        <f>AVERAGE(F2704:F2903)</f>
        <v/>
      </c>
    </row>
    <row r="2904">
      <c r="C2904" s="539" t="n">
        <v>43663</v>
      </c>
      <c r="D2904" t="n">
        <v>134.5800018310547</v>
      </c>
      <c r="E2904" t="n">
        <v>94</v>
      </c>
      <c r="F2904" t="n">
        <v>14.3611364364624</v>
      </c>
      <c r="G2904" t="n">
        <v>75.73011779785156</v>
      </c>
      <c r="H2904">
        <f>AVERAGE(D2705:D2904)</f>
        <v/>
      </c>
      <c r="I2904">
        <f>AVERAGE(E2705:E2904)</f>
        <v/>
      </c>
      <c r="J2904">
        <f>AVERAGE(F2705:F2904)</f>
        <v/>
      </c>
    </row>
    <row r="2905">
      <c r="C2905" s="539" t="n">
        <v>43664</v>
      </c>
      <c r="D2905" t="n">
        <v>136.4799957275391</v>
      </c>
      <c r="E2905" t="n">
        <v>92.48000335693359</v>
      </c>
      <c r="F2905" t="n">
        <v>14.25687980651855</v>
      </c>
      <c r="G2905" t="n">
        <v>75.75494384765625</v>
      </c>
      <c r="H2905">
        <f>AVERAGE(D2706:D2905)</f>
        <v/>
      </c>
      <c r="I2905">
        <f>AVERAGE(E2706:E2905)</f>
        <v/>
      </c>
      <c r="J2905">
        <f>AVERAGE(F2706:F2905)</f>
        <v/>
      </c>
    </row>
    <row r="2906">
      <c r="C2906" s="539" t="n">
        <v>43665</v>
      </c>
      <c r="D2906" t="n">
        <v>134.4700012207031</v>
      </c>
      <c r="E2906" t="n">
        <v>93.36000061035156</v>
      </c>
      <c r="F2906" t="n">
        <v>14.421950340271</v>
      </c>
      <c r="G2906" t="n">
        <v>75.75494384765625</v>
      </c>
      <c r="H2906">
        <f>AVERAGE(D2707:D2906)</f>
        <v/>
      </c>
      <c r="I2906">
        <f>AVERAGE(E2707:E2906)</f>
        <v/>
      </c>
      <c r="J2906">
        <f>AVERAGE(F2707:F2906)</f>
        <v/>
      </c>
    </row>
    <row r="2907">
      <c r="C2907" s="539" t="n">
        <v>43668</v>
      </c>
      <c r="D2907" t="n">
        <v>134.4499969482422</v>
      </c>
      <c r="E2907" t="n">
        <v>93.44000244140625</v>
      </c>
      <c r="F2907" t="n">
        <v>14.34375953674316</v>
      </c>
      <c r="G2907" t="n">
        <v>75.75494384765625</v>
      </c>
      <c r="H2907">
        <f>AVERAGE(D2708:D2907)</f>
        <v/>
      </c>
      <c r="I2907">
        <f>AVERAGE(E2708:E2907)</f>
        <v/>
      </c>
      <c r="J2907">
        <f>AVERAGE(F2708:F2907)</f>
        <v/>
      </c>
    </row>
    <row r="2908">
      <c r="C2908" s="539" t="n">
        <v>43669</v>
      </c>
      <c r="D2908" t="n">
        <v>133.6900024414062</v>
      </c>
      <c r="E2908" t="n">
        <v>94.48000335693359</v>
      </c>
      <c r="F2908" t="n">
        <v>14.38719844818115</v>
      </c>
      <c r="G2908" t="n">
        <v>75.74669647216797</v>
      </c>
      <c r="H2908">
        <f>AVERAGE(D2709:D2908)</f>
        <v/>
      </c>
      <c r="I2908">
        <f>AVERAGE(E2709:E2908)</f>
        <v/>
      </c>
      <c r="J2908">
        <f>AVERAGE(F2709:F2908)</f>
        <v/>
      </c>
    </row>
    <row r="2909">
      <c r="C2909" s="539" t="n">
        <v>43670</v>
      </c>
      <c r="D2909" t="n">
        <v>134.3699951171875</v>
      </c>
      <c r="E2909" t="n">
        <v>92.72000122070312</v>
      </c>
      <c r="F2909" t="n">
        <v>14.38719844818115</v>
      </c>
      <c r="G2909" t="n">
        <v>75.76322937011719</v>
      </c>
      <c r="H2909">
        <f>AVERAGE(D2710:D2909)</f>
        <v/>
      </c>
      <c r="I2909">
        <f>AVERAGE(E2710:E2909)</f>
        <v/>
      </c>
      <c r="J2909">
        <f>AVERAGE(F2710:F2909)</f>
        <v/>
      </c>
    </row>
    <row r="2910">
      <c r="C2910" s="539" t="n">
        <v>43671</v>
      </c>
      <c r="D2910" t="n">
        <v>133.4199981689453</v>
      </c>
      <c r="E2910" t="n">
        <v>92.80000305175781</v>
      </c>
      <c r="F2910" t="n">
        <v>14.26556777954102</v>
      </c>
      <c r="G2910" t="n">
        <v>75.77976989746094</v>
      </c>
      <c r="H2910">
        <f>AVERAGE(D2711:D2910)</f>
        <v/>
      </c>
      <c r="I2910">
        <f>AVERAGE(E2711:E2910)</f>
        <v/>
      </c>
      <c r="J2910">
        <f>AVERAGE(F2711:F2910)</f>
        <v/>
      </c>
    </row>
    <row r="2911">
      <c r="C2911" s="539" t="n">
        <v>43672</v>
      </c>
      <c r="D2911" t="n">
        <v>133.6399993896484</v>
      </c>
      <c r="E2911" t="n">
        <v>93.19999694824219</v>
      </c>
      <c r="F2911" t="n">
        <v>14.20475196838379</v>
      </c>
      <c r="G2911" t="n">
        <v>75.77152252197266</v>
      </c>
      <c r="H2911">
        <f>AVERAGE(D2712:D2911)</f>
        <v/>
      </c>
      <c r="I2911">
        <f>AVERAGE(E2712:E2911)</f>
        <v/>
      </c>
      <c r="J2911">
        <f>AVERAGE(F2712:F2911)</f>
        <v/>
      </c>
    </row>
    <row r="2912">
      <c r="C2912" s="539" t="n">
        <v>43675</v>
      </c>
      <c r="D2912" t="n">
        <v>134.5299987792969</v>
      </c>
      <c r="E2912" t="n">
        <v>94.55999755859375</v>
      </c>
      <c r="F2912" t="n">
        <v>14.17868804931641</v>
      </c>
      <c r="G2912" t="n">
        <v>75.78804779052734</v>
      </c>
      <c r="H2912">
        <f>AVERAGE(D2713:D2912)</f>
        <v/>
      </c>
      <c r="I2912">
        <f>AVERAGE(E2713:E2912)</f>
        <v/>
      </c>
      <c r="J2912">
        <f>AVERAGE(F2713:F2912)</f>
        <v/>
      </c>
    </row>
    <row r="2913">
      <c r="C2913" s="539" t="n">
        <v>43676</v>
      </c>
      <c r="D2913" t="n">
        <v>134.9799957275391</v>
      </c>
      <c r="E2913" t="n">
        <v>96.63999938964844</v>
      </c>
      <c r="F2913" t="n">
        <v>14.05705738067627</v>
      </c>
      <c r="G2913" t="n">
        <v>75.78804779052734</v>
      </c>
      <c r="H2913">
        <f>AVERAGE(D2714:D2913)</f>
        <v/>
      </c>
      <c r="I2913">
        <f>AVERAGE(E2714:E2913)</f>
        <v/>
      </c>
      <c r="J2913">
        <f>AVERAGE(F2714:F2913)</f>
        <v/>
      </c>
    </row>
    <row r="2914">
      <c r="C2914" s="539" t="n">
        <v>43677</v>
      </c>
      <c r="D2914" t="n">
        <v>133.2100067138672</v>
      </c>
      <c r="E2914" t="n">
        <v>96.31999969482422</v>
      </c>
      <c r="F2914" t="n">
        <v>13.84854793548584</v>
      </c>
      <c r="G2914" t="n">
        <v>75.79633331298828</v>
      </c>
      <c r="H2914">
        <f>AVERAGE(D2715:D2914)</f>
        <v/>
      </c>
      <c r="I2914">
        <f>AVERAGE(E2715:E2914)</f>
        <v/>
      </c>
      <c r="J2914">
        <f>AVERAGE(F2715:F2914)</f>
        <v/>
      </c>
    </row>
    <row r="2915">
      <c r="C2915" s="539" t="n">
        <v>43678</v>
      </c>
      <c r="D2915" t="n">
        <v>136.4100036621094</v>
      </c>
      <c r="E2915" t="n">
        <v>90.48000335693359</v>
      </c>
      <c r="F2915" t="n">
        <v>13.68347835540771</v>
      </c>
      <c r="G2915" t="n">
        <v>75.81707763671875</v>
      </c>
      <c r="H2915">
        <f>AVERAGE(D2716:D2915)</f>
        <v/>
      </c>
      <c r="I2915">
        <f>AVERAGE(E2716:E2915)</f>
        <v/>
      </c>
      <c r="J2915">
        <f>AVERAGE(F2716:F2915)</f>
        <v/>
      </c>
    </row>
    <row r="2916">
      <c r="C2916" s="539" t="n">
        <v>43679</v>
      </c>
      <c r="D2916" t="n">
        <v>135.8899993896484</v>
      </c>
      <c r="E2916" t="n">
        <v>91.83999633789062</v>
      </c>
      <c r="F2916" t="n">
        <v>13.66610145568848</v>
      </c>
      <c r="G2916" t="n">
        <v>75.81707763671875</v>
      </c>
      <c r="H2916">
        <f>AVERAGE(D2717:D2916)</f>
        <v/>
      </c>
      <c r="I2916">
        <f>AVERAGE(E2717:E2916)</f>
        <v/>
      </c>
      <c r="J2916">
        <f>AVERAGE(F2717:F2916)</f>
        <v/>
      </c>
    </row>
    <row r="2917">
      <c r="C2917" s="539" t="n">
        <v>43682</v>
      </c>
      <c r="D2917" t="n">
        <v>137.7899932861328</v>
      </c>
      <c r="E2917" t="n">
        <v>90.95999908447266</v>
      </c>
      <c r="F2917" t="n">
        <v>13.67478942871094</v>
      </c>
      <c r="G2917" t="n">
        <v>75.80876159667969</v>
      </c>
      <c r="H2917">
        <f>AVERAGE(D2718:D2917)</f>
        <v/>
      </c>
      <c r="I2917">
        <f>AVERAGE(E2718:E2917)</f>
        <v/>
      </c>
      <c r="J2917">
        <f>AVERAGE(F2718:F2917)</f>
        <v/>
      </c>
    </row>
    <row r="2918">
      <c r="C2918" s="539" t="n">
        <v>43683</v>
      </c>
      <c r="D2918" t="n">
        <v>138.9100036621094</v>
      </c>
      <c r="E2918" t="n">
        <v>89.12000274658203</v>
      </c>
      <c r="F2918" t="n">
        <v>13.54446983337402</v>
      </c>
      <c r="G2918" t="n">
        <v>75.81707763671875</v>
      </c>
      <c r="H2918">
        <f>AVERAGE(D2719:D2918)</f>
        <v/>
      </c>
      <c r="I2918">
        <f>AVERAGE(E2719:E2918)</f>
        <v/>
      </c>
      <c r="J2918">
        <f>AVERAGE(F2719:F2918)</f>
        <v/>
      </c>
    </row>
    <row r="2919">
      <c r="C2919" s="539" t="n">
        <v>43684</v>
      </c>
      <c r="D2919" t="n">
        <v>141.0200042724609</v>
      </c>
      <c r="E2919" t="n">
        <v>86.72000122070312</v>
      </c>
      <c r="F2919" t="n">
        <v>13.52709484100342</v>
      </c>
      <c r="G2919" t="n">
        <v>75.83364868164062</v>
      </c>
      <c r="H2919">
        <f>AVERAGE(D2720:D2919)</f>
        <v/>
      </c>
      <c r="I2919">
        <f>AVERAGE(E2720:E2919)</f>
        <v/>
      </c>
      <c r="J2919">
        <f>AVERAGE(F2720:F2919)</f>
        <v/>
      </c>
    </row>
    <row r="2920">
      <c r="C2920" s="539" t="n">
        <v>43685</v>
      </c>
      <c r="D2920" t="n">
        <v>141.7299957275391</v>
      </c>
      <c r="E2920" t="n">
        <v>87.68000030517578</v>
      </c>
      <c r="F2920" t="n">
        <v>13.62266254425049</v>
      </c>
      <c r="G2920" t="n">
        <v>75.8419189453125</v>
      </c>
      <c r="H2920">
        <f>AVERAGE(D2721:D2920)</f>
        <v/>
      </c>
      <c r="I2920">
        <f>AVERAGE(E2721:E2920)</f>
        <v/>
      </c>
      <c r="J2920">
        <f>AVERAGE(F2721:F2920)</f>
        <v/>
      </c>
    </row>
    <row r="2921">
      <c r="C2921" s="539" t="n">
        <v>43686</v>
      </c>
      <c r="D2921" t="n">
        <v>141.2599945068359</v>
      </c>
      <c r="E2921" t="n">
        <v>90.23999786376953</v>
      </c>
      <c r="F2921" t="n">
        <v>13.68347835540771</v>
      </c>
      <c r="G2921" t="n">
        <v>75.83364868164062</v>
      </c>
      <c r="H2921">
        <f>AVERAGE(D2722:D2921)</f>
        <v/>
      </c>
      <c r="I2921">
        <f>AVERAGE(E2722:E2921)</f>
        <v/>
      </c>
      <c r="J2921">
        <f>AVERAGE(F2722:F2921)</f>
        <v/>
      </c>
    </row>
    <row r="2922">
      <c r="C2922" s="539" t="n">
        <v>43689</v>
      </c>
      <c r="D2922" t="n">
        <v>142.6300048828125</v>
      </c>
      <c r="E2922" t="n">
        <v>90.87999725341797</v>
      </c>
      <c r="F2922" t="n">
        <v>13.23170471191406</v>
      </c>
      <c r="G2922" t="n">
        <v>75.85019683837891</v>
      </c>
      <c r="H2922">
        <f>AVERAGE(D2723:D2922)</f>
        <v/>
      </c>
      <c r="I2922">
        <f>AVERAGE(E2723:E2922)</f>
        <v/>
      </c>
      <c r="J2922">
        <f>AVERAGE(F2723:F2922)</f>
        <v/>
      </c>
    </row>
    <row r="2923">
      <c r="C2923" s="539" t="n">
        <v>43690</v>
      </c>
      <c r="D2923" t="n">
        <v>141.7799987792969</v>
      </c>
      <c r="E2923" t="n">
        <v>94.95999908447266</v>
      </c>
      <c r="F2923" t="n">
        <v>13.18826580047607</v>
      </c>
      <c r="G2923" t="n">
        <v>75.85845184326172</v>
      </c>
      <c r="H2923">
        <f>AVERAGE(D2724:D2923)</f>
        <v/>
      </c>
      <c r="I2923">
        <f>AVERAGE(E2724:E2923)</f>
        <v/>
      </c>
      <c r="J2923">
        <f>AVERAGE(F2724:F2923)</f>
        <v/>
      </c>
    </row>
    <row r="2924">
      <c r="C2924" s="539" t="n">
        <v>43691</v>
      </c>
      <c r="D2924" t="n">
        <v>142.75</v>
      </c>
      <c r="E2924" t="n">
        <v>91.51999664306641</v>
      </c>
      <c r="F2924" t="n">
        <v>13.21432971954346</v>
      </c>
      <c r="G2924" t="n">
        <v>75.85019683837891</v>
      </c>
      <c r="H2924">
        <f>AVERAGE(D2725:D2924)</f>
        <v/>
      </c>
      <c r="I2924">
        <f>AVERAGE(E2725:E2924)</f>
        <v/>
      </c>
      <c r="J2924">
        <f>AVERAGE(F2725:F2924)</f>
        <v/>
      </c>
    </row>
    <row r="2925">
      <c r="C2925" s="539" t="n">
        <v>43692</v>
      </c>
      <c r="D2925" t="n">
        <v>143.6999969482422</v>
      </c>
      <c r="E2925" t="n">
        <v>90.80000305175781</v>
      </c>
      <c r="F2925" t="n">
        <v>13.14482593536377</v>
      </c>
      <c r="G2925" t="n">
        <v>75.88332366943359</v>
      </c>
      <c r="H2925">
        <f>AVERAGE(D2726:D2925)</f>
        <v/>
      </c>
      <c r="I2925">
        <f>AVERAGE(E2726:E2925)</f>
        <v/>
      </c>
      <c r="J2925">
        <f>AVERAGE(F2726:F2925)</f>
        <v/>
      </c>
    </row>
    <row r="2926">
      <c r="C2926" s="539" t="n">
        <v>43693</v>
      </c>
      <c r="D2926" t="n">
        <v>142.7799987792969</v>
      </c>
      <c r="E2926" t="n">
        <v>91.19999694824219</v>
      </c>
      <c r="F2926" t="n">
        <v>13.10138607025146</v>
      </c>
      <c r="G2926" t="n">
        <v>75.87508392333984</v>
      </c>
      <c r="H2926">
        <f>AVERAGE(D2727:D2926)</f>
        <v/>
      </c>
      <c r="I2926">
        <f>AVERAGE(E2727:E2926)</f>
        <v/>
      </c>
      <c r="J2926">
        <f>AVERAGE(F2727:F2926)</f>
        <v/>
      </c>
    </row>
    <row r="2927">
      <c r="C2927" s="539" t="n">
        <v>43696</v>
      </c>
      <c r="D2927" t="n">
        <v>141.1100006103516</v>
      </c>
      <c r="E2927" t="n">
        <v>93.27999877929688</v>
      </c>
      <c r="F2927" t="n">
        <v>13.05794715881348</v>
      </c>
      <c r="G2927" t="n">
        <v>75.87508392333984</v>
      </c>
      <c r="H2927">
        <f>AVERAGE(D2728:D2927)</f>
        <v/>
      </c>
      <c r="I2927">
        <f>AVERAGE(E2728:E2927)</f>
        <v/>
      </c>
      <c r="J2927">
        <f>AVERAGE(F2728:F2927)</f>
        <v/>
      </c>
    </row>
    <row r="2928">
      <c r="C2928" s="539" t="n">
        <v>43697</v>
      </c>
      <c r="D2928" t="n">
        <v>142.2100067138672</v>
      </c>
      <c r="E2928" t="n">
        <v>93.04000091552734</v>
      </c>
      <c r="F2928" t="n">
        <v>13.06663513183594</v>
      </c>
      <c r="G2928" t="n">
        <v>75.88332366943359</v>
      </c>
      <c r="H2928">
        <f>AVERAGE(D2729:D2928)</f>
        <v/>
      </c>
      <c r="I2928">
        <f>AVERAGE(E2729:E2928)</f>
        <v/>
      </c>
      <c r="J2928">
        <f>AVERAGE(F2729:F2928)</f>
        <v/>
      </c>
    </row>
    <row r="2929">
      <c r="C2929" s="539" t="n">
        <v>43698</v>
      </c>
      <c r="D2929" t="n">
        <v>141.7599945068359</v>
      </c>
      <c r="E2929" t="n">
        <v>92.87999725341797</v>
      </c>
      <c r="F2929" t="n">
        <v>13.092698097229</v>
      </c>
      <c r="G2929" t="n">
        <v>75.87508392333984</v>
      </c>
      <c r="H2929">
        <f>AVERAGE(D2730:D2929)</f>
        <v/>
      </c>
      <c r="I2929">
        <f>AVERAGE(E2730:E2929)</f>
        <v/>
      </c>
      <c r="J2929">
        <f>AVERAGE(F2730:F2929)</f>
        <v/>
      </c>
    </row>
    <row r="2930">
      <c r="C2930" s="539" t="n">
        <v>43699</v>
      </c>
      <c r="D2930" t="n">
        <v>141.3999938964844</v>
      </c>
      <c r="E2930" t="n">
        <v>92.23999786376953</v>
      </c>
      <c r="F2930" t="n">
        <v>13.13613891601562</v>
      </c>
      <c r="G2930" t="n">
        <v>75.89994049072266</v>
      </c>
      <c r="H2930">
        <f>AVERAGE(D2731:D2930)</f>
        <v/>
      </c>
      <c r="I2930">
        <f>AVERAGE(E2731:E2930)</f>
        <v/>
      </c>
      <c r="J2930">
        <f>AVERAGE(F2731:F2930)</f>
        <v/>
      </c>
    </row>
    <row r="2931">
      <c r="C2931" s="539" t="n">
        <v>43700</v>
      </c>
      <c r="D2931" t="n">
        <v>144.1699981689453</v>
      </c>
      <c r="E2931" t="n">
        <v>89.51999664306641</v>
      </c>
      <c r="F2931" t="n">
        <v>12.97975444793701</v>
      </c>
      <c r="G2931" t="n">
        <v>75.89164733886719</v>
      </c>
      <c r="H2931">
        <f>AVERAGE(D2732:D2931)</f>
        <v/>
      </c>
      <c r="I2931">
        <f>AVERAGE(E2732:E2931)</f>
        <v/>
      </c>
      <c r="J2931">
        <f>AVERAGE(F2732:F2931)</f>
        <v/>
      </c>
    </row>
    <row r="2932">
      <c r="C2932" s="539" t="n">
        <v>43703</v>
      </c>
      <c r="D2932" t="n">
        <v>144.1900024414062</v>
      </c>
      <c r="E2932" t="n">
        <v>89.44000244140625</v>
      </c>
      <c r="F2932" t="n">
        <v>13.14482593536377</v>
      </c>
      <c r="G2932" t="n">
        <v>75.89994049072266</v>
      </c>
      <c r="H2932">
        <f>AVERAGE(D2733:D2932)</f>
        <v/>
      </c>
      <c r="I2932">
        <f>AVERAGE(E2733:E2932)</f>
        <v/>
      </c>
      <c r="J2932">
        <f>AVERAGE(F2733:F2932)</f>
        <v/>
      </c>
    </row>
    <row r="2933">
      <c r="C2933" s="539" t="n">
        <v>43704</v>
      </c>
      <c r="D2933" t="n">
        <v>145.5700073242188</v>
      </c>
      <c r="E2933" t="n">
        <v>91.36000061035156</v>
      </c>
      <c r="F2933" t="n">
        <v>13.04925918579102</v>
      </c>
      <c r="G2933" t="n">
        <v>75.908203125</v>
      </c>
      <c r="H2933">
        <f>AVERAGE(D2734:D2933)</f>
        <v/>
      </c>
      <c r="I2933">
        <f>AVERAGE(E2734:E2933)</f>
        <v/>
      </c>
      <c r="J2933">
        <f>AVERAGE(F2734:F2933)</f>
        <v/>
      </c>
    </row>
    <row r="2934">
      <c r="C2934" s="539" t="n">
        <v>43705</v>
      </c>
      <c r="D2934" t="n">
        <v>145.1600036621094</v>
      </c>
      <c r="E2934" t="n">
        <v>93.12000274658203</v>
      </c>
      <c r="F2934" t="n">
        <v>13.08401203155518</v>
      </c>
      <c r="G2934" t="n">
        <v>75.89994049072266</v>
      </c>
      <c r="H2934">
        <f>AVERAGE(D2735:D2934)</f>
        <v/>
      </c>
      <c r="I2934">
        <f>AVERAGE(E2735:E2934)</f>
        <v/>
      </c>
      <c r="J2934">
        <f>AVERAGE(F2735:F2934)</f>
        <v/>
      </c>
    </row>
    <row r="2935">
      <c r="C2935" s="539" t="n">
        <v>43706</v>
      </c>
      <c r="D2935" t="n">
        <v>144.1199951171875</v>
      </c>
      <c r="E2935" t="n">
        <v>94.23999786376953</v>
      </c>
      <c r="F2935" t="n">
        <v>13.03188323974609</v>
      </c>
      <c r="G2935" t="n">
        <v>75.91650390625</v>
      </c>
      <c r="H2935">
        <f>AVERAGE(D2736:D2935)</f>
        <v/>
      </c>
      <c r="I2935">
        <f>AVERAGE(E2736:E2935)</f>
        <v/>
      </c>
      <c r="J2935">
        <f>AVERAGE(F2736:F2935)</f>
        <v/>
      </c>
    </row>
    <row r="2936">
      <c r="C2936" s="539" t="n">
        <v>43707</v>
      </c>
      <c r="D2936" t="n">
        <v>143.75</v>
      </c>
      <c r="E2936" t="n">
        <v>91.68000030517578</v>
      </c>
      <c r="F2936" t="n">
        <v>13.01450634002686</v>
      </c>
      <c r="G2936" t="n">
        <v>75.92478942871094</v>
      </c>
      <c r="H2936">
        <f>AVERAGE(D2737:D2936)</f>
        <v/>
      </c>
      <c r="I2936">
        <f>AVERAGE(E2737:E2936)</f>
        <v/>
      </c>
      <c r="J2936">
        <f>AVERAGE(F2737:F2936)</f>
        <v/>
      </c>
    </row>
    <row r="2937">
      <c r="C2937" s="539" t="n">
        <v>43711</v>
      </c>
      <c r="D2937" t="n">
        <v>145.75</v>
      </c>
      <c r="E2937" t="n">
        <v>89.76000213623047</v>
      </c>
      <c r="F2937" t="n">
        <v>13.00582027435303</v>
      </c>
      <c r="G2937" t="n">
        <v>75.93974304199219</v>
      </c>
      <c r="H2937">
        <f>AVERAGE(D2738:D2937)</f>
        <v/>
      </c>
      <c r="I2937">
        <f>AVERAGE(E2738:E2937)</f>
        <v/>
      </c>
      <c r="J2937">
        <f>AVERAGE(F2738:F2937)</f>
        <v/>
      </c>
    </row>
    <row r="2938">
      <c r="C2938" s="539" t="n">
        <v>43712</v>
      </c>
      <c r="D2938" t="n">
        <v>146.6600036621094</v>
      </c>
      <c r="E2938" t="n">
        <v>93.68000030517578</v>
      </c>
      <c r="F2938" t="n">
        <v>13.05794715881348</v>
      </c>
      <c r="G2938" t="n">
        <v>75.93141174316406</v>
      </c>
      <c r="H2938">
        <f>AVERAGE(D2739:D2938)</f>
        <v/>
      </c>
      <c r="I2938">
        <f>AVERAGE(E2739:E2938)</f>
        <v/>
      </c>
      <c r="J2938">
        <f>AVERAGE(F2739:F2938)</f>
        <v/>
      </c>
    </row>
    <row r="2939">
      <c r="C2939" s="539" t="n">
        <v>43713</v>
      </c>
      <c r="D2939" t="n">
        <v>143.1399993896484</v>
      </c>
      <c r="E2939" t="n">
        <v>93.59999847412109</v>
      </c>
      <c r="F2939" t="n">
        <v>12.96238040924072</v>
      </c>
      <c r="G2939" t="n">
        <v>75.93974304199219</v>
      </c>
      <c r="H2939">
        <f>AVERAGE(D2740:D2939)</f>
        <v/>
      </c>
      <c r="I2939">
        <f>AVERAGE(E2740:E2939)</f>
        <v/>
      </c>
      <c r="J2939">
        <f>AVERAGE(F2740:F2939)</f>
        <v/>
      </c>
    </row>
    <row r="2940">
      <c r="C2940" s="539" t="n">
        <v>43714</v>
      </c>
      <c r="D2940" t="n">
        <v>141.9199981689453</v>
      </c>
      <c r="E2940" t="n">
        <v>94.16000366210938</v>
      </c>
      <c r="F2940" t="n">
        <v>12.89287662506104</v>
      </c>
      <c r="G2940" t="n">
        <v>75.94804382324219</v>
      </c>
      <c r="H2940">
        <f>AVERAGE(D2741:D2940)</f>
        <v/>
      </c>
      <c r="I2940">
        <f>AVERAGE(E2741:E2940)</f>
        <v/>
      </c>
      <c r="J2940">
        <f>AVERAGE(F2741:F2940)</f>
        <v/>
      </c>
    </row>
    <row r="2941">
      <c r="C2941" s="539" t="n">
        <v>43717</v>
      </c>
      <c r="D2941" t="n">
        <v>141.3899993896484</v>
      </c>
      <c r="E2941" t="n">
        <v>96.63999938964844</v>
      </c>
      <c r="F2941" t="n">
        <v>12.89287662506104</v>
      </c>
      <c r="G2941" t="n">
        <v>75.94804382324219</v>
      </c>
      <c r="H2941">
        <f>AVERAGE(D2742:D2941)</f>
        <v/>
      </c>
      <c r="I2941">
        <f>AVERAGE(E2742:E2941)</f>
        <v/>
      </c>
      <c r="J2941">
        <f>AVERAGE(F2742:F2941)</f>
        <v/>
      </c>
    </row>
    <row r="2942">
      <c r="C2942" s="539" t="n">
        <v>43718</v>
      </c>
      <c r="D2942" t="n">
        <v>140.1799926757812</v>
      </c>
      <c r="E2942" t="n">
        <v>95.83999633789062</v>
      </c>
      <c r="F2942" t="n">
        <v>13.10138607025146</v>
      </c>
      <c r="G2942" t="n">
        <v>75.96466064453125</v>
      </c>
      <c r="H2942">
        <f>AVERAGE(D2743:D2942)</f>
        <v/>
      </c>
      <c r="I2942">
        <f>AVERAGE(E2743:E2942)</f>
        <v/>
      </c>
      <c r="J2942">
        <f>AVERAGE(F2743:F2942)</f>
        <v/>
      </c>
    </row>
    <row r="2943">
      <c r="C2943" s="539" t="n">
        <v>43719</v>
      </c>
      <c r="D2943" t="n">
        <v>141.0299987792969</v>
      </c>
      <c r="E2943" t="n">
        <v>93.44000244140625</v>
      </c>
      <c r="F2943" t="n">
        <v>13.12744903564453</v>
      </c>
      <c r="G2943" t="n">
        <v>75.95636749267578</v>
      </c>
      <c r="H2943">
        <f>AVERAGE(D2744:D2943)</f>
        <v/>
      </c>
      <c r="I2943">
        <f>AVERAGE(E2744:E2943)</f>
        <v/>
      </c>
      <c r="J2943">
        <f>AVERAGE(F2744:F2943)</f>
        <v/>
      </c>
    </row>
    <row r="2944">
      <c r="C2944" s="539" t="n">
        <v>43720</v>
      </c>
      <c r="D2944" t="n">
        <v>141.3200073242188</v>
      </c>
      <c r="E2944" t="n">
        <v>91.76000213623047</v>
      </c>
      <c r="F2944" t="n">
        <v>13.3794002532959</v>
      </c>
      <c r="G2944" t="n">
        <v>75.97296142578125</v>
      </c>
      <c r="H2944">
        <f>AVERAGE(D2745:D2944)</f>
        <v/>
      </c>
      <c r="I2944">
        <f>AVERAGE(E2745:E2944)</f>
        <v/>
      </c>
      <c r="J2944">
        <f>AVERAGE(F2745:F2944)</f>
        <v/>
      </c>
    </row>
    <row r="2945">
      <c r="C2945" s="539" t="n">
        <v>43721</v>
      </c>
      <c r="D2945" t="n">
        <v>140.1499938964844</v>
      </c>
      <c r="E2945" t="n">
        <v>91.51999664306641</v>
      </c>
      <c r="F2945" t="n">
        <v>13.41415119171143</v>
      </c>
      <c r="G2945" t="n">
        <v>75.97296142578125</v>
      </c>
      <c r="H2945">
        <f>AVERAGE(D2746:D2945)</f>
        <v/>
      </c>
      <c r="I2945">
        <f>AVERAGE(E2746:E2945)</f>
        <v/>
      </c>
      <c r="J2945">
        <f>AVERAGE(F2746:F2945)</f>
        <v/>
      </c>
    </row>
    <row r="2946">
      <c r="C2946" s="539" t="n">
        <v>43724</v>
      </c>
      <c r="D2946" t="n">
        <v>141.3200073242188</v>
      </c>
      <c r="E2946" t="n">
        <v>102.6399993896484</v>
      </c>
      <c r="F2946" t="n">
        <v>13.54446983337402</v>
      </c>
      <c r="G2946" t="n">
        <v>75.97296142578125</v>
      </c>
      <c r="H2946">
        <f>AVERAGE(D2747:D2946)</f>
        <v/>
      </c>
      <c r="I2946">
        <f>AVERAGE(E2747:E2946)</f>
        <v/>
      </c>
      <c r="J2946">
        <f>AVERAGE(F2747:F2946)</f>
        <v/>
      </c>
    </row>
    <row r="2947">
      <c r="C2947" s="539" t="n">
        <v>43725</v>
      </c>
      <c r="D2947" t="n">
        <v>141.6000061035156</v>
      </c>
      <c r="E2947" t="n">
        <v>98.31999969482422</v>
      </c>
      <c r="F2947" t="n">
        <v>13.43152809143066</v>
      </c>
      <c r="G2947" t="n">
        <v>75.98124694824219</v>
      </c>
      <c r="H2947">
        <f>AVERAGE(D2748:D2947)</f>
        <v/>
      </c>
      <c r="I2947">
        <f>AVERAGE(E2748:E2947)</f>
        <v/>
      </c>
      <c r="J2947">
        <f>AVERAGE(F2748:F2947)</f>
        <v/>
      </c>
    </row>
    <row r="2948">
      <c r="C2948" s="539" t="n">
        <v>43726</v>
      </c>
      <c r="D2948" t="n">
        <v>140.7100067138672</v>
      </c>
      <c r="E2948" t="n">
        <v>96.80000305175781</v>
      </c>
      <c r="F2948" t="n">
        <v>13.43152809143066</v>
      </c>
      <c r="G2948" t="n">
        <v>75.99782562255859</v>
      </c>
      <c r="H2948">
        <f>AVERAGE(D2749:D2948)</f>
        <v/>
      </c>
      <c r="I2948">
        <f>AVERAGE(E2749:E2948)</f>
        <v/>
      </c>
      <c r="J2948">
        <f>AVERAGE(F2749:F2948)</f>
        <v/>
      </c>
    </row>
    <row r="2949">
      <c r="C2949" s="539" t="n">
        <v>43727</v>
      </c>
      <c r="D2949" t="n">
        <v>141.2799987792969</v>
      </c>
      <c r="E2949" t="n">
        <v>97.51999664306641</v>
      </c>
      <c r="F2949" t="n">
        <v>13.47496700286865</v>
      </c>
      <c r="G2949" t="n">
        <v>75.99782562255859</v>
      </c>
      <c r="H2949">
        <f>AVERAGE(D2750:D2949)</f>
        <v/>
      </c>
      <c r="I2949">
        <f>AVERAGE(E2750:E2949)</f>
        <v/>
      </c>
      <c r="J2949">
        <f>AVERAGE(F2750:F2949)</f>
        <v/>
      </c>
    </row>
    <row r="2950">
      <c r="C2950" s="539" t="n">
        <v>43728</v>
      </c>
      <c r="D2950" t="n">
        <v>142.9499969482422</v>
      </c>
      <c r="E2950" t="n">
        <v>97.59999847412109</v>
      </c>
      <c r="F2950" t="n">
        <v>13.3967752456665</v>
      </c>
      <c r="G2950" t="n">
        <v>76.00616455078125</v>
      </c>
      <c r="H2950">
        <f>AVERAGE(D2751:D2950)</f>
        <v/>
      </c>
      <c r="I2950">
        <f>AVERAGE(E2751:E2950)</f>
        <v/>
      </c>
      <c r="J2950">
        <f>AVERAGE(F2751:F2950)</f>
        <v/>
      </c>
    </row>
    <row r="2951">
      <c r="C2951" s="539" t="n">
        <v>43731</v>
      </c>
      <c r="D2951" t="n">
        <v>143.75</v>
      </c>
      <c r="E2951" t="n">
        <v>97.68000030517578</v>
      </c>
      <c r="F2951" t="n">
        <v>13.49234294891357</v>
      </c>
      <c r="G2951" t="n">
        <v>76.02275848388672</v>
      </c>
      <c r="H2951">
        <f>AVERAGE(D2752:D2951)</f>
        <v/>
      </c>
      <c r="I2951">
        <f>AVERAGE(E2752:E2951)</f>
        <v/>
      </c>
      <c r="J2951">
        <f>AVERAGE(F2752:F2951)</f>
        <v/>
      </c>
    </row>
    <row r="2952">
      <c r="C2952" s="539" t="n">
        <v>43732</v>
      </c>
      <c r="D2952" t="n">
        <v>144.5099945068359</v>
      </c>
      <c r="E2952" t="n">
        <v>95.19999694824219</v>
      </c>
      <c r="F2952" t="n">
        <v>13.51840686798096</v>
      </c>
      <c r="G2952" t="n">
        <v>76.02275848388672</v>
      </c>
      <c r="H2952">
        <f>AVERAGE(D2753:D2952)</f>
        <v/>
      </c>
      <c r="I2952">
        <f>AVERAGE(E2753:E2952)</f>
        <v/>
      </c>
      <c r="J2952">
        <f>AVERAGE(F2753:F2952)</f>
        <v/>
      </c>
    </row>
    <row r="2953">
      <c r="C2953" s="539" t="n">
        <v>43733</v>
      </c>
      <c r="D2953" t="n">
        <v>141.8300018310547</v>
      </c>
      <c r="E2953" t="n">
        <v>94.40000152587891</v>
      </c>
      <c r="F2953" t="n">
        <v>13.64872550964355</v>
      </c>
      <c r="G2953" t="n">
        <v>76.02275848388672</v>
      </c>
      <c r="H2953">
        <f>AVERAGE(D2754:D2953)</f>
        <v/>
      </c>
      <c r="I2953">
        <f>AVERAGE(E2754:E2953)</f>
        <v/>
      </c>
      <c r="J2953">
        <f>AVERAGE(F2754:F2953)</f>
        <v/>
      </c>
    </row>
    <row r="2954">
      <c r="C2954" s="539" t="n">
        <v>43734</v>
      </c>
      <c r="D2954" t="n">
        <v>141.7899932861328</v>
      </c>
      <c r="E2954" t="n">
        <v>94.40000152587891</v>
      </c>
      <c r="F2954" t="n">
        <v>13.67478942871094</v>
      </c>
      <c r="G2954" t="n">
        <v>76.03939056396484</v>
      </c>
      <c r="H2954">
        <f>AVERAGE(D2755:D2954)</f>
        <v/>
      </c>
      <c r="I2954">
        <f>AVERAGE(E2755:E2954)</f>
        <v/>
      </c>
      <c r="J2954">
        <f>AVERAGE(F2755:F2954)</f>
        <v/>
      </c>
    </row>
    <row r="2955">
      <c r="C2955" s="539" t="n">
        <v>43735</v>
      </c>
      <c r="D2955" t="n">
        <v>141.0599975585938</v>
      </c>
      <c r="E2955" t="n">
        <v>93.27999877929688</v>
      </c>
      <c r="F2955" t="n">
        <v>13.65741348266602</v>
      </c>
      <c r="G2955" t="n">
        <v>76.03939056396484</v>
      </c>
      <c r="H2955">
        <f>AVERAGE(D2756:D2955)</f>
        <v/>
      </c>
      <c r="I2955">
        <f>AVERAGE(E2756:E2955)</f>
        <v/>
      </c>
      <c r="J2955">
        <f>AVERAGE(F2756:F2955)</f>
        <v/>
      </c>
    </row>
    <row r="2956">
      <c r="C2956" s="539" t="n">
        <v>43738</v>
      </c>
      <c r="D2956" t="n">
        <v>138.8699951171875</v>
      </c>
      <c r="E2956" t="n">
        <v>90.72000122070312</v>
      </c>
      <c r="F2956" t="n">
        <v>13.77904510498047</v>
      </c>
      <c r="G2956" t="n">
        <v>76.04767608642578</v>
      </c>
      <c r="H2956">
        <f>AVERAGE(D2757:D2956)</f>
        <v/>
      </c>
      <c r="I2956">
        <f>AVERAGE(E2757:E2956)</f>
        <v/>
      </c>
      <c r="J2956">
        <f>AVERAGE(F2757:F2956)</f>
        <v/>
      </c>
    </row>
    <row r="2957">
      <c r="C2957" s="539" t="n">
        <v>43739</v>
      </c>
      <c r="D2957" t="n">
        <v>139.6300048828125</v>
      </c>
      <c r="E2957" t="n">
        <v>89.51999664306641</v>
      </c>
      <c r="F2957" t="n">
        <v>13.79642105102539</v>
      </c>
      <c r="G2957" t="n">
        <v>76.04518890380859</v>
      </c>
      <c r="H2957">
        <f>AVERAGE(D2758:D2957)</f>
        <v/>
      </c>
      <c r="I2957">
        <f>AVERAGE(E2758:E2957)</f>
        <v/>
      </c>
      <c r="J2957">
        <f>AVERAGE(F2758:F2957)</f>
        <v/>
      </c>
    </row>
    <row r="2958">
      <c r="C2958" s="539" t="n">
        <v>43740</v>
      </c>
      <c r="D2958" t="n">
        <v>141.2599945068359</v>
      </c>
      <c r="E2958" t="n">
        <v>87.83999633789062</v>
      </c>
      <c r="F2958" t="n">
        <v>13.76166820526123</v>
      </c>
      <c r="G2958" t="n">
        <v>76.04518890380859</v>
      </c>
      <c r="H2958">
        <f>AVERAGE(D2759:D2958)</f>
        <v/>
      </c>
      <c r="I2958">
        <f>AVERAGE(E2759:E2958)</f>
        <v/>
      </c>
      <c r="J2958">
        <f>AVERAGE(F2759:F2958)</f>
        <v/>
      </c>
    </row>
    <row r="2959">
      <c r="C2959" s="539" t="n">
        <v>43741</v>
      </c>
      <c r="D2959" t="n">
        <v>141.8999938964844</v>
      </c>
      <c r="E2959" t="n">
        <v>87.44000244140625</v>
      </c>
      <c r="F2959" t="n">
        <v>13.79642105102539</v>
      </c>
      <c r="G2959" t="n">
        <v>76.07012939453125</v>
      </c>
      <c r="H2959">
        <f>AVERAGE(D2760:D2959)</f>
        <v/>
      </c>
      <c r="I2959">
        <f>AVERAGE(E2760:E2959)</f>
        <v/>
      </c>
      <c r="J2959">
        <f>AVERAGE(F2760:F2959)</f>
        <v/>
      </c>
    </row>
    <row r="2960">
      <c r="C2960" s="539" t="n">
        <v>43742</v>
      </c>
      <c r="D2960" t="n">
        <v>141.8999938964844</v>
      </c>
      <c r="E2960" t="n">
        <v>88.31999969482422</v>
      </c>
      <c r="F2960" t="n">
        <v>13.70085430145264</v>
      </c>
      <c r="G2960" t="n">
        <v>76.07012939453125</v>
      </c>
      <c r="H2960">
        <f>AVERAGE(D2761:D2960)</f>
        <v/>
      </c>
      <c r="I2960">
        <f>AVERAGE(E2761:E2960)</f>
        <v/>
      </c>
      <c r="J2960">
        <f>AVERAGE(F2761:F2960)</f>
        <v/>
      </c>
    </row>
    <row r="2961">
      <c r="C2961" s="539" t="n">
        <v>43745</v>
      </c>
      <c r="D2961" t="n">
        <v>140.6900024414062</v>
      </c>
      <c r="E2961" t="n">
        <v>88.31999969482422</v>
      </c>
      <c r="F2961" t="n">
        <v>13.57922172546387</v>
      </c>
      <c r="G2961" t="n">
        <v>76.07842254638672</v>
      </c>
      <c r="H2961">
        <f>AVERAGE(D2762:D2961)</f>
        <v/>
      </c>
      <c r="I2961">
        <f>AVERAGE(E2762:E2961)</f>
        <v/>
      </c>
      <c r="J2961">
        <f>AVERAGE(F2762:F2961)</f>
        <v/>
      </c>
    </row>
    <row r="2962">
      <c r="C2962" s="539" t="n">
        <v>43746</v>
      </c>
      <c r="D2962" t="n">
        <v>141.9199981689453</v>
      </c>
      <c r="E2962" t="n">
        <v>87.12000274658203</v>
      </c>
      <c r="F2962" t="n">
        <v>13.65741348266602</v>
      </c>
      <c r="G2962" t="n">
        <v>76.07842254638672</v>
      </c>
      <c r="H2962">
        <f>AVERAGE(D2763:D2962)</f>
        <v/>
      </c>
      <c r="I2962">
        <f>AVERAGE(E2763:E2962)</f>
        <v/>
      </c>
      <c r="J2962">
        <f>AVERAGE(F2763:F2962)</f>
        <v/>
      </c>
    </row>
    <row r="2963">
      <c r="C2963" s="539" t="n">
        <v>43747</v>
      </c>
      <c r="D2963" t="n">
        <v>142.0500030517578</v>
      </c>
      <c r="E2963" t="n">
        <v>87.91999816894531</v>
      </c>
      <c r="F2963" t="n">
        <v>13.68347835540771</v>
      </c>
      <c r="G2963" t="n">
        <v>76.07842254638672</v>
      </c>
      <c r="H2963">
        <f>AVERAGE(D2764:D2963)</f>
        <v/>
      </c>
      <c r="I2963">
        <f>AVERAGE(E2764:E2963)</f>
        <v/>
      </c>
      <c r="J2963">
        <f>AVERAGE(F2764:F2963)</f>
        <v/>
      </c>
    </row>
    <row r="2964">
      <c r="C2964" s="539" t="n">
        <v>43748</v>
      </c>
      <c r="D2964" t="n">
        <v>140.8099975585938</v>
      </c>
      <c r="E2964" t="n">
        <v>89.51999664306641</v>
      </c>
      <c r="F2964" t="n">
        <v>13.63134956359863</v>
      </c>
      <c r="G2964" t="n">
        <v>76.09508514404297</v>
      </c>
      <c r="H2964">
        <f>AVERAGE(D2765:D2964)</f>
        <v/>
      </c>
      <c r="I2964">
        <f>AVERAGE(E2765:E2964)</f>
        <v/>
      </c>
      <c r="J2964">
        <f>AVERAGE(F2765:F2964)</f>
        <v/>
      </c>
    </row>
    <row r="2965">
      <c r="C2965" s="539" t="n">
        <v>43749</v>
      </c>
      <c r="D2965" t="n">
        <v>140.0299987792969</v>
      </c>
      <c r="E2965" t="n">
        <v>91.36000061035156</v>
      </c>
      <c r="F2965" t="n">
        <v>13.813796043396</v>
      </c>
      <c r="G2965" t="n">
        <v>76.10336303710938</v>
      </c>
      <c r="H2965">
        <f>AVERAGE(D2766:D2965)</f>
        <v/>
      </c>
      <c r="I2965">
        <f>AVERAGE(E2766:E2965)</f>
        <v/>
      </c>
      <c r="J2965">
        <f>AVERAGE(F2766:F2965)</f>
        <v/>
      </c>
    </row>
    <row r="2966">
      <c r="C2966" s="539" t="n">
        <v>43752</v>
      </c>
      <c r="D2966" t="n">
        <v>140.5899963378906</v>
      </c>
      <c r="E2966" t="n">
        <v>89.44000244140625</v>
      </c>
      <c r="F2966" t="n">
        <v>13.80510807037354</v>
      </c>
      <c r="G2966" t="n">
        <v>76.09508514404297</v>
      </c>
      <c r="H2966">
        <f>AVERAGE(D2767:D2966)</f>
        <v/>
      </c>
      <c r="I2966">
        <f>AVERAGE(E2767:E2966)</f>
        <v/>
      </c>
      <c r="J2966">
        <f>AVERAGE(F2767:F2966)</f>
        <v/>
      </c>
    </row>
    <row r="2967">
      <c r="C2967" s="539" t="n">
        <v>43753</v>
      </c>
      <c r="D2967" t="n">
        <v>139.6100006103516</v>
      </c>
      <c r="E2967" t="n">
        <v>88.48000335693359</v>
      </c>
      <c r="F2967" t="n">
        <v>13.89198684692383</v>
      </c>
      <c r="G2967" t="n">
        <v>76.10336303710938</v>
      </c>
      <c r="H2967">
        <f>AVERAGE(D2768:D2967)</f>
        <v/>
      </c>
      <c r="I2967">
        <f>AVERAGE(E2768:E2967)</f>
        <v/>
      </c>
      <c r="J2967">
        <f>AVERAGE(F2768:F2967)</f>
        <v/>
      </c>
    </row>
    <row r="2968">
      <c r="C2968" s="539" t="n">
        <v>43754</v>
      </c>
      <c r="D2968" t="n">
        <v>140.4100036621094</v>
      </c>
      <c r="E2968" t="n">
        <v>89.12000274658203</v>
      </c>
      <c r="F2968" t="n">
        <v>13.8572359085083</v>
      </c>
      <c r="G2968" t="n">
        <v>76.1116943359375</v>
      </c>
      <c r="H2968">
        <f>AVERAGE(D2769:D2968)</f>
        <v/>
      </c>
      <c r="I2968">
        <f>AVERAGE(E2769:E2968)</f>
        <v/>
      </c>
      <c r="J2968">
        <f>AVERAGE(F2769:F2968)</f>
        <v/>
      </c>
    </row>
    <row r="2969">
      <c r="C2969" s="539" t="n">
        <v>43755</v>
      </c>
      <c r="D2969" t="n">
        <v>140.6100006103516</v>
      </c>
      <c r="E2969" t="n">
        <v>90.23999786376953</v>
      </c>
      <c r="F2969" t="n">
        <v>13.813796043396</v>
      </c>
      <c r="G2969" t="n">
        <v>76.12004089355469</v>
      </c>
      <c r="H2969">
        <f>AVERAGE(D2770:D2969)</f>
        <v/>
      </c>
      <c r="I2969">
        <f>AVERAGE(E2770:E2969)</f>
        <v/>
      </c>
      <c r="J2969">
        <f>AVERAGE(F2770:F2969)</f>
        <v/>
      </c>
    </row>
    <row r="2970">
      <c r="C2970" s="539" t="n">
        <v>43756</v>
      </c>
      <c r="D2970" t="n">
        <v>140.4600067138672</v>
      </c>
      <c r="E2970" t="n">
        <v>89.76000213623047</v>
      </c>
      <c r="F2970" t="n">
        <v>13.83985996246338</v>
      </c>
      <c r="G2970" t="n">
        <v>76.12004089355469</v>
      </c>
      <c r="H2970">
        <f>AVERAGE(D2771:D2970)</f>
        <v/>
      </c>
      <c r="I2970">
        <f>AVERAGE(E2771:E2970)</f>
        <v/>
      </c>
      <c r="J2970">
        <f>AVERAGE(F2771:F2970)</f>
        <v/>
      </c>
    </row>
    <row r="2971">
      <c r="C2971" s="539" t="n">
        <v>43759</v>
      </c>
      <c r="D2971" t="n">
        <v>139.7899932861328</v>
      </c>
      <c r="E2971" t="n">
        <v>89.68000030517578</v>
      </c>
      <c r="F2971" t="n">
        <v>13.813796043396</v>
      </c>
      <c r="G2971" t="n">
        <v>76.12834167480469</v>
      </c>
      <c r="H2971">
        <f>AVERAGE(D2772:D2971)</f>
        <v/>
      </c>
      <c r="I2971">
        <f>AVERAGE(E2772:E2971)</f>
        <v/>
      </c>
      <c r="J2971">
        <f>AVERAGE(F2772:F2971)</f>
        <v/>
      </c>
    </row>
    <row r="2972">
      <c r="C2972" s="539" t="n">
        <v>43760</v>
      </c>
      <c r="D2972" t="n">
        <v>140.1999969482422</v>
      </c>
      <c r="E2972" t="n">
        <v>90.72000122070312</v>
      </c>
      <c r="F2972" t="n">
        <v>13.77035713195801</v>
      </c>
      <c r="G2972" t="n">
        <v>76.12834167480469</v>
      </c>
      <c r="H2972">
        <f>AVERAGE(D2773:D2972)</f>
        <v/>
      </c>
      <c r="I2972">
        <f>AVERAGE(E2773:E2972)</f>
        <v/>
      </c>
      <c r="J2972">
        <f>AVERAGE(F2773:F2972)</f>
        <v/>
      </c>
    </row>
    <row r="2973">
      <c r="C2973" s="539" t="n">
        <v>43761</v>
      </c>
      <c r="D2973" t="n">
        <v>140.5299987792969</v>
      </c>
      <c r="E2973" t="n">
        <v>93.19999694824219</v>
      </c>
      <c r="F2973" t="n">
        <v>13.79642105102539</v>
      </c>
      <c r="G2973" t="n">
        <v>76.12834167480469</v>
      </c>
      <c r="H2973">
        <f>AVERAGE(D2774:D2973)</f>
        <v/>
      </c>
      <c r="I2973">
        <f>AVERAGE(E2774:E2973)</f>
        <v/>
      </c>
      <c r="J2973">
        <f>AVERAGE(F2774:F2973)</f>
        <v/>
      </c>
    </row>
    <row r="2974">
      <c r="C2974" s="539" t="n">
        <v>43762</v>
      </c>
      <c r="D2974" t="n">
        <v>141.5299987792969</v>
      </c>
      <c r="E2974" t="n">
        <v>93.83999633789062</v>
      </c>
      <c r="F2974" t="n">
        <v>13.76166820526123</v>
      </c>
      <c r="G2974" t="n">
        <v>76.14499664306641</v>
      </c>
      <c r="H2974">
        <f>AVERAGE(D2775:D2974)</f>
        <v/>
      </c>
      <c r="I2974">
        <f>AVERAGE(E2775:E2974)</f>
        <v/>
      </c>
      <c r="J2974">
        <f>AVERAGE(F2775:F2974)</f>
        <v/>
      </c>
    </row>
    <row r="2975">
      <c r="C2975" s="539" t="n">
        <v>43763</v>
      </c>
      <c r="D2975" t="n">
        <v>141.8600006103516</v>
      </c>
      <c r="E2975" t="n">
        <v>94.63999938964844</v>
      </c>
      <c r="F2975" t="n">
        <v>13.79642105102539</v>
      </c>
      <c r="G2975" t="n">
        <v>76.14499664306641</v>
      </c>
      <c r="H2975">
        <f>AVERAGE(D2776:D2975)</f>
        <v/>
      </c>
      <c r="I2975">
        <f>AVERAGE(E2776:E2975)</f>
        <v/>
      </c>
      <c r="J2975">
        <f>AVERAGE(F2776:F2975)</f>
        <v/>
      </c>
    </row>
    <row r="2976">
      <c r="C2976" s="539" t="n">
        <v>43766</v>
      </c>
      <c r="D2976" t="n">
        <v>140.6399993896484</v>
      </c>
      <c r="E2976" t="n">
        <v>93.19999694824219</v>
      </c>
      <c r="F2976" t="n">
        <v>13.87461090087891</v>
      </c>
      <c r="G2976" t="n">
        <v>76.13664245605469</v>
      </c>
      <c r="H2976">
        <f>AVERAGE(D2777:D2976)</f>
        <v/>
      </c>
      <c r="I2976">
        <f>AVERAGE(E2777:E2976)</f>
        <v/>
      </c>
      <c r="J2976">
        <f>AVERAGE(F2777:F2976)</f>
        <v/>
      </c>
    </row>
    <row r="2977">
      <c r="C2977" s="539" t="n">
        <v>43767</v>
      </c>
      <c r="D2977" t="n">
        <v>140.25</v>
      </c>
      <c r="E2977" t="n">
        <v>92.63999938964844</v>
      </c>
      <c r="F2977" t="n">
        <v>13.83117198944092</v>
      </c>
      <c r="G2977" t="n">
        <v>76.15328979492188</v>
      </c>
      <c r="H2977">
        <f>AVERAGE(D2778:D2977)</f>
        <v/>
      </c>
      <c r="I2977">
        <f>AVERAGE(E2778:E2977)</f>
        <v/>
      </c>
      <c r="J2977">
        <f>AVERAGE(F2778:F2977)</f>
        <v/>
      </c>
    </row>
    <row r="2978">
      <c r="C2978" s="539" t="n">
        <v>43768</v>
      </c>
      <c r="D2978" t="n">
        <v>141.0200042724609</v>
      </c>
      <c r="E2978" t="n">
        <v>91.76000213623047</v>
      </c>
      <c r="F2978" t="n">
        <v>13.87461090087891</v>
      </c>
      <c r="G2978" t="n">
        <v>76.16158294677734</v>
      </c>
      <c r="H2978">
        <f>AVERAGE(D2779:D2978)</f>
        <v/>
      </c>
      <c r="I2978">
        <f>AVERAGE(E2779:E2978)</f>
        <v/>
      </c>
      <c r="J2978">
        <f>AVERAGE(F2779:F2978)</f>
        <v/>
      </c>
    </row>
    <row r="2979">
      <c r="C2979" s="539" t="n">
        <v>43769</v>
      </c>
      <c r="D2979" t="n">
        <v>142.4299926757812</v>
      </c>
      <c r="E2979" t="n">
        <v>90.40000152587891</v>
      </c>
      <c r="F2979" t="n">
        <v>13.84854793548584</v>
      </c>
      <c r="G2979" t="n">
        <v>76.16994476318359</v>
      </c>
      <c r="H2979">
        <f>AVERAGE(D2780:D2979)</f>
        <v/>
      </c>
      <c r="I2979">
        <f>AVERAGE(E2780:E2979)</f>
        <v/>
      </c>
      <c r="J2979">
        <f>AVERAGE(F2780:F2979)</f>
        <v/>
      </c>
    </row>
    <row r="2980">
      <c r="C2980" s="539" t="n">
        <v>43770</v>
      </c>
      <c r="D2980" t="n">
        <v>142.5599975585938</v>
      </c>
      <c r="E2980" t="n">
        <v>93.51999664306641</v>
      </c>
      <c r="F2980" t="n">
        <v>13.96149063110352</v>
      </c>
      <c r="G2980" t="n">
        <v>76.16907501220703</v>
      </c>
      <c r="H2980">
        <f>AVERAGE(D2781:D2980)</f>
        <v/>
      </c>
      <c r="I2980">
        <f>AVERAGE(E2781:E2980)</f>
        <v/>
      </c>
      <c r="J2980">
        <f>AVERAGE(F2781:F2980)</f>
        <v/>
      </c>
    </row>
    <row r="2981">
      <c r="C2981" s="539" t="n">
        <v>43773</v>
      </c>
      <c r="D2981" t="n">
        <v>142.1499938964844</v>
      </c>
      <c r="E2981" t="n">
        <v>94.48000335693359</v>
      </c>
      <c r="F2981" t="n">
        <v>13.96149063110352</v>
      </c>
      <c r="G2981" t="n">
        <v>76.17739868164062</v>
      </c>
      <c r="H2981">
        <f>AVERAGE(D2782:D2981)</f>
        <v/>
      </c>
      <c r="I2981">
        <f>AVERAGE(E2782:E2981)</f>
        <v/>
      </c>
      <c r="J2981">
        <f>AVERAGE(F2782:F2981)</f>
        <v/>
      </c>
    </row>
    <row r="2982">
      <c r="C2982" s="539" t="n">
        <v>43774</v>
      </c>
      <c r="D2982" t="n">
        <v>139.8500061035156</v>
      </c>
      <c r="E2982" t="n">
        <v>95.44000244140625</v>
      </c>
      <c r="F2982" t="n">
        <v>14.07443428039551</v>
      </c>
      <c r="G2982" t="n">
        <v>76.16907501220703</v>
      </c>
      <c r="H2982">
        <f>AVERAGE(D2783:D2982)</f>
        <v/>
      </c>
      <c r="I2982">
        <f>AVERAGE(E2783:E2982)</f>
        <v/>
      </c>
      <c r="J2982">
        <f>AVERAGE(F2783:F2982)</f>
        <v/>
      </c>
    </row>
    <row r="2983">
      <c r="C2983" s="539" t="n">
        <v>43775</v>
      </c>
      <c r="D2983" t="n">
        <v>140.4499969482422</v>
      </c>
      <c r="E2983" t="n">
        <v>94.48000335693359</v>
      </c>
      <c r="F2983" t="n">
        <v>13.9875545501709</v>
      </c>
      <c r="G2983" t="n">
        <v>76.17739868164062</v>
      </c>
      <c r="H2983">
        <f>AVERAGE(D2784:D2983)</f>
        <v/>
      </c>
      <c r="I2983">
        <f>AVERAGE(E2784:E2983)</f>
        <v/>
      </c>
      <c r="J2983">
        <f>AVERAGE(F2784:F2983)</f>
        <v/>
      </c>
    </row>
    <row r="2984">
      <c r="C2984" s="539" t="n">
        <v>43776</v>
      </c>
      <c r="D2984" t="n">
        <v>138.2700042724609</v>
      </c>
      <c r="E2984" t="n">
        <v>95.04000091552734</v>
      </c>
      <c r="F2984" t="n">
        <v>13.97017955780029</v>
      </c>
      <c r="G2984" t="n">
        <v>76.19406127929688</v>
      </c>
      <c r="H2984">
        <f>AVERAGE(D2785:D2984)</f>
        <v/>
      </c>
      <c r="I2984">
        <f>AVERAGE(E2785:E2984)</f>
        <v/>
      </c>
      <c r="J2984">
        <f>AVERAGE(F2785:F2984)</f>
        <v/>
      </c>
    </row>
    <row r="2985">
      <c r="C2985" s="539" t="n">
        <v>43777</v>
      </c>
      <c r="D2985" t="n">
        <v>137.3899993896484</v>
      </c>
      <c r="E2985" t="n">
        <v>95.91999816894531</v>
      </c>
      <c r="F2985" t="n">
        <v>14.00493144989014</v>
      </c>
      <c r="G2985" t="n">
        <v>76.19406127929688</v>
      </c>
      <c r="H2985">
        <f>AVERAGE(D2786:D2985)</f>
        <v/>
      </c>
      <c r="I2985">
        <f>AVERAGE(E2786:E2985)</f>
        <v/>
      </c>
      <c r="J2985">
        <f>AVERAGE(F2786:F2985)</f>
        <v/>
      </c>
    </row>
    <row r="2986">
      <c r="C2986" s="539" t="n">
        <v>43780</v>
      </c>
      <c r="D2986" t="n">
        <v>137.0599975585938</v>
      </c>
      <c r="E2986" t="n">
        <v>95.12000274658203</v>
      </c>
      <c r="F2986" t="n">
        <v>13.96149063110352</v>
      </c>
      <c r="G2986" t="n">
        <v>76.19406127929688</v>
      </c>
      <c r="H2986">
        <f>AVERAGE(D2787:D2986)</f>
        <v/>
      </c>
      <c r="I2986">
        <f>AVERAGE(E2787:E2986)</f>
        <v/>
      </c>
      <c r="J2986">
        <f>AVERAGE(F2787:F2986)</f>
        <v/>
      </c>
    </row>
    <row r="2987">
      <c r="C2987" s="539" t="n">
        <v>43781</v>
      </c>
      <c r="D2987" t="n">
        <v>137.4299926757812</v>
      </c>
      <c r="E2987" t="n">
        <v>94.95999908447266</v>
      </c>
      <c r="F2987" t="n">
        <v>14.12656211853027</v>
      </c>
      <c r="G2987" t="n">
        <v>76.20240783691406</v>
      </c>
      <c r="H2987">
        <f>AVERAGE(D2788:D2987)</f>
        <v/>
      </c>
      <c r="I2987">
        <f>AVERAGE(E2788:E2987)</f>
        <v/>
      </c>
      <c r="J2987">
        <f>AVERAGE(F2788:F2987)</f>
        <v/>
      </c>
    </row>
    <row r="2988">
      <c r="C2988" s="539" t="n">
        <v>43782</v>
      </c>
      <c r="D2988" t="n">
        <v>137.9799957275391</v>
      </c>
      <c r="E2988" t="n">
        <v>95.68000030517578</v>
      </c>
      <c r="F2988" t="n">
        <v>14.07443428039551</v>
      </c>
      <c r="G2988" t="n">
        <v>76.20240783691406</v>
      </c>
      <c r="H2988">
        <f>AVERAGE(D2789:D2988)</f>
        <v/>
      </c>
      <c r="I2988">
        <f>AVERAGE(E2789:E2988)</f>
        <v/>
      </c>
      <c r="J2988">
        <f>AVERAGE(F2789:F2988)</f>
        <v/>
      </c>
    </row>
    <row r="2989">
      <c r="C2989" s="539" t="n">
        <v>43783</v>
      </c>
      <c r="D2989" t="n">
        <v>138.5599975585938</v>
      </c>
      <c r="E2989" t="n">
        <v>95.27999877929688</v>
      </c>
      <c r="F2989" t="n">
        <v>14.06574630737305</v>
      </c>
      <c r="G2989" t="n">
        <v>76.21073150634766</v>
      </c>
      <c r="H2989">
        <f>AVERAGE(D2790:D2989)</f>
        <v/>
      </c>
      <c r="I2989">
        <f>AVERAGE(E2790:E2989)</f>
        <v/>
      </c>
      <c r="J2989">
        <f>AVERAGE(F2790:F2989)</f>
        <v/>
      </c>
    </row>
    <row r="2990">
      <c r="C2990" s="539" t="n">
        <v>43784</v>
      </c>
      <c r="D2990" t="n">
        <v>138.2100067138672</v>
      </c>
      <c r="E2990" t="n">
        <v>96.63999938964844</v>
      </c>
      <c r="F2990" t="n">
        <v>14.01361751556396</v>
      </c>
      <c r="G2990" t="n">
        <v>76.20240783691406</v>
      </c>
      <c r="H2990">
        <f>AVERAGE(D2791:D2990)</f>
        <v/>
      </c>
      <c r="I2990">
        <f>AVERAGE(E2791:E2990)</f>
        <v/>
      </c>
      <c r="J2990">
        <f>AVERAGE(F2791:F2990)</f>
        <v/>
      </c>
    </row>
    <row r="2991">
      <c r="C2991" s="539" t="n">
        <v>43787</v>
      </c>
      <c r="D2991" t="n">
        <v>138.6199951171875</v>
      </c>
      <c r="E2991" t="n">
        <v>95.19999694824219</v>
      </c>
      <c r="F2991" t="n">
        <v>13.94411468505859</v>
      </c>
      <c r="G2991" t="n">
        <v>76.21900939941406</v>
      </c>
      <c r="H2991">
        <f>AVERAGE(D2792:D2991)</f>
        <v/>
      </c>
      <c r="I2991">
        <f>AVERAGE(E2792:E2991)</f>
        <v/>
      </c>
      <c r="J2991">
        <f>AVERAGE(F2792:F2991)</f>
        <v/>
      </c>
    </row>
    <row r="2992">
      <c r="C2992" s="539" t="n">
        <v>43788</v>
      </c>
      <c r="D2992" t="n">
        <v>138.6900024414062</v>
      </c>
      <c r="E2992" t="n">
        <v>92.55999755859375</v>
      </c>
      <c r="F2992" t="n">
        <v>13.89198684692383</v>
      </c>
      <c r="G2992" t="n">
        <v>76.21073150634766</v>
      </c>
      <c r="H2992">
        <f>AVERAGE(D2793:D2992)</f>
        <v/>
      </c>
      <c r="I2992">
        <f>AVERAGE(E2793:E2992)</f>
        <v/>
      </c>
      <c r="J2992">
        <f>AVERAGE(F2793:F2992)</f>
        <v/>
      </c>
    </row>
    <row r="2993">
      <c r="C2993" s="539" t="n">
        <v>43789</v>
      </c>
      <c r="D2993" t="n">
        <v>138.7599945068359</v>
      </c>
      <c r="E2993" t="n">
        <v>95.19999694824219</v>
      </c>
      <c r="F2993" t="n">
        <v>13.88329887390137</v>
      </c>
      <c r="G2993" t="n">
        <v>76.21900939941406</v>
      </c>
      <c r="H2993">
        <f>AVERAGE(D2794:D2993)</f>
        <v/>
      </c>
      <c r="I2993">
        <f>AVERAGE(E2794:E2993)</f>
        <v/>
      </c>
      <c r="J2993">
        <f>AVERAGE(F2794:F2993)</f>
        <v/>
      </c>
    </row>
    <row r="2994">
      <c r="C2994" s="539" t="n">
        <v>43790</v>
      </c>
      <c r="D2994" t="n">
        <v>138</v>
      </c>
      <c r="E2994" t="n">
        <v>97.59999847412109</v>
      </c>
      <c r="F2994" t="n">
        <v>13.93542766571045</v>
      </c>
      <c r="G2994" t="n">
        <v>76.21900939941406</v>
      </c>
      <c r="H2994">
        <f>AVERAGE(D2795:D2994)</f>
        <v/>
      </c>
      <c r="I2994">
        <f>AVERAGE(E2795:E2994)</f>
        <v/>
      </c>
      <c r="J2994">
        <f>AVERAGE(F2795:F2994)</f>
        <v/>
      </c>
    </row>
    <row r="2995">
      <c r="C2995" s="539" t="n">
        <v>43791</v>
      </c>
      <c r="D2995" t="n">
        <v>137.7400054931641</v>
      </c>
      <c r="E2995" t="n">
        <v>96.87999725341797</v>
      </c>
      <c r="F2995" t="n">
        <v>13.92673969268799</v>
      </c>
      <c r="G2995" t="n">
        <v>76.22735595703125</v>
      </c>
      <c r="H2995">
        <f>AVERAGE(D2796:D2995)</f>
        <v/>
      </c>
      <c r="I2995">
        <f>AVERAGE(E2796:E2995)</f>
        <v/>
      </c>
      <c r="J2995">
        <f>AVERAGE(F2796:F2995)</f>
        <v/>
      </c>
    </row>
    <row r="2996">
      <c r="C2996" s="539" t="n">
        <v>43794</v>
      </c>
      <c r="D2996" t="n">
        <v>137.0800018310547</v>
      </c>
      <c r="E2996" t="n">
        <v>96.87999725341797</v>
      </c>
      <c r="F2996" t="n">
        <v>14.05705738067627</v>
      </c>
      <c r="G2996" t="n">
        <v>76.22735595703125</v>
      </c>
      <c r="H2996">
        <f>AVERAGE(D2797:D2996)</f>
        <v/>
      </c>
      <c r="I2996">
        <f>AVERAGE(E2797:E2996)</f>
        <v/>
      </c>
      <c r="J2996">
        <f>AVERAGE(F2797:F2996)</f>
        <v/>
      </c>
    </row>
    <row r="2997">
      <c r="C2997" s="539" t="n">
        <v>43795</v>
      </c>
      <c r="D2997" t="n">
        <v>137.7400054931641</v>
      </c>
      <c r="E2997" t="n">
        <v>97.51999664306641</v>
      </c>
      <c r="F2997" t="n">
        <v>14.01361751556396</v>
      </c>
      <c r="G2997" t="n">
        <v>76.23570251464844</v>
      </c>
      <c r="H2997">
        <f>AVERAGE(D2798:D2997)</f>
        <v/>
      </c>
      <c r="I2997">
        <f>AVERAGE(E2798:E2997)</f>
        <v/>
      </c>
      <c r="J2997">
        <f>AVERAGE(F2798:F2997)</f>
        <v/>
      </c>
    </row>
    <row r="2998">
      <c r="C2998" s="539" t="n">
        <v>43796</v>
      </c>
      <c r="D2998" t="n">
        <v>137.0099945068359</v>
      </c>
      <c r="E2998" t="n">
        <v>97.12000274658203</v>
      </c>
      <c r="F2998" t="n">
        <v>13.97017955780029</v>
      </c>
      <c r="G2998" t="n">
        <v>76.25234222412109</v>
      </c>
      <c r="H2998">
        <f>AVERAGE(D2799:D2998)</f>
        <v/>
      </c>
      <c r="I2998">
        <f>AVERAGE(E2799:E2998)</f>
        <v/>
      </c>
      <c r="J2998">
        <f>AVERAGE(F2799:F2998)</f>
        <v/>
      </c>
    </row>
    <row r="2999">
      <c r="C2999" s="539" t="n">
        <v>43798</v>
      </c>
      <c r="D2999" t="n">
        <v>137.8600006103516</v>
      </c>
      <c r="E2999" t="n">
        <v>92.95999908447266</v>
      </c>
      <c r="F2999" t="n">
        <v>14.03099346160889</v>
      </c>
      <c r="G2999" t="n">
        <v>76.25234222412109</v>
      </c>
      <c r="H2999">
        <f>AVERAGE(D2800:D2999)</f>
        <v/>
      </c>
      <c r="I2999">
        <f>AVERAGE(E2800:E2999)</f>
        <v/>
      </c>
      <c r="J2999">
        <f>AVERAGE(F2800:F2999)</f>
        <v/>
      </c>
    </row>
    <row r="3000">
      <c r="C3000" s="539" t="n">
        <v>43801</v>
      </c>
      <c r="D3000" t="n">
        <v>137.7899932861328</v>
      </c>
      <c r="E3000" t="n">
        <v>93.36000061035156</v>
      </c>
      <c r="F3000" t="n">
        <v>13.97017955780029</v>
      </c>
      <c r="G3000" t="n">
        <v>76.25820922851562</v>
      </c>
      <c r="H3000">
        <f>AVERAGE(D2801:D3000)</f>
        <v/>
      </c>
      <c r="I3000">
        <f>AVERAGE(E2801:E3000)</f>
        <v/>
      </c>
      <c r="J3000">
        <f>AVERAGE(F2801:F3000)</f>
        <v/>
      </c>
    </row>
    <row r="3001">
      <c r="C3001" s="539" t="n">
        <v>43802</v>
      </c>
      <c r="D3001" t="n">
        <v>139.1100006103516</v>
      </c>
      <c r="E3001" t="n">
        <v>94.08000183105469</v>
      </c>
      <c r="F3001" t="n">
        <v>14.05705738067627</v>
      </c>
      <c r="G3001" t="n">
        <v>76.24987030029297</v>
      </c>
      <c r="H3001">
        <f>AVERAGE(D2802:D3001)</f>
        <v/>
      </c>
      <c r="I3001">
        <f>AVERAGE(E2802:E3001)</f>
        <v/>
      </c>
      <c r="J3001">
        <f>AVERAGE(F2802:F3001)</f>
        <v/>
      </c>
    </row>
    <row r="3002">
      <c r="C3002" s="539" t="n">
        <v>43803</v>
      </c>
      <c r="D3002" t="n">
        <v>138.9199981689453</v>
      </c>
      <c r="E3002" t="n">
        <v>97.51999664306641</v>
      </c>
      <c r="F3002" t="n">
        <v>14.02230548858643</v>
      </c>
      <c r="G3002" t="n">
        <v>76.25820922851562</v>
      </c>
      <c r="H3002">
        <f>AVERAGE(D2803:D3002)</f>
        <v/>
      </c>
      <c r="I3002">
        <f>AVERAGE(E2803:E3002)</f>
        <v/>
      </c>
      <c r="J3002">
        <f>AVERAGE(F2803:F3002)</f>
        <v/>
      </c>
    </row>
    <row r="3003">
      <c r="C3003" s="539" t="n">
        <v>43804</v>
      </c>
      <c r="D3003" t="n">
        <v>139</v>
      </c>
      <c r="E3003" t="n">
        <v>97.51999664306641</v>
      </c>
      <c r="F3003" t="n">
        <v>14.06574630737305</v>
      </c>
      <c r="G3003" t="n">
        <v>76.27487945556641</v>
      </c>
      <c r="H3003">
        <f>AVERAGE(D2804:D3003)</f>
        <v/>
      </c>
      <c r="I3003">
        <f>AVERAGE(E2804:E3003)</f>
        <v/>
      </c>
      <c r="J3003">
        <f>AVERAGE(F2804:F3003)</f>
        <v/>
      </c>
    </row>
    <row r="3004">
      <c r="C3004" s="539" t="n">
        <v>43805</v>
      </c>
      <c r="D3004" t="n">
        <v>137.6199951171875</v>
      </c>
      <c r="E3004" t="n">
        <v>98.55999755859375</v>
      </c>
      <c r="F3004" t="n">
        <v>14.12656211853027</v>
      </c>
      <c r="G3004" t="n">
        <v>76.27487945556641</v>
      </c>
      <c r="H3004">
        <f>AVERAGE(D2805:D3004)</f>
        <v/>
      </c>
      <c r="I3004">
        <f>AVERAGE(E2805:E3004)</f>
        <v/>
      </c>
      <c r="J3004">
        <f>AVERAGE(F2805:F3004)</f>
        <v/>
      </c>
    </row>
    <row r="3005">
      <c r="C3005" s="539" t="n">
        <v>43808</v>
      </c>
      <c r="D3005" t="n">
        <v>137.5800018310547</v>
      </c>
      <c r="E3005" t="n">
        <v>98.63999938964844</v>
      </c>
      <c r="F3005" t="n">
        <v>14.18737697601318</v>
      </c>
      <c r="G3005" t="n">
        <v>76.28321075439453</v>
      </c>
      <c r="H3005">
        <f>AVERAGE(D2806:D3005)</f>
        <v/>
      </c>
      <c r="I3005">
        <f>AVERAGE(E2806:E3005)</f>
        <v/>
      </c>
      <c r="J3005">
        <f>AVERAGE(F2806:F3005)</f>
        <v/>
      </c>
    </row>
    <row r="3006">
      <c r="C3006" s="539" t="n">
        <v>43809</v>
      </c>
      <c r="D3006" t="n">
        <v>137.9700012207031</v>
      </c>
      <c r="E3006" t="n">
        <v>99.12000274658203</v>
      </c>
      <c r="F3006" t="n">
        <v>14.30031871795654</v>
      </c>
      <c r="G3006" t="n">
        <v>76.28321075439453</v>
      </c>
      <c r="H3006">
        <f>AVERAGE(D2807:D3006)</f>
        <v/>
      </c>
      <c r="I3006">
        <f>AVERAGE(E2807:E3006)</f>
        <v/>
      </c>
      <c r="J3006">
        <f>AVERAGE(F2807:F3006)</f>
        <v/>
      </c>
    </row>
    <row r="3007">
      <c r="C3007" s="539" t="n">
        <v>43810</v>
      </c>
      <c r="D3007" t="n">
        <v>138.9199981689453</v>
      </c>
      <c r="E3007" t="n">
        <v>98.40000152587891</v>
      </c>
      <c r="F3007" t="n">
        <v>14.27425575256348</v>
      </c>
      <c r="G3007" t="n">
        <v>76.28321075439453</v>
      </c>
      <c r="H3007">
        <f>AVERAGE(D2808:D3007)</f>
        <v/>
      </c>
      <c r="I3007">
        <f>AVERAGE(E2808:E3007)</f>
        <v/>
      </c>
      <c r="J3007">
        <f>AVERAGE(F2808:F3007)</f>
        <v/>
      </c>
    </row>
    <row r="3008">
      <c r="C3008" s="539" t="n">
        <v>43811</v>
      </c>
      <c r="D3008" t="n">
        <v>138.4299926757812</v>
      </c>
      <c r="E3008" t="n">
        <v>98.95999908447266</v>
      </c>
      <c r="F3008" t="n">
        <v>14.41326332092285</v>
      </c>
      <c r="G3008" t="n">
        <v>76.29991149902344</v>
      </c>
      <c r="H3008">
        <f>AVERAGE(D2809:D3008)</f>
        <v/>
      </c>
      <c r="I3008">
        <f>AVERAGE(E2809:E3008)</f>
        <v/>
      </c>
      <c r="J3008">
        <f>AVERAGE(F2809:F3008)</f>
        <v/>
      </c>
    </row>
    <row r="3009">
      <c r="C3009" s="539" t="n">
        <v>43812</v>
      </c>
      <c r="D3009" t="n">
        <v>139.0500030517578</v>
      </c>
      <c r="E3009" t="n">
        <v>99.91999816894531</v>
      </c>
      <c r="F3009" t="n">
        <v>14.36982345581055</v>
      </c>
      <c r="G3009" t="n">
        <v>76.28321075439453</v>
      </c>
      <c r="H3009">
        <f>AVERAGE(D2810:D3009)</f>
        <v/>
      </c>
      <c r="I3009">
        <f>AVERAGE(E2810:E3009)</f>
        <v/>
      </c>
      <c r="J3009">
        <f>AVERAGE(F2810:F3009)</f>
        <v/>
      </c>
    </row>
    <row r="3010">
      <c r="C3010" s="539" t="n">
        <v>43815</v>
      </c>
      <c r="D3010" t="n">
        <v>139.0399932861328</v>
      </c>
      <c r="E3010" t="n">
        <v>100.7200012207031</v>
      </c>
      <c r="F3010" t="n">
        <v>14.62177276611328</v>
      </c>
      <c r="G3010" t="n">
        <v>76.29991149902344</v>
      </c>
      <c r="H3010">
        <f>AVERAGE(D2811:D3010)</f>
        <v/>
      </c>
      <c r="I3010">
        <f>AVERAGE(E2811:E3010)</f>
        <v/>
      </c>
      <c r="J3010">
        <f>AVERAGE(F2811:F3010)</f>
        <v/>
      </c>
    </row>
    <row r="3011">
      <c r="C3011" s="539" t="n">
        <v>43816</v>
      </c>
      <c r="D3011" t="n">
        <v>139.0099945068359</v>
      </c>
      <c r="E3011" t="n">
        <v>101.7600021362305</v>
      </c>
      <c r="F3011" t="n">
        <v>14.51751613616943</v>
      </c>
      <c r="G3011" t="n">
        <v>76.29154968261719</v>
      </c>
      <c r="H3011">
        <f>AVERAGE(D2812:D3011)</f>
        <v/>
      </c>
      <c r="I3011">
        <f>AVERAGE(E2812:E3011)</f>
        <v/>
      </c>
      <c r="J3011">
        <f>AVERAGE(F2812:F3011)</f>
        <v/>
      </c>
    </row>
    <row r="3012">
      <c r="C3012" s="539" t="n">
        <v>43817</v>
      </c>
      <c r="D3012" t="n">
        <v>139.0200042724609</v>
      </c>
      <c r="E3012" t="n">
        <v>101.9199981689453</v>
      </c>
      <c r="F3012" t="n">
        <v>14.49145412445068</v>
      </c>
      <c r="G3012" t="n">
        <v>76.30821990966797</v>
      </c>
      <c r="H3012">
        <f>AVERAGE(D2813:D3012)</f>
        <v/>
      </c>
      <c r="I3012">
        <f>AVERAGE(E2813:E3012)</f>
        <v/>
      </c>
      <c r="J3012">
        <f>AVERAGE(F2813:F3012)</f>
        <v/>
      </c>
    </row>
    <row r="3013">
      <c r="C3013" s="539" t="n">
        <v>43818</v>
      </c>
      <c r="D3013" t="n">
        <v>139.3800048828125</v>
      </c>
      <c r="E3013" t="n">
        <v>102.2399978637695</v>
      </c>
      <c r="F3013" t="n">
        <v>14.37850952148438</v>
      </c>
      <c r="G3013" t="n">
        <v>76.31655883789062</v>
      </c>
      <c r="H3013">
        <f>AVERAGE(D2814:D3013)</f>
        <v/>
      </c>
      <c r="I3013">
        <f>AVERAGE(E2814:E3013)</f>
        <v/>
      </c>
      <c r="J3013">
        <f>AVERAGE(F2814:F3013)</f>
        <v/>
      </c>
    </row>
    <row r="3014">
      <c r="C3014" s="539" t="n">
        <v>43819</v>
      </c>
      <c r="D3014" t="n">
        <v>139.5200042724609</v>
      </c>
      <c r="E3014" t="n">
        <v>101.0400009155273</v>
      </c>
      <c r="F3014" t="n">
        <v>14.43932723999023</v>
      </c>
      <c r="G3014" t="n">
        <v>76.32077026367188</v>
      </c>
      <c r="H3014">
        <f>AVERAGE(D2815:D3014)</f>
        <v/>
      </c>
      <c r="I3014">
        <f>AVERAGE(E2815:E3014)</f>
        <v/>
      </c>
      <c r="J3014">
        <f>AVERAGE(F2815:F3014)</f>
        <v/>
      </c>
    </row>
    <row r="3015">
      <c r="C3015" s="539" t="n">
        <v>43822</v>
      </c>
      <c r="D3015" t="n">
        <v>139.9499969482422</v>
      </c>
      <c r="E3015" t="n">
        <v>101.5999984741211</v>
      </c>
      <c r="F3015" t="n">
        <v>14.34843635559082</v>
      </c>
      <c r="G3015" t="n">
        <v>76.32077026367188</v>
      </c>
      <c r="H3015">
        <f>AVERAGE(D2816:D3015)</f>
        <v/>
      </c>
      <c r="I3015">
        <f>AVERAGE(E2816:E3015)</f>
        <v/>
      </c>
      <c r="J3015">
        <f>AVERAGE(F2816:F3015)</f>
        <v/>
      </c>
    </row>
    <row r="3016">
      <c r="C3016" s="539" t="n">
        <v>43823</v>
      </c>
      <c r="D3016" t="n">
        <v>141.2700042724609</v>
      </c>
      <c r="E3016" t="n">
        <v>102.1600036621094</v>
      </c>
      <c r="F3016" t="n">
        <v>14.41903114318848</v>
      </c>
      <c r="G3016" t="n">
        <v>76.32907867431641</v>
      </c>
      <c r="H3016">
        <f>AVERAGE(D2817:D3016)</f>
        <v/>
      </c>
      <c r="I3016">
        <f>AVERAGE(E2817:E3016)</f>
        <v/>
      </c>
      <c r="J3016">
        <f>AVERAGE(F2817:F3016)</f>
        <v/>
      </c>
    </row>
    <row r="3017">
      <c r="C3017" s="539" t="n">
        <v>43825</v>
      </c>
      <c r="D3017" t="n">
        <v>142.3800048828125</v>
      </c>
      <c r="E3017" t="n">
        <v>103.120002746582</v>
      </c>
      <c r="F3017" t="n">
        <v>14.44550323486328</v>
      </c>
      <c r="G3017" t="n">
        <v>76.33746337890625</v>
      </c>
      <c r="H3017">
        <f>AVERAGE(D2818:D3017)</f>
        <v/>
      </c>
      <c r="I3017">
        <f>AVERAGE(E2818:E3017)</f>
        <v/>
      </c>
      <c r="J3017">
        <f>AVERAGE(F2818:F3017)</f>
        <v/>
      </c>
    </row>
    <row r="3018">
      <c r="C3018" s="539" t="n">
        <v>43826</v>
      </c>
      <c r="D3018" t="n">
        <v>142.3300018310547</v>
      </c>
      <c r="E3018" t="n">
        <v>103.2799987792969</v>
      </c>
      <c r="F3018" t="n">
        <v>14.57787036895752</v>
      </c>
      <c r="G3018" t="n">
        <v>76.32907867431641</v>
      </c>
      <c r="H3018">
        <f>AVERAGE(D2819:D3018)</f>
        <v/>
      </c>
      <c r="I3018">
        <f>AVERAGE(E2819:E3018)</f>
        <v/>
      </c>
      <c r="J3018">
        <f>AVERAGE(F2819:F3018)</f>
        <v/>
      </c>
    </row>
    <row r="3019">
      <c r="C3019" s="539" t="n">
        <v>43829</v>
      </c>
      <c r="D3019" t="n">
        <v>142.6300048828125</v>
      </c>
      <c r="E3019" t="n">
        <v>103.120002746582</v>
      </c>
      <c r="F3019" t="n">
        <v>14.58669376373291</v>
      </c>
      <c r="G3019" t="n">
        <v>76.33746337890625</v>
      </c>
      <c r="H3019">
        <f>AVERAGE(D2820:D3019)</f>
        <v/>
      </c>
      <c r="I3019">
        <f>AVERAGE(E2820:E3019)</f>
        <v/>
      </c>
      <c r="J3019">
        <f>AVERAGE(F2820:F3019)</f>
        <v/>
      </c>
    </row>
    <row r="3020">
      <c r="C3020" s="539" t="n">
        <v>43830</v>
      </c>
      <c r="D3020" t="n">
        <v>142.8999938964844</v>
      </c>
      <c r="E3020" t="n">
        <v>102.4800033569336</v>
      </c>
      <c r="F3020" t="n">
        <v>14.61316680908203</v>
      </c>
      <c r="G3020" t="n">
        <v>76.33746337890625</v>
      </c>
      <c r="H3020">
        <f>AVERAGE(D2821:D3020)</f>
        <v/>
      </c>
      <c r="I3020">
        <f>AVERAGE(E2821:E3020)</f>
        <v/>
      </c>
      <c r="J3020">
        <f>AVERAGE(F2821:F3020)</f>
        <v/>
      </c>
    </row>
    <row r="3021">
      <c r="C3021" s="539" t="n">
        <v>43832</v>
      </c>
      <c r="D3021" t="n">
        <v>143.9499969482422</v>
      </c>
      <c r="E3021" t="n">
        <v>102.4800033569336</v>
      </c>
      <c r="F3021" t="n">
        <v>14.56022071838379</v>
      </c>
      <c r="G3021" t="n">
        <v>76.36247253417969</v>
      </c>
      <c r="H3021">
        <f>AVERAGE(D2822:D3021)</f>
        <v/>
      </c>
      <c r="I3021">
        <f>AVERAGE(E2822:E3021)</f>
        <v/>
      </c>
      <c r="J3021">
        <f>AVERAGE(F2822:F3021)</f>
        <v/>
      </c>
    </row>
    <row r="3022">
      <c r="C3022" s="539" t="n">
        <v>43833</v>
      </c>
      <c r="D3022" t="n">
        <v>145.8600006103516</v>
      </c>
      <c r="E3022" t="n">
        <v>105.4400024414062</v>
      </c>
      <c r="F3022" t="n">
        <v>14.39255714416504</v>
      </c>
      <c r="G3022" t="n">
        <v>76.36247253417969</v>
      </c>
      <c r="H3022">
        <f>AVERAGE(D2823:D3022)</f>
        <v/>
      </c>
      <c r="I3022">
        <f>AVERAGE(E2823:E3022)</f>
        <v/>
      </c>
      <c r="J3022">
        <f>AVERAGE(F2823:F3022)</f>
        <v/>
      </c>
    </row>
    <row r="3023">
      <c r="C3023" s="539" t="n">
        <v>43836</v>
      </c>
      <c r="D3023" t="n">
        <v>147.3899993896484</v>
      </c>
      <c r="E3023" t="n">
        <v>105.2799987792969</v>
      </c>
      <c r="F3023" t="n">
        <v>14.42785549163818</v>
      </c>
      <c r="G3023" t="n">
        <v>76.35414886474609</v>
      </c>
      <c r="H3023">
        <f>AVERAGE(D2824:D3023)</f>
        <v/>
      </c>
      <c r="I3023">
        <f>AVERAGE(E2824:E3023)</f>
        <v/>
      </c>
      <c r="J3023">
        <f>AVERAGE(F2824:F3023)</f>
        <v/>
      </c>
    </row>
    <row r="3024">
      <c r="C3024" s="539" t="n">
        <v>43837</v>
      </c>
      <c r="D3024" t="n">
        <v>147.9700012207031</v>
      </c>
      <c r="E3024" t="n">
        <v>105.0400009155273</v>
      </c>
      <c r="F3024" t="n">
        <v>14.46315097808838</v>
      </c>
      <c r="G3024" t="n">
        <v>76.35414886474609</v>
      </c>
      <c r="H3024">
        <f>AVERAGE(D2825:D3024)</f>
        <v/>
      </c>
      <c r="I3024">
        <f>AVERAGE(E2825:E3024)</f>
        <v/>
      </c>
      <c r="J3024">
        <f>AVERAGE(F2825:F3024)</f>
        <v/>
      </c>
    </row>
    <row r="3025">
      <c r="C3025" s="539" t="n">
        <v>43838</v>
      </c>
      <c r="D3025" t="n">
        <v>146.8600006103516</v>
      </c>
      <c r="E3025" t="n">
        <v>101.2799987792969</v>
      </c>
      <c r="F3025" t="n">
        <v>14.39255714416504</v>
      </c>
      <c r="G3025" t="n">
        <v>76.37085723876953</v>
      </c>
      <c r="H3025">
        <f>AVERAGE(D2826:D3025)</f>
        <v/>
      </c>
      <c r="I3025">
        <f>AVERAGE(E2826:E3025)</f>
        <v/>
      </c>
      <c r="J3025">
        <f>AVERAGE(F2826:F3025)</f>
        <v/>
      </c>
    </row>
    <row r="3026">
      <c r="C3026" s="539" t="n">
        <v>43839</v>
      </c>
      <c r="D3026" t="n">
        <v>146.0299987792969</v>
      </c>
      <c r="E3026" t="n">
        <v>99.91999816894531</v>
      </c>
      <c r="F3026" t="n">
        <v>14.42785549163818</v>
      </c>
      <c r="G3026" t="n">
        <v>76.37919616699219</v>
      </c>
      <c r="H3026">
        <f>AVERAGE(D2827:D3026)</f>
        <v/>
      </c>
      <c r="I3026">
        <f>AVERAGE(E2827:E3026)</f>
        <v/>
      </c>
      <c r="J3026">
        <f>AVERAGE(F2827:F3026)</f>
        <v/>
      </c>
    </row>
    <row r="3027">
      <c r="C3027" s="539" t="n">
        <v>43840</v>
      </c>
      <c r="D3027" t="n">
        <v>146.9100036621094</v>
      </c>
      <c r="E3027" t="n">
        <v>99.27999877929688</v>
      </c>
      <c r="F3027" t="n">
        <v>14.56022071838379</v>
      </c>
      <c r="G3027" t="n">
        <v>76.37919616699219</v>
      </c>
      <c r="H3027">
        <f>AVERAGE(D2828:D3027)</f>
        <v/>
      </c>
      <c r="I3027">
        <f>AVERAGE(E2828:E3027)</f>
        <v/>
      </c>
      <c r="J3027">
        <f>AVERAGE(F2828:F3027)</f>
        <v/>
      </c>
    </row>
    <row r="3028">
      <c r="C3028" s="539" t="n">
        <v>43843</v>
      </c>
      <c r="D3028" t="n">
        <v>145.8200073242188</v>
      </c>
      <c r="E3028" t="n">
        <v>97.59999847412109</v>
      </c>
      <c r="F3028" t="n">
        <v>14.47197532653809</v>
      </c>
      <c r="G3028" t="n">
        <v>76.37919616699219</v>
      </c>
      <c r="H3028">
        <f>AVERAGE(D2829:D3028)</f>
        <v/>
      </c>
      <c r="I3028">
        <f>AVERAGE(E2829:E3028)</f>
        <v/>
      </c>
      <c r="J3028">
        <f>AVERAGE(F2829:F3028)</f>
        <v/>
      </c>
    </row>
    <row r="3029">
      <c r="C3029" s="539" t="n">
        <v>43844</v>
      </c>
      <c r="D3029" t="n">
        <v>145.6900024414062</v>
      </c>
      <c r="E3029" t="n">
        <v>98.23999786376953</v>
      </c>
      <c r="F3029" t="n">
        <v>14.55139636993408</v>
      </c>
      <c r="G3029" t="n">
        <v>76.37919616699219</v>
      </c>
      <c r="H3029">
        <f>AVERAGE(D2830:D3029)</f>
        <v/>
      </c>
      <c r="I3029">
        <f>AVERAGE(E2830:E3029)</f>
        <v/>
      </c>
      <c r="J3029">
        <f>AVERAGE(F2830:F3029)</f>
        <v/>
      </c>
    </row>
    <row r="3030">
      <c r="C3030" s="539" t="n">
        <v>43845</v>
      </c>
      <c r="D3030" t="n">
        <v>146.5399932861328</v>
      </c>
      <c r="E3030" t="n">
        <v>97.44000244140625</v>
      </c>
      <c r="F3030" t="n">
        <v>14.58669376373291</v>
      </c>
      <c r="G3030" t="n">
        <v>76.38752746582031</v>
      </c>
      <c r="H3030">
        <f>AVERAGE(D2831:D3030)</f>
        <v/>
      </c>
      <c r="I3030">
        <f>AVERAGE(E2831:E3030)</f>
        <v/>
      </c>
      <c r="J3030">
        <f>AVERAGE(F2831:F3030)</f>
        <v/>
      </c>
    </row>
    <row r="3031">
      <c r="C3031" s="539" t="n">
        <v>43846</v>
      </c>
      <c r="D3031" t="n">
        <v>146.3099975585938</v>
      </c>
      <c r="E3031" t="n">
        <v>98.31999969482422</v>
      </c>
      <c r="F3031" t="n">
        <v>14.42785549163818</v>
      </c>
      <c r="G3031" t="n">
        <v>76.40423583984375</v>
      </c>
      <c r="H3031">
        <f>AVERAGE(D2832:D3031)</f>
        <v/>
      </c>
      <c r="I3031">
        <f>AVERAGE(E2832:E3031)</f>
        <v/>
      </c>
      <c r="J3031">
        <f>AVERAGE(F2832:F3031)</f>
        <v/>
      </c>
    </row>
    <row r="3032">
      <c r="C3032" s="539" t="n">
        <v>43847</v>
      </c>
      <c r="D3032" t="n">
        <v>146.5800018310547</v>
      </c>
      <c r="E3032" t="n">
        <v>98.63999938964844</v>
      </c>
      <c r="F3032" t="n">
        <v>14.56022071838379</v>
      </c>
      <c r="G3032" t="n">
        <v>76.39589691162109</v>
      </c>
      <c r="H3032">
        <f>AVERAGE(D2833:D3032)</f>
        <v/>
      </c>
      <c r="I3032">
        <f>AVERAGE(E2833:E3032)</f>
        <v/>
      </c>
      <c r="J3032">
        <f>AVERAGE(F2833:F3032)</f>
        <v/>
      </c>
    </row>
    <row r="3033">
      <c r="C3033" s="539" t="n">
        <v>43851</v>
      </c>
      <c r="D3033" t="n">
        <v>146.7400054931641</v>
      </c>
      <c r="E3033" t="n">
        <v>97.91999816894531</v>
      </c>
      <c r="F3033" t="n">
        <v>14.55139636993408</v>
      </c>
      <c r="G3033" t="n">
        <v>76.40423583984375</v>
      </c>
      <c r="H3033">
        <f>AVERAGE(D2834:D3033)</f>
        <v/>
      </c>
      <c r="I3033">
        <f>AVERAGE(E2834:E3033)</f>
        <v/>
      </c>
      <c r="J3033">
        <f>AVERAGE(F2834:F3033)</f>
        <v/>
      </c>
    </row>
    <row r="3034">
      <c r="C3034" s="539" t="n">
        <v>43852</v>
      </c>
      <c r="D3034" t="n">
        <v>146.7899932861328</v>
      </c>
      <c r="E3034" t="n">
        <v>95.19999694824219</v>
      </c>
      <c r="F3034" t="n">
        <v>14.51609802246094</v>
      </c>
      <c r="G3034" t="n">
        <v>76.40423583984375</v>
      </c>
      <c r="H3034">
        <f>AVERAGE(D2835:D3034)</f>
        <v/>
      </c>
      <c r="I3034">
        <f>AVERAGE(E2835:E3034)</f>
        <v/>
      </c>
      <c r="J3034">
        <f>AVERAGE(F2835:F3034)</f>
        <v/>
      </c>
    </row>
    <row r="3035">
      <c r="C3035" s="539" t="n">
        <v>43853</v>
      </c>
      <c r="D3035" t="n">
        <v>147.1199951171875</v>
      </c>
      <c r="E3035" t="n">
        <v>93.27999877929688</v>
      </c>
      <c r="F3035" t="n">
        <v>14.48080062866211</v>
      </c>
      <c r="G3035" t="n">
        <v>76.41259002685547</v>
      </c>
      <c r="H3035">
        <f>AVERAGE(D2836:D3035)</f>
        <v/>
      </c>
      <c r="I3035">
        <f>AVERAGE(E2836:E3035)</f>
        <v/>
      </c>
      <c r="J3035">
        <f>AVERAGE(F2836:F3035)</f>
        <v/>
      </c>
    </row>
    <row r="3036">
      <c r="C3036" s="539" t="n">
        <v>43854</v>
      </c>
      <c r="D3036" t="n">
        <v>147.9799957275391</v>
      </c>
      <c r="E3036" t="n">
        <v>91.44000244140625</v>
      </c>
      <c r="F3036" t="n">
        <v>14.32196140289307</v>
      </c>
      <c r="G3036" t="n">
        <v>76.41259002685547</v>
      </c>
      <c r="H3036">
        <f>AVERAGE(D2837:D3036)</f>
        <v/>
      </c>
      <c r="I3036">
        <f>AVERAGE(E2837:E3036)</f>
        <v/>
      </c>
      <c r="J3036">
        <f>AVERAGE(F2837:F3036)</f>
        <v/>
      </c>
    </row>
    <row r="3037">
      <c r="C3037" s="539" t="n">
        <v>43857</v>
      </c>
      <c r="D3037" t="n">
        <v>148.9900054931641</v>
      </c>
      <c r="E3037" t="n">
        <v>88.80000305175781</v>
      </c>
      <c r="F3037" t="n">
        <v>14.09252834320068</v>
      </c>
      <c r="G3037" t="n">
        <v>76.42093658447266</v>
      </c>
      <c r="H3037">
        <f>AVERAGE(D2838:D3037)</f>
        <v/>
      </c>
      <c r="I3037">
        <f>AVERAGE(E2838:E3037)</f>
        <v/>
      </c>
      <c r="J3037">
        <f>AVERAGE(F2838:F3037)</f>
        <v/>
      </c>
    </row>
    <row r="3038">
      <c r="C3038" s="539" t="n">
        <v>43858</v>
      </c>
      <c r="D3038" t="n">
        <v>147.6600036621094</v>
      </c>
      <c r="E3038" t="n">
        <v>90</v>
      </c>
      <c r="F3038" t="n">
        <v>14.1190013885498</v>
      </c>
      <c r="G3038" t="n">
        <v>76.42093658447266</v>
      </c>
      <c r="H3038">
        <f>AVERAGE(D2839:D3038)</f>
        <v/>
      </c>
      <c r="I3038">
        <f>AVERAGE(E2839:E3038)</f>
        <v/>
      </c>
      <c r="J3038">
        <f>AVERAGE(F2839:F3038)</f>
        <v/>
      </c>
    </row>
    <row r="3039">
      <c r="C3039" s="539" t="n">
        <v>43859</v>
      </c>
      <c r="D3039" t="n">
        <v>148.4600067138672</v>
      </c>
      <c r="E3039" t="n">
        <v>89.27999877929688</v>
      </c>
      <c r="F3039" t="n">
        <v>13.99546146392822</v>
      </c>
      <c r="G3039" t="n">
        <v>76.42928314208984</v>
      </c>
      <c r="H3039">
        <f>AVERAGE(D2840:D3039)</f>
        <v/>
      </c>
      <c r="I3039">
        <f>AVERAGE(E2840:E3039)</f>
        <v/>
      </c>
      <c r="J3039">
        <f>AVERAGE(F2840:F3039)</f>
        <v/>
      </c>
    </row>
    <row r="3040">
      <c r="C3040" s="539" t="n">
        <v>43860</v>
      </c>
      <c r="D3040" t="n">
        <v>148.4700012207031</v>
      </c>
      <c r="E3040" t="n">
        <v>88.63999938964844</v>
      </c>
      <c r="F3040" t="n">
        <v>13.88956737518311</v>
      </c>
      <c r="G3040" t="n">
        <v>76.42928314208984</v>
      </c>
      <c r="H3040">
        <f>AVERAGE(D2841:D3040)</f>
        <v/>
      </c>
      <c r="I3040">
        <f>AVERAGE(E2841:E3040)</f>
        <v/>
      </c>
      <c r="J3040">
        <f>AVERAGE(F2841:F3040)</f>
        <v/>
      </c>
    </row>
    <row r="3041">
      <c r="C3041" s="539" t="n">
        <v>43861</v>
      </c>
      <c r="D3041" t="n">
        <v>149.3300018310547</v>
      </c>
      <c r="E3041" t="n">
        <v>86.72000122070312</v>
      </c>
      <c r="F3041" t="n">
        <v>13.81014823913574</v>
      </c>
      <c r="G3041" t="n">
        <v>76.42928314208984</v>
      </c>
      <c r="H3041">
        <f>AVERAGE(D2842:D3041)</f>
        <v/>
      </c>
      <c r="I3041">
        <f>AVERAGE(E2842:E3041)</f>
        <v/>
      </c>
      <c r="J3041">
        <f>AVERAGE(F2842:F3041)</f>
        <v/>
      </c>
    </row>
    <row r="3042">
      <c r="C3042" s="539" t="n">
        <v>43864</v>
      </c>
      <c r="D3042" t="n">
        <v>148.3600006103516</v>
      </c>
      <c r="E3042" t="n">
        <v>83.91999816894531</v>
      </c>
      <c r="F3042" t="n">
        <v>13.78367519378662</v>
      </c>
      <c r="G3042" t="n">
        <v>76.43596649169922</v>
      </c>
      <c r="H3042">
        <f>AVERAGE(D2843:D3042)</f>
        <v/>
      </c>
      <c r="I3042">
        <f>AVERAGE(E2843:E3042)</f>
        <v/>
      </c>
      <c r="J3042">
        <f>AVERAGE(F2843:F3042)</f>
        <v/>
      </c>
    </row>
    <row r="3043">
      <c r="C3043" s="539" t="n">
        <v>43865</v>
      </c>
      <c r="D3043" t="n">
        <v>146.4299926757812</v>
      </c>
      <c r="E3043" t="n">
        <v>83.51999664306641</v>
      </c>
      <c r="F3043" t="n">
        <v>13.81014823913574</v>
      </c>
      <c r="G3043" t="n">
        <v>76.43596649169922</v>
      </c>
      <c r="H3043">
        <f>AVERAGE(D2844:D3043)</f>
        <v/>
      </c>
      <c r="I3043">
        <f>AVERAGE(E2844:E3043)</f>
        <v/>
      </c>
      <c r="J3043">
        <f>AVERAGE(F2844:F3043)</f>
        <v/>
      </c>
    </row>
    <row r="3044">
      <c r="C3044" s="539" t="n">
        <v>43866</v>
      </c>
      <c r="D3044" t="n">
        <v>146.6100006103516</v>
      </c>
      <c r="E3044" t="n">
        <v>85.59999847412109</v>
      </c>
      <c r="F3044" t="n">
        <v>13.81897258758545</v>
      </c>
      <c r="G3044" t="n">
        <v>76.45268249511719</v>
      </c>
      <c r="H3044">
        <f>AVERAGE(D2845:D3044)</f>
        <v/>
      </c>
      <c r="I3044">
        <f>AVERAGE(E2845:E3044)</f>
        <v/>
      </c>
      <c r="J3044">
        <f>AVERAGE(F2845:F3044)</f>
        <v/>
      </c>
    </row>
    <row r="3045">
      <c r="C3045" s="539" t="n">
        <v>43867</v>
      </c>
      <c r="D3045" t="n">
        <v>147.3999938964844</v>
      </c>
      <c r="E3045" t="n">
        <v>85.91999816894531</v>
      </c>
      <c r="F3045" t="n">
        <v>13.91604137420654</v>
      </c>
      <c r="G3045" t="n">
        <v>76.46104431152344</v>
      </c>
      <c r="H3045">
        <f>AVERAGE(D2846:D3045)</f>
        <v/>
      </c>
      <c r="I3045">
        <f>AVERAGE(E2846:E3045)</f>
        <v/>
      </c>
      <c r="J3045">
        <f>AVERAGE(F2846:F3045)</f>
        <v/>
      </c>
    </row>
    <row r="3046">
      <c r="C3046" s="539" t="n">
        <v>43868</v>
      </c>
      <c r="D3046" t="n">
        <v>147.7899932861328</v>
      </c>
      <c r="E3046" t="n">
        <v>84.63999938964844</v>
      </c>
      <c r="F3046" t="n">
        <v>13.97781181335449</v>
      </c>
      <c r="G3046" t="n">
        <v>76.46104431152344</v>
      </c>
      <c r="H3046">
        <f>AVERAGE(D2847:D3046)</f>
        <v/>
      </c>
      <c r="I3046">
        <f>AVERAGE(E2847:E3046)</f>
        <v/>
      </c>
      <c r="J3046">
        <f>AVERAGE(F2847:F3046)</f>
        <v/>
      </c>
    </row>
    <row r="3047">
      <c r="C3047" s="539" t="n">
        <v>43871</v>
      </c>
      <c r="D3047" t="n">
        <v>148.1699981689453</v>
      </c>
      <c r="E3047" t="n">
        <v>83.36000061035156</v>
      </c>
      <c r="F3047" t="n">
        <v>13.96016216278076</v>
      </c>
      <c r="G3047" t="n">
        <v>76.45268249511719</v>
      </c>
      <c r="H3047">
        <f>AVERAGE(D2848:D3047)</f>
        <v/>
      </c>
      <c r="I3047">
        <f>AVERAGE(E2848:E3047)</f>
        <v/>
      </c>
      <c r="J3047">
        <f>AVERAGE(F2848:F3047)</f>
        <v/>
      </c>
    </row>
    <row r="3048">
      <c r="C3048" s="539" t="n">
        <v>43872</v>
      </c>
      <c r="D3048" t="n">
        <v>147.6600036621094</v>
      </c>
      <c r="E3048" t="n">
        <v>84</v>
      </c>
      <c r="F3048" t="n">
        <v>13.96016216278076</v>
      </c>
      <c r="G3048" t="n">
        <v>76.46104431152344</v>
      </c>
      <c r="H3048">
        <f>AVERAGE(D2849:D3048)</f>
        <v/>
      </c>
      <c r="I3048">
        <f>AVERAGE(E2849:E3048)</f>
        <v/>
      </c>
      <c r="J3048">
        <f>AVERAGE(F2849:F3048)</f>
        <v/>
      </c>
    </row>
    <row r="3049">
      <c r="C3049" s="539" t="n">
        <v>43873</v>
      </c>
      <c r="D3049" t="n">
        <v>147.5399932861328</v>
      </c>
      <c r="E3049" t="n">
        <v>86.48000335693359</v>
      </c>
      <c r="F3049" t="n">
        <v>13.96898746490479</v>
      </c>
      <c r="G3049" t="n">
        <v>76.46942138671875</v>
      </c>
      <c r="H3049">
        <f>AVERAGE(D2850:D3049)</f>
        <v/>
      </c>
      <c r="I3049">
        <f>AVERAGE(E2850:E3049)</f>
        <v/>
      </c>
      <c r="J3049">
        <f>AVERAGE(F2850:F3049)</f>
        <v/>
      </c>
    </row>
    <row r="3050">
      <c r="C3050" s="539" t="n">
        <v>43874</v>
      </c>
      <c r="D3050" t="n">
        <v>148.3800048828125</v>
      </c>
      <c r="E3050" t="n">
        <v>86.72000122070312</v>
      </c>
      <c r="F3050" t="n">
        <v>14.03958225250244</v>
      </c>
      <c r="G3050" t="n">
        <v>76.47777557373047</v>
      </c>
      <c r="H3050">
        <f>AVERAGE(D2851:D3050)</f>
        <v/>
      </c>
      <c r="I3050">
        <f>AVERAGE(E2851:E3050)</f>
        <v/>
      </c>
      <c r="J3050">
        <f>AVERAGE(F2851:F3050)</f>
        <v/>
      </c>
    </row>
    <row r="3051">
      <c r="C3051" s="539" t="n">
        <v>43875</v>
      </c>
      <c r="D3051" t="n">
        <v>149</v>
      </c>
      <c r="E3051" t="n">
        <v>87.59999847412109</v>
      </c>
      <c r="F3051" t="n">
        <v>14.06605434417725</v>
      </c>
      <c r="G3051" t="n">
        <v>76.47777557373047</v>
      </c>
      <c r="H3051">
        <f>AVERAGE(D2852:D3051)</f>
        <v/>
      </c>
      <c r="I3051">
        <f>AVERAGE(E2852:E3051)</f>
        <v/>
      </c>
      <c r="J3051">
        <f>AVERAGE(F2852:F3051)</f>
        <v/>
      </c>
    </row>
    <row r="3052">
      <c r="C3052" s="539" t="n">
        <v>43879</v>
      </c>
      <c r="D3052" t="n">
        <v>150.9100036621094</v>
      </c>
      <c r="E3052" t="n">
        <v>87.59999847412109</v>
      </c>
      <c r="F3052" t="n">
        <v>14.17194747924805</v>
      </c>
      <c r="G3052" t="n">
        <v>76.48615264892578</v>
      </c>
      <c r="H3052">
        <f>AVERAGE(D2853:D3052)</f>
        <v/>
      </c>
      <c r="I3052">
        <f>AVERAGE(E2853:E3052)</f>
        <v/>
      </c>
      <c r="J3052">
        <f>AVERAGE(F2853:F3052)</f>
        <v/>
      </c>
    </row>
    <row r="3053">
      <c r="C3053" s="539" t="n">
        <v>43880</v>
      </c>
      <c r="D3053" t="n">
        <v>151.7899932861328</v>
      </c>
      <c r="E3053" t="n">
        <v>89.44000244140625</v>
      </c>
      <c r="F3053" t="n">
        <v>14.16312217712402</v>
      </c>
      <c r="G3053" t="n">
        <v>76.48615264892578</v>
      </c>
      <c r="H3053">
        <f>AVERAGE(D2854:D3053)</f>
        <v/>
      </c>
      <c r="I3053">
        <f>AVERAGE(E2854:E3053)</f>
        <v/>
      </c>
      <c r="J3053">
        <f>AVERAGE(F2854:F3053)</f>
        <v/>
      </c>
    </row>
    <row r="3054">
      <c r="C3054" s="539" t="n">
        <v>43881</v>
      </c>
      <c r="D3054" t="n">
        <v>152.4100036621094</v>
      </c>
      <c r="E3054" t="n">
        <v>90.23999786376953</v>
      </c>
      <c r="F3054" t="n">
        <v>14.07487869262695</v>
      </c>
      <c r="G3054" t="n">
        <v>76.48615264892578</v>
      </c>
      <c r="H3054">
        <f>AVERAGE(D2855:D3054)</f>
        <v/>
      </c>
      <c r="I3054">
        <f>AVERAGE(E2855:E3054)</f>
        <v/>
      </c>
      <c r="J3054">
        <f>AVERAGE(F2855:F3054)</f>
        <v/>
      </c>
    </row>
    <row r="3055">
      <c r="C3055" s="539" t="n">
        <v>43882</v>
      </c>
      <c r="D3055" t="n">
        <v>154.6999969482422</v>
      </c>
      <c r="E3055" t="n">
        <v>89.27999877929688</v>
      </c>
      <c r="F3055" t="n">
        <v>14.09252834320068</v>
      </c>
      <c r="G3055" t="n">
        <v>76.50285339355469</v>
      </c>
      <c r="H3055">
        <f>AVERAGE(D2856:D3055)</f>
        <v/>
      </c>
      <c r="I3055">
        <f>AVERAGE(E2856:E3055)</f>
        <v/>
      </c>
      <c r="J3055">
        <f>AVERAGE(F2856:F3055)</f>
        <v/>
      </c>
    </row>
    <row r="3056">
      <c r="C3056" s="539" t="n">
        <v>43885</v>
      </c>
      <c r="D3056" t="n">
        <v>156.0899963378906</v>
      </c>
      <c r="E3056" t="n">
        <v>85.91999816894531</v>
      </c>
      <c r="F3056" t="n">
        <v>13.81014823913574</v>
      </c>
      <c r="G3056" t="n">
        <v>76.49446105957031</v>
      </c>
      <c r="H3056">
        <f>AVERAGE(D2857:D3056)</f>
        <v/>
      </c>
      <c r="I3056">
        <f>AVERAGE(E2857:E3056)</f>
        <v/>
      </c>
      <c r="J3056">
        <f>AVERAGE(F2857:F3056)</f>
        <v/>
      </c>
    </row>
    <row r="3057">
      <c r="C3057" s="539" t="n">
        <v>43886</v>
      </c>
      <c r="D3057" t="n">
        <v>153.3000030517578</v>
      </c>
      <c r="E3057" t="n">
        <v>83.19999694824219</v>
      </c>
      <c r="F3057" t="n">
        <v>13.80132389068604</v>
      </c>
      <c r="G3057" t="n">
        <v>76.49446105957031</v>
      </c>
      <c r="H3057">
        <f>AVERAGE(D2858:D3057)</f>
        <v/>
      </c>
      <c r="I3057">
        <f>AVERAGE(E2858:E3057)</f>
        <v/>
      </c>
      <c r="J3057">
        <f>AVERAGE(F2858:F3057)</f>
        <v/>
      </c>
    </row>
    <row r="3058">
      <c r="C3058" s="539" t="n">
        <v>43887</v>
      </c>
      <c r="D3058" t="n">
        <v>153.9700012207031</v>
      </c>
      <c r="E3058" t="n">
        <v>81.51999664306641</v>
      </c>
      <c r="F3058" t="n">
        <v>13.73955345153809</v>
      </c>
      <c r="G3058" t="n">
        <v>76.51119995117188</v>
      </c>
      <c r="H3058">
        <f>AVERAGE(D2859:D3058)</f>
        <v/>
      </c>
      <c r="I3058">
        <f>AVERAGE(E2859:E3058)</f>
        <v/>
      </c>
      <c r="J3058">
        <f>AVERAGE(F2859:F3058)</f>
        <v/>
      </c>
    </row>
    <row r="3059">
      <c r="C3059" s="539" t="n">
        <v>43888</v>
      </c>
      <c r="D3059" t="n">
        <v>154</v>
      </c>
      <c r="E3059" t="n">
        <v>78.23999786376953</v>
      </c>
      <c r="F3059" t="n">
        <v>13.54541873931885</v>
      </c>
      <c r="G3059" t="n">
        <v>76.52791595458984</v>
      </c>
      <c r="H3059">
        <f>AVERAGE(D2860:D3059)</f>
        <v/>
      </c>
      <c r="I3059">
        <f>AVERAGE(E2860:E3059)</f>
        <v/>
      </c>
      <c r="J3059">
        <f>AVERAGE(F2860:F3059)</f>
        <v/>
      </c>
    </row>
    <row r="3060">
      <c r="C3060" s="539" t="n">
        <v>43889</v>
      </c>
      <c r="D3060" t="n">
        <v>148.3800048828125</v>
      </c>
      <c r="E3060" t="n">
        <v>75.59999847412109</v>
      </c>
      <c r="F3060" t="n">
        <v>13.45717334747314</v>
      </c>
      <c r="G3060" t="n">
        <v>76.51959991455078</v>
      </c>
      <c r="H3060">
        <f>AVERAGE(D2861:D3060)</f>
        <v/>
      </c>
      <c r="I3060">
        <f>AVERAGE(E2861:E3060)</f>
        <v/>
      </c>
      <c r="J3060">
        <f>AVERAGE(F2861:F3060)</f>
        <v/>
      </c>
    </row>
    <row r="3061">
      <c r="C3061" s="539" t="n">
        <v>43892</v>
      </c>
      <c r="D3061" t="n">
        <v>149.1999969482422</v>
      </c>
      <c r="E3061" t="n">
        <v>79.36000061035156</v>
      </c>
      <c r="F3061" t="n">
        <v>13.61601257324219</v>
      </c>
      <c r="G3061" t="n">
        <v>76.54216766357422</v>
      </c>
      <c r="H3061">
        <f>AVERAGE(D2862:D3061)</f>
        <v/>
      </c>
      <c r="I3061">
        <f>AVERAGE(E2862:E3061)</f>
        <v/>
      </c>
      <c r="J3061">
        <f>AVERAGE(F2862:F3061)</f>
        <v/>
      </c>
    </row>
    <row r="3062">
      <c r="C3062" s="539" t="n">
        <v>43893</v>
      </c>
      <c r="D3062" t="n">
        <v>153.8899993896484</v>
      </c>
      <c r="E3062" t="n">
        <v>79.12000274658203</v>
      </c>
      <c r="F3062" t="n">
        <v>13.70425510406494</v>
      </c>
      <c r="G3062" t="n">
        <v>76.55890655517578</v>
      </c>
      <c r="H3062">
        <f>AVERAGE(D2863:D3062)</f>
        <v/>
      </c>
      <c r="I3062">
        <f>AVERAGE(E2863:E3062)</f>
        <v/>
      </c>
      <c r="J3062">
        <f>AVERAGE(F2863:F3062)</f>
        <v/>
      </c>
    </row>
    <row r="3063">
      <c r="C3063" s="539" t="n">
        <v>43894</v>
      </c>
      <c r="D3063" t="n">
        <v>154.1600036621094</v>
      </c>
      <c r="E3063" t="n">
        <v>78.87999725341797</v>
      </c>
      <c r="F3063" t="n">
        <v>13.61601257324219</v>
      </c>
      <c r="G3063" t="n">
        <v>76.59236145019531</v>
      </c>
      <c r="H3063">
        <f>AVERAGE(D2864:D3063)</f>
        <v/>
      </c>
      <c r="I3063">
        <f>AVERAGE(E2864:E3063)</f>
        <v/>
      </c>
      <c r="J3063">
        <f>AVERAGE(F2864:F3063)</f>
        <v/>
      </c>
    </row>
    <row r="3064">
      <c r="C3064" s="539" t="n">
        <v>43895</v>
      </c>
      <c r="D3064" t="n">
        <v>157.4900054931641</v>
      </c>
      <c r="E3064" t="n">
        <v>76.87999725341797</v>
      </c>
      <c r="F3064" t="n">
        <v>13.43952465057373</v>
      </c>
      <c r="G3064" t="n">
        <v>76.60910034179688</v>
      </c>
      <c r="H3064">
        <f>AVERAGE(D2865:D3064)</f>
        <v/>
      </c>
      <c r="I3064">
        <f>AVERAGE(E2865:E3064)</f>
        <v/>
      </c>
      <c r="J3064">
        <f>AVERAGE(F2865:F3064)</f>
        <v/>
      </c>
    </row>
    <row r="3065">
      <c r="C3065" s="539" t="n">
        <v>43896</v>
      </c>
      <c r="D3065" t="n">
        <v>157.5500030517578</v>
      </c>
      <c r="E3065" t="n">
        <v>69.83999633789062</v>
      </c>
      <c r="F3065" t="n">
        <v>13.26303577423096</v>
      </c>
      <c r="G3065" t="n">
        <v>76.60910034179688</v>
      </c>
      <c r="H3065">
        <f>AVERAGE(D2866:D3065)</f>
        <v/>
      </c>
      <c r="I3065">
        <f>AVERAGE(E2866:E3065)</f>
        <v/>
      </c>
      <c r="J3065">
        <f>AVERAGE(F2866:F3065)</f>
        <v/>
      </c>
    </row>
    <row r="3066">
      <c r="C3066" s="539" t="n">
        <v>43899</v>
      </c>
      <c r="D3066" t="n">
        <v>157.8099975585938</v>
      </c>
      <c r="E3066" t="n">
        <v>52.15999984741211</v>
      </c>
      <c r="F3066" t="n">
        <v>13.03360462188721</v>
      </c>
      <c r="G3066" t="n">
        <v>76.64260864257812</v>
      </c>
      <c r="H3066">
        <f>AVERAGE(D2867:D3066)</f>
        <v/>
      </c>
      <c r="I3066">
        <f>AVERAGE(E2867:E3066)</f>
        <v/>
      </c>
      <c r="J3066">
        <f>AVERAGE(F2867:F3066)</f>
        <v/>
      </c>
    </row>
    <row r="3067">
      <c r="C3067" s="539" t="n">
        <v>43900</v>
      </c>
      <c r="D3067" t="n">
        <v>154.4799957275391</v>
      </c>
      <c r="E3067" t="n">
        <v>57.91999816894531</v>
      </c>
      <c r="F3067" t="n">
        <v>13.24538803100586</v>
      </c>
      <c r="G3067" t="n">
        <v>76.62583160400391</v>
      </c>
      <c r="H3067">
        <f>AVERAGE(D2868:D3067)</f>
        <v/>
      </c>
      <c r="I3067">
        <f>AVERAGE(E2868:E3067)</f>
        <v/>
      </c>
      <c r="J3067">
        <f>AVERAGE(F2868:F3067)</f>
        <v/>
      </c>
    </row>
    <row r="3068">
      <c r="C3068" s="539" t="n">
        <v>43901</v>
      </c>
      <c r="D3068" t="n">
        <v>153.9299926757812</v>
      </c>
      <c r="E3068" t="n">
        <v>55.52000045776367</v>
      </c>
      <c r="F3068" t="n">
        <v>13.09537410736084</v>
      </c>
      <c r="G3068" t="n">
        <v>76.64260864257812</v>
      </c>
      <c r="H3068">
        <f>AVERAGE(D2869:D3068)</f>
        <v/>
      </c>
      <c r="I3068">
        <f>AVERAGE(E2869:E3068)</f>
        <v/>
      </c>
      <c r="J3068">
        <f>AVERAGE(F2869:F3068)</f>
        <v/>
      </c>
    </row>
    <row r="3069">
      <c r="C3069" s="539" t="n">
        <v>43902</v>
      </c>
      <c r="D3069" t="n">
        <v>147.7899932861328</v>
      </c>
      <c r="E3069" t="n">
        <v>52.31999969482422</v>
      </c>
      <c r="F3069" t="n">
        <v>12.59238529205322</v>
      </c>
      <c r="G3069" t="n">
        <v>76.65095520019531</v>
      </c>
      <c r="H3069">
        <f>AVERAGE(D2870:D3069)</f>
        <v/>
      </c>
      <c r="I3069">
        <f>AVERAGE(E2870:E3069)</f>
        <v/>
      </c>
      <c r="J3069">
        <f>AVERAGE(F2870:F3069)</f>
        <v/>
      </c>
    </row>
    <row r="3070">
      <c r="C3070" s="539" t="n">
        <v>43903</v>
      </c>
      <c r="D3070" t="n">
        <v>143.2799987792969</v>
      </c>
      <c r="E3070" t="n">
        <v>55.68000030517578</v>
      </c>
      <c r="F3070" t="n">
        <v>12.57473659515381</v>
      </c>
      <c r="G3070" t="n">
        <v>76.66767883300781</v>
      </c>
      <c r="H3070">
        <f>AVERAGE(D2871:D3070)</f>
        <v/>
      </c>
      <c r="I3070">
        <f>AVERAGE(E2871:E3070)</f>
        <v/>
      </c>
      <c r="J3070">
        <f>AVERAGE(F2871:F3070)</f>
        <v/>
      </c>
    </row>
    <row r="3071">
      <c r="C3071" s="539" t="n">
        <v>43906</v>
      </c>
      <c r="D3071" t="n">
        <v>141.6399993896484</v>
      </c>
      <c r="E3071" t="n">
        <v>48.40000152587891</v>
      </c>
      <c r="F3071" t="n">
        <v>12.04527378082275</v>
      </c>
      <c r="G3071" t="n">
        <v>76.67605590820312</v>
      </c>
      <c r="H3071">
        <f>AVERAGE(D2872:D3071)</f>
        <v/>
      </c>
      <c r="I3071">
        <f>AVERAGE(E2872:E3071)</f>
        <v/>
      </c>
      <c r="J3071">
        <f>AVERAGE(F2872:F3071)</f>
        <v/>
      </c>
    </row>
    <row r="3072">
      <c r="C3072" s="539" t="n">
        <v>43907</v>
      </c>
      <c r="D3072" t="n">
        <v>143.5599975585938</v>
      </c>
      <c r="E3072" t="n">
        <v>45.68000030517578</v>
      </c>
      <c r="F3072" t="n">
        <v>12.02762413024902</v>
      </c>
      <c r="G3072" t="n">
        <v>76.67605590820312</v>
      </c>
      <c r="H3072">
        <f>AVERAGE(D2873:D3072)</f>
        <v/>
      </c>
      <c r="I3072">
        <f>AVERAGE(E2873:E3072)</f>
        <v/>
      </c>
      <c r="J3072">
        <f>AVERAGE(F2873:F3072)</f>
        <v/>
      </c>
    </row>
    <row r="3073">
      <c r="C3073" s="539" t="n">
        <v>43908</v>
      </c>
      <c r="D3073" t="n">
        <v>140.6999969482422</v>
      </c>
      <c r="E3073" t="n">
        <v>37.68000030517578</v>
      </c>
      <c r="F3073" t="n">
        <v>12.09821891784668</v>
      </c>
      <c r="G3073" t="n">
        <v>76.69275665283203</v>
      </c>
      <c r="H3073">
        <f>AVERAGE(D2874:D3073)</f>
        <v/>
      </c>
      <c r="I3073">
        <f>AVERAGE(E2874:E3073)</f>
        <v/>
      </c>
      <c r="J3073">
        <f>AVERAGE(F2874:F3073)</f>
        <v/>
      </c>
    </row>
    <row r="3074">
      <c r="C3074" s="539" t="n">
        <v>43909</v>
      </c>
      <c r="D3074" t="n">
        <v>138.0399932861328</v>
      </c>
      <c r="E3074" t="n">
        <v>42.95999908447266</v>
      </c>
      <c r="F3074" t="n">
        <v>12.2482328414917</v>
      </c>
      <c r="G3074" t="n">
        <v>76.67605590820312</v>
      </c>
      <c r="H3074">
        <f>AVERAGE(D2875:D3074)</f>
        <v/>
      </c>
      <c r="I3074">
        <f>AVERAGE(E2875:E3074)</f>
        <v/>
      </c>
      <c r="J3074">
        <f>AVERAGE(F2875:F3074)</f>
        <v/>
      </c>
    </row>
    <row r="3075">
      <c r="C3075" s="539" t="n">
        <v>43910</v>
      </c>
      <c r="D3075" t="n">
        <v>140.1100006103516</v>
      </c>
      <c r="E3075" t="n">
        <v>39.52000045776367</v>
      </c>
      <c r="F3075" t="n">
        <v>12.34530162811279</v>
      </c>
      <c r="G3075" t="n">
        <v>76.701171875</v>
      </c>
      <c r="H3075">
        <f>AVERAGE(D2876:D3075)</f>
        <v/>
      </c>
      <c r="I3075">
        <f>AVERAGE(E2876:E3075)</f>
        <v/>
      </c>
      <c r="J3075">
        <f>AVERAGE(F2876:F3075)</f>
        <v/>
      </c>
    </row>
    <row r="3076">
      <c r="C3076" s="539" t="n">
        <v>43913</v>
      </c>
      <c r="D3076" t="n">
        <v>146.3000030517578</v>
      </c>
      <c r="E3076" t="n">
        <v>39.04000091552734</v>
      </c>
      <c r="F3076" t="n">
        <v>12.65415477752686</v>
      </c>
      <c r="G3076" t="n">
        <v>76.68440246582031</v>
      </c>
      <c r="H3076">
        <f>AVERAGE(D2877:D3076)</f>
        <v/>
      </c>
      <c r="I3076">
        <f>AVERAGE(E2877:E3076)</f>
        <v/>
      </c>
      <c r="J3076">
        <f>AVERAGE(F2877:F3076)</f>
        <v/>
      </c>
    </row>
    <row r="3077">
      <c r="C3077" s="539" t="n">
        <v>43914</v>
      </c>
      <c r="D3077" t="n">
        <v>153.3999938964844</v>
      </c>
      <c r="E3077" t="n">
        <v>39.84000015258789</v>
      </c>
      <c r="F3077" t="n">
        <v>12.97183227539062</v>
      </c>
      <c r="G3077" t="n">
        <v>76.68440246582031</v>
      </c>
      <c r="H3077">
        <f>AVERAGE(D2878:D3077)</f>
        <v/>
      </c>
      <c r="I3077">
        <f>AVERAGE(E2878:E3077)</f>
        <v/>
      </c>
      <c r="J3077">
        <f>AVERAGE(F2878:F3077)</f>
        <v/>
      </c>
    </row>
    <row r="3078">
      <c r="C3078" s="539" t="n">
        <v>43915</v>
      </c>
      <c r="D3078" t="n">
        <v>151.3000030517578</v>
      </c>
      <c r="E3078" t="n">
        <v>40.63999938964844</v>
      </c>
      <c r="F3078" t="n">
        <v>12.95418453216553</v>
      </c>
      <c r="G3078" t="n">
        <v>76.68440246582031</v>
      </c>
      <c r="H3078">
        <f>AVERAGE(D2879:D3078)</f>
        <v/>
      </c>
      <c r="I3078">
        <f>AVERAGE(E2879:E3078)</f>
        <v/>
      </c>
      <c r="J3078">
        <f>AVERAGE(F2879:F3078)</f>
        <v/>
      </c>
    </row>
    <row r="3079">
      <c r="C3079" s="539" t="n">
        <v>43916</v>
      </c>
      <c r="D3079" t="n">
        <v>153.2400054931641</v>
      </c>
      <c r="E3079" t="n">
        <v>38.63999938964844</v>
      </c>
      <c r="F3079" t="n">
        <v>12.76887226104736</v>
      </c>
      <c r="G3079" t="n">
        <v>76.68440246582031</v>
      </c>
      <c r="H3079">
        <f>AVERAGE(D2880:D3079)</f>
        <v/>
      </c>
      <c r="I3079">
        <f>AVERAGE(E2880:E3079)</f>
        <v/>
      </c>
      <c r="J3079">
        <f>AVERAGE(F2880:F3079)</f>
        <v/>
      </c>
    </row>
    <row r="3080">
      <c r="C3080" s="539" t="n">
        <v>43917</v>
      </c>
      <c r="D3080" t="n">
        <v>152.25</v>
      </c>
      <c r="E3080" t="n">
        <v>35.7599983215332</v>
      </c>
      <c r="F3080" t="n">
        <v>12.46884346008301</v>
      </c>
      <c r="G3080" t="n">
        <v>76.66767883300781</v>
      </c>
      <c r="H3080">
        <f>AVERAGE(D2881:D3080)</f>
        <v/>
      </c>
      <c r="I3080">
        <f>AVERAGE(E2881:E3080)</f>
        <v/>
      </c>
      <c r="J3080">
        <f>AVERAGE(F2881:F3080)</f>
        <v/>
      </c>
    </row>
    <row r="3081">
      <c r="C3081" s="539" t="n">
        <v>43920</v>
      </c>
      <c r="D3081" t="n">
        <v>152.9199981689453</v>
      </c>
      <c r="E3081" t="n">
        <v>33.84000015258789</v>
      </c>
      <c r="F3081" t="n">
        <v>12.37177562713623</v>
      </c>
      <c r="G3081" t="n">
        <v>76.66767883300781</v>
      </c>
      <c r="H3081">
        <f>AVERAGE(D2882:D3081)</f>
        <v/>
      </c>
      <c r="I3081">
        <f>AVERAGE(E2882:E3081)</f>
        <v/>
      </c>
      <c r="J3081">
        <f>AVERAGE(F2882:F3081)</f>
        <v/>
      </c>
    </row>
    <row r="3082">
      <c r="C3082" s="539" t="n">
        <v>43921</v>
      </c>
      <c r="D3082" t="n">
        <v>148.0500030517578</v>
      </c>
      <c r="E3082" t="n">
        <v>33.68000030517578</v>
      </c>
      <c r="F3082" t="n">
        <v>12.41589736938477</v>
      </c>
      <c r="G3082" t="n">
        <v>76.67605590820312</v>
      </c>
      <c r="H3082">
        <f>AVERAGE(D2883:D3082)</f>
        <v/>
      </c>
      <c r="I3082">
        <f>AVERAGE(E2883:E3082)</f>
        <v/>
      </c>
      <c r="J3082">
        <f>AVERAGE(F2883:F3082)</f>
        <v/>
      </c>
    </row>
    <row r="3083">
      <c r="C3083" s="539" t="n">
        <v>43922</v>
      </c>
      <c r="D3083" t="n">
        <v>149.4499969482422</v>
      </c>
      <c r="E3083" t="n">
        <v>35.04000091552734</v>
      </c>
      <c r="F3083" t="n">
        <v>12.02762413024902</v>
      </c>
      <c r="G3083" t="n">
        <v>76.66936492919922</v>
      </c>
      <c r="H3083">
        <f>AVERAGE(D2884:D3083)</f>
        <v/>
      </c>
      <c r="I3083">
        <f>AVERAGE(E2884:E3083)</f>
        <v/>
      </c>
      <c r="J3083">
        <f>AVERAGE(F2884:F3083)</f>
        <v/>
      </c>
    </row>
    <row r="3084">
      <c r="C3084" s="539" t="n">
        <v>43923</v>
      </c>
      <c r="D3084" t="n">
        <v>151.8999938964844</v>
      </c>
      <c r="E3084" t="n">
        <v>40.88000106811523</v>
      </c>
      <c r="F3084" t="n">
        <v>12.00115203857422</v>
      </c>
      <c r="G3084" t="n">
        <v>76.677734375</v>
      </c>
      <c r="H3084">
        <f>AVERAGE(D2885:D3084)</f>
        <v/>
      </c>
      <c r="I3084">
        <f>AVERAGE(E2885:E3084)</f>
        <v/>
      </c>
      <c r="J3084">
        <f>AVERAGE(F2885:F3084)</f>
        <v/>
      </c>
    </row>
    <row r="3085">
      <c r="C3085" s="539" t="n">
        <v>43924</v>
      </c>
      <c r="D3085" t="n">
        <v>152.6499938964844</v>
      </c>
      <c r="E3085" t="n">
        <v>47.20000076293945</v>
      </c>
      <c r="F3085" t="n">
        <v>11.86878490447998</v>
      </c>
      <c r="G3085" t="n">
        <v>76.65261077880859</v>
      </c>
      <c r="H3085">
        <f>AVERAGE(D2886:D3085)</f>
        <v/>
      </c>
      <c r="I3085">
        <f>AVERAGE(E2886:E3085)</f>
        <v/>
      </c>
      <c r="J3085">
        <f>AVERAGE(F2886:F3085)</f>
        <v/>
      </c>
    </row>
    <row r="3086">
      <c r="C3086" s="539" t="n">
        <v>43927</v>
      </c>
      <c r="D3086" t="n">
        <v>156.8800048828125</v>
      </c>
      <c r="E3086" t="n">
        <v>43.84000015258789</v>
      </c>
      <c r="F3086" t="n">
        <v>12.02762413024902</v>
      </c>
      <c r="G3086" t="n">
        <v>76.66098022460938</v>
      </c>
      <c r="H3086">
        <f>AVERAGE(D2887:D3086)</f>
        <v/>
      </c>
      <c r="I3086">
        <f>AVERAGE(E2887:E3086)</f>
        <v/>
      </c>
      <c r="J3086">
        <f>AVERAGE(F2887:F3086)</f>
        <v/>
      </c>
    </row>
    <row r="3087">
      <c r="C3087" s="539" t="n">
        <v>43928</v>
      </c>
      <c r="D3087" t="n">
        <v>156.0399932861328</v>
      </c>
      <c r="E3087" t="n">
        <v>40.72000122070312</v>
      </c>
      <c r="F3087" t="n">
        <v>12.2482328414917</v>
      </c>
      <c r="G3087" t="n">
        <v>76.64423370361328</v>
      </c>
      <c r="H3087">
        <f>AVERAGE(D2888:D3087)</f>
        <v/>
      </c>
      <c r="I3087">
        <f>AVERAGE(E2888:E3087)</f>
        <v/>
      </c>
      <c r="J3087">
        <f>AVERAGE(F2888:F3087)</f>
        <v/>
      </c>
    </row>
    <row r="3088">
      <c r="C3088" s="539" t="n">
        <v>43929</v>
      </c>
      <c r="D3088" t="n">
        <v>154.6499938964844</v>
      </c>
      <c r="E3088" t="n">
        <v>42.95999908447266</v>
      </c>
      <c r="F3088" t="n">
        <v>12.29235553741455</v>
      </c>
      <c r="G3088" t="n">
        <v>76.65261077880859</v>
      </c>
      <c r="H3088">
        <f>AVERAGE(D2889:D3088)</f>
        <v/>
      </c>
      <c r="I3088">
        <f>AVERAGE(E2889:E3088)</f>
        <v/>
      </c>
      <c r="J3088">
        <f>AVERAGE(F2889:F3088)</f>
        <v/>
      </c>
    </row>
    <row r="3089">
      <c r="C3089" s="539" t="n">
        <v>43930</v>
      </c>
      <c r="D3089" t="n">
        <v>158.6900024414062</v>
      </c>
      <c r="E3089" t="n">
        <v>39.84000015258789</v>
      </c>
      <c r="F3089" t="n">
        <v>12.15998935699463</v>
      </c>
      <c r="G3089" t="n">
        <v>76.63584136962891</v>
      </c>
      <c r="H3089">
        <f>AVERAGE(D2890:D3089)</f>
        <v/>
      </c>
      <c r="I3089">
        <f>AVERAGE(E2890:E3089)</f>
        <v/>
      </c>
      <c r="J3089">
        <f>AVERAGE(F2890:F3089)</f>
        <v/>
      </c>
    </row>
    <row r="3090">
      <c r="C3090" s="539" t="n">
        <v>43934</v>
      </c>
      <c r="D3090" t="n">
        <v>161.4100036621094</v>
      </c>
      <c r="E3090" t="n">
        <v>39.43999862670898</v>
      </c>
      <c r="F3090" t="n">
        <v>11.98350238800049</v>
      </c>
      <c r="G3090" t="n">
        <v>76.65261077880859</v>
      </c>
      <c r="H3090">
        <f>AVERAGE(D2891:D3090)</f>
        <v/>
      </c>
      <c r="I3090">
        <f>AVERAGE(E2891:E3090)</f>
        <v/>
      </c>
      <c r="J3090">
        <f>AVERAGE(F2891:F3090)</f>
        <v/>
      </c>
    </row>
    <row r="3091">
      <c r="C3091" s="539" t="n">
        <v>43935</v>
      </c>
      <c r="D3091" t="n">
        <v>162.6799926757812</v>
      </c>
      <c r="E3091" t="n">
        <v>37.27999877929688</v>
      </c>
      <c r="F3091" t="n">
        <v>12.00115203857422</v>
      </c>
      <c r="G3091" t="n">
        <v>76.66098022460938</v>
      </c>
      <c r="H3091">
        <f>AVERAGE(D2892:D3091)</f>
        <v/>
      </c>
      <c r="I3091">
        <f>AVERAGE(E2892:E3091)</f>
        <v/>
      </c>
      <c r="J3091">
        <f>AVERAGE(F2892:F3091)</f>
        <v/>
      </c>
    </row>
    <row r="3092">
      <c r="C3092" s="539" t="n">
        <v>43936</v>
      </c>
      <c r="D3092" t="n">
        <v>161.8500061035156</v>
      </c>
      <c r="E3092" t="n">
        <v>35.43999862670898</v>
      </c>
      <c r="F3092" t="n">
        <v>11.93937969207764</v>
      </c>
      <c r="G3092" t="n">
        <v>76.65261077880859</v>
      </c>
      <c r="H3092">
        <f>AVERAGE(D2893:D3092)</f>
        <v/>
      </c>
      <c r="I3092">
        <f>AVERAGE(E2893:E3092)</f>
        <v/>
      </c>
      <c r="J3092">
        <f>AVERAGE(F2893:F3092)</f>
        <v/>
      </c>
    </row>
    <row r="3093">
      <c r="C3093" s="539" t="n">
        <v>43937</v>
      </c>
      <c r="D3093" t="n">
        <v>161.7100067138672</v>
      </c>
      <c r="E3093" t="n">
        <v>34.88000106811523</v>
      </c>
      <c r="F3093" t="n">
        <v>11.90408325195312</v>
      </c>
      <c r="G3093" t="n">
        <v>76.64423370361328</v>
      </c>
      <c r="H3093">
        <f>AVERAGE(D2894:D3093)</f>
        <v/>
      </c>
      <c r="I3093">
        <f>AVERAGE(E2894:E3093)</f>
        <v/>
      </c>
      <c r="J3093">
        <f>AVERAGE(F2894:F3093)</f>
        <v/>
      </c>
    </row>
    <row r="3094">
      <c r="C3094" s="539" t="n">
        <v>43938</v>
      </c>
      <c r="D3094" t="n">
        <v>158.5700073242188</v>
      </c>
      <c r="E3094" t="n">
        <v>33.68000030517578</v>
      </c>
      <c r="F3094" t="n">
        <v>12.04527378082275</v>
      </c>
      <c r="G3094" t="n">
        <v>76.66098022460938</v>
      </c>
      <c r="H3094">
        <f>AVERAGE(D2895:D3094)</f>
        <v/>
      </c>
      <c r="I3094">
        <f>AVERAGE(E2895:E3094)</f>
        <v/>
      </c>
      <c r="J3094">
        <f>AVERAGE(F2895:F3094)</f>
        <v/>
      </c>
    </row>
    <row r="3095">
      <c r="C3095" s="539" t="n">
        <v>43941</v>
      </c>
      <c r="D3095" t="n">
        <v>159.6999969482422</v>
      </c>
      <c r="E3095" t="n">
        <v>30</v>
      </c>
      <c r="F3095" t="n">
        <v>11.93937969207764</v>
      </c>
      <c r="G3095" t="n">
        <v>76.65261077880859</v>
      </c>
      <c r="H3095">
        <f>AVERAGE(D2896:D3095)</f>
        <v/>
      </c>
      <c r="I3095">
        <f>AVERAGE(E2896:E3095)</f>
        <v/>
      </c>
      <c r="J3095">
        <f>AVERAGE(F2896:F3095)</f>
        <v/>
      </c>
    </row>
    <row r="3096">
      <c r="C3096" s="539" t="n">
        <v>43942</v>
      </c>
      <c r="D3096" t="n">
        <v>158.6100006103516</v>
      </c>
      <c r="E3096" t="n">
        <v>22.47999954223633</v>
      </c>
      <c r="F3096" t="n">
        <v>11.82466316223145</v>
      </c>
      <c r="G3096" t="n">
        <v>76.65261077880859</v>
      </c>
      <c r="H3096">
        <f>AVERAGE(D2897:D3096)</f>
        <v/>
      </c>
      <c r="I3096">
        <f>AVERAGE(E2897:E3096)</f>
        <v/>
      </c>
      <c r="J3096">
        <f>AVERAGE(F2897:F3096)</f>
        <v/>
      </c>
    </row>
    <row r="3097">
      <c r="C3097" s="539" t="n">
        <v>43943</v>
      </c>
      <c r="D3097" t="n">
        <v>161.7299957275391</v>
      </c>
      <c r="E3097" t="n">
        <v>20.07999992370605</v>
      </c>
      <c r="F3097" t="n">
        <v>11.85113716125488</v>
      </c>
      <c r="G3097" t="n">
        <v>76.65261077880859</v>
      </c>
      <c r="H3097">
        <f>AVERAGE(D2898:D3097)</f>
        <v/>
      </c>
      <c r="I3097">
        <f>AVERAGE(E2898:E3097)</f>
        <v/>
      </c>
      <c r="J3097">
        <f>AVERAGE(F2898:F3097)</f>
        <v/>
      </c>
    </row>
    <row r="3098">
      <c r="C3098" s="539" t="n">
        <v>43944</v>
      </c>
      <c r="D3098" t="n">
        <v>163.3399963378906</v>
      </c>
      <c r="E3098" t="n">
        <v>21.1200008392334</v>
      </c>
      <c r="F3098" t="n">
        <v>11.96585464477539</v>
      </c>
      <c r="G3098" t="n">
        <v>76.66098022460938</v>
      </c>
      <c r="H3098">
        <f>AVERAGE(D2899:D3098)</f>
        <v/>
      </c>
      <c r="I3098">
        <f>AVERAGE(E2899:E3098)</f>
        <v/>
      </c>
      <c r="J3098">
        <f>AVERAGE(F2899:F3098)</f>
        <v/>
      </c>
    </row>
    <row r="3099">
      <c r="C3099" s="539" t="n">
        <v>43945</v>
      </c>
      <c r="D3099" t="n">
        <v>162.6399993896484</v>
      </c>
      <c r="E3099" t="n">
        <v>20.55999946594238</v>
      </c>
      <c r="F3099" t="n">
        <v>11.75406932830811</v>
      </c>
      <c r="G3099" t="n">
        <v>76.65261077880859</v>
      </c>
      <c r="H3099">
        <f>AVERAGE(D2900:D3099)</f>
        <v/>
      </c>
      <c r="I3099">
        <f>AVERAGE(E2900:E3099)</f>
        <v/>
      </c>
      <c r="J3099">
        <f>AVERAGE(F2900:F3099)</f>
        <v/>
      </c>
    </row>
    <row r="3100">
      <c r="C3100" s="539" t="n">
        <v>43948</v>
      </c>
      <c r="D3100" t="n">
        <v>161.5599975585938</v>
      </c>
      <c r="E3100" t="n">
        <v>17.52000045776367</v>
      </c>
      <c r="F3100" t="n">
        <v>11.67464828491211</v>
      </c>
      <c r="G3100" t="n">
        <v>76.65261077880859</v>
      </c>
      <c r="H3100">
        <f>AVERAGE(D2901:D3100)</f>
        <v/>
      </c>
      <c r="I3100">
        <f>AVERAGE(E2901:E3100)</f>
        <v/>
      </c>
      <c r="J3100">
        <f>AVERAGE(F2901:F3100)</f>
        <v/>
      </c>
    </row>
    <row r="3101">
      <c r="C3101" s="539" t="n">
        <v>43949</v>
      </c>
      <c r="D3101" t="n">
        <v>160.8399963378906</v>
      </c>
      <c r="E3101" t="n">
        <v>17.04000091552734</v>
      </c>
      <c r="F3101" t="n">
        <v>11.78054237365723</v>
      </c>
      <c r="G3101" t="n">
        <v>76.65261077880859</v>
      </c>
      <c r="H3101">
        <f>AVERAGE(D2902:D3101)</f>
        <v/>
      </c>
      <c r="I3101">
        <f>AVERAGE(E2902:E3101)</f>
        <v/>
      </c>
      <c r="J3101">
        <f>AVERAGE(F2902:F3101)</f>
        <v/>
      </c>
    </row>
    <row r="3102">
      <c r="C3102" s="539" t="n">
        <v>43950</v>
      </c>
      <c r="D3102" t="n">
        <v>161.7299957275391</v>
      </c>
      <c r="E3102" t="n">
        <v>18</v>
      </c>
      <c r="F3102" t="n">
        <v>11.79819107055664</v>
      </c>
      <c r="G3102" t="n">
        <v>76.64423370361328</v>
      </c>
      <c r="H3102">
        <f>AVERAGE(D2903:D3102)</f>
        <v/>
      </c>
      <c r="I3102">
        <f>AVERAGE(E2903:E3102)</f>
        <v/>
      </c>
      <c r="J3102">
        <f>AVERAGE(F2903:F3102)</f>
        <v/>
      </c>
    </row>
    <row r="3103">
      <c r="C3103" s="539" t="n">
        <v>43951</v>
      </c>
      <c r="D3103" t="n">
        <v>158.8000030517578</v>
      </c>
      <c r="E3103" t="n">
        <v>19.1200008392334</v>
      </c>
      <c r="F3103" t="n">
        <v>12.08056926727295</v>
      </c>
      <c r="G3103" t="n">
        <v>76.66098022460938</v>
      </c>
      <c r="H3103">
        <f>AVERAGE(D2904:D3103)</f>
        <v/>
      </c>
      <c r="I3103">
        <f>AVERAGE(E2904:E3103)</f>
        <v/>
      </c>
      <c r="J3103">
        <f>AVERAGE(F2904:F3103)</f>
        <v/>
      </c>
    </row>
    <row r="3104">
      <c r="C3104" s="539" t="n">
        <v>43952</v>
      </c>
      <c r="D3104" t="n">
        <v>159.7799987792969</v>
      </c>
      <c r="E3104" t="n">
        <v>18.86000061035156</v>
      </c>
      <c r="F3104" t="n">
        <v>12.11586761474609</v>
      </c>
      <c r="G3104" t="n">
        <v>76.6475830078125</v>
      </c>
      <c r="H3104">
        <f>AVERAGE(D2905:D3104)</f>
        <v/>
      </c>
      <c r="I3104">
        <f>AVERAGE(E2905:E3104)</f>
        <v/>
      </c>
      <c r="J3104">
        <f>AVERAGE(F2905:F3104)</f>
        <v/>
      </c>
    </row>
    <row r="3105">
      <c r="C3105" s="539" t="n">
        <v>43955</v>
      </c>
      <c r="D3105" t="n">
        <v>160.3399963378906</v>
      </c>
      <c r="E3105" t="n">
        <v>19.67000007629395</v>
      </c>
      <c r="F3105" t="n">
        <v>12.07174682617188</v>
      </c>
      <c r="G3105" t="n">
        <v>76.6475830078125</v>
      </c>
      <c r="H3105">
        <f>AVERAGE(D2906:D3105)</f>
        <v/>
      </c>
      <c r="I3105">
        <f>AVERAGE(E2906:E3105)</f>
        <v/>
      </c>
      <c r="J3105">
        <f>AVERAGE(F2906:F3105)</f>
        <v/>
      </c>
    </row>
    <row r="3106">
      <c r="C3106" s="539" t="n">
        <v>43956</v>
      </c>
      <c r="D3106" t="n">
        <v>161.0200042724609</v>
      </c>
      <c r="E3106" t="n">
        <v>21.51000022888184</v>
      </c>
      <c r="F3106" t="n">
        <v>12.05409717559814</v>
      </c>
      <c r="G3106" t="n">
        <v>76.6475830078125</v>
      </c>
      <c r="H3106">
        <f>AVERAGE(D2907:D3106)</f>
        <v/>
      </c>
      <c r="I3106">
        <f>AVERAGE(E2907:E3106)</f>
        <v/>
      </c>
      <c r="J3106">
        <f>AVERAGE(F2907:F3106)</f>
        <v/>
      </c>
    </row>
    <row r="3107">
      <c r="C3107" s="539" t="n">
        <v>43957</v>
      </c>
      <c r="D3107" t="n">
        <v>158.9499969482422</v>
      </c>
      <c r="E3107" t="n">
        <v>20.85000038146973</v>
      </c>
      <c r="F3107" t="n">
        <v>12.05409717559814</v>
      </c>
      <c r="G3107" t="n">
        <v>76.65596008300781</v>
      </c>
      <c r="H3107">
        <f>AVERAGE(D2908:D3107)</f>
        <v/>
      </c>
      <c r="I3107">
        <f>AVERAGE(E2908:E3107)</f>
        <v/>
      </c>
      <c r="J3107">
        <f>AVERAGE(F2908:F3107)</f>
        <v/>
      </c>
    </row>
    <row r="3108">
      <c r="C3108" s="539" t="n">
        <v>43958</v>
      </c>
      <c r="D3108" t="n">
        <v>161.3899993896484</v>
      </c>
      <c r="E3108" t="n">
        <v>20.46999931335449</v>
      </c>
      <c r="F3108" t="n">
        <v>12.22176170349121</v>
      </c>
      <c r="G3108" t="n">
        <v>76.6475830078125</v>
      </c>
      <c r="H3108">
        <f>AVERAGE(D2909:D3108)</f>
        <v/>
      </c>
      <c r="I3108">
        <f>AVERAGE(E2909:E3108)</f>
        <v/>
      </c>
      <c r="J3108">
        <f>AVERAGE(F2909:F3108)</f>
        <v/>
      </c>
    </row>
    <row r="3109">
      <c r="C3109" s="539" t="n">
        <v>43959</v>
      </c>
      <c r="D3109" t="n">
        <v>160.4199981689453</v>
      </c>
      <c r="E3109" t="n">
        <v>21.46999931335449</v>
      </c>
      <c r="F3109" t="n">
        <v>12.23940944671631</v>
      </c>
      <c r="G3109" t="n">
        <v>76.6475830078125</v>
      </c>
      <c r="H3109">
        <f>AVERAGE(D2910:D3109)</f>
        <v/>
      </c>
      <c r="I3109">
        <f>AVERAGE(E2910:E3109)</f>
        <v/>
      </c>
      <c r="J3109">
        <f>AVERAGE(F2910:F3109)</f>
        <v/>
      </c>
    </row>
    <row r="3110">
      <c r="C3110" s="539" t="n">
        <v>43962</v>
      </c>
      <c r="D3110" t="n">
        <v>159.4199981689453</v>
      </c>
      <c r="E3110" t="n">
        <v>21.17000007629395</v>
      </c>
      <c r="F3110" t="n">
        <v>12.13351726531982</v>
      </c>
      <c r="G3110" t="n">
        <v>76.65596008300781</v>
      </c>
      <c r="H3110">
        <f>AVERAGE(D2911:D3110)</f>
        <v/>
      </c>
      <c r="I3110">
        <f>AVERAGE(E2911:E3110)</f>
        <v/>
      </c>
      <c r="J3110">
        <f>AVERAGE(F2911:F3110)</f>
        <v/>
      </c>
    </row>
    <row r="3111">
      <c r="C3111" s="539" t="n">
        <v>43963</v>
      </c>
      <c r="D3111" t="n">
        <v>160.0399932861328</v>
      </c>
      <c r="E3111" t="n">
        <v>20.96999931335449</v>
      </c>
      <c r="F3111" t="n">
        <v>12.14234161376953</v>
      </c>
      <c r="G3111" t="n">
        <v>76.65596008300781</v>
      </c>
      <c r="H3111">
        <f>AVERAGE(D2912:D3111)</f>
        <v/>
      </c>
      <c r="I3111">
        <f>AVERAGE(E2912:E3111)</f>
        <v/>
      </c>
      <c r="J3111">
        <f>AVERAGE(F2912:F3111)</f>
        <v/>
      </c>
    </row>
    <row r="3112">
      <c r="C3112" s="539" t="n">
        <v>43964</v>
      </c>
      <c r="D3112" t="n">
        <v>161.5800018310547</v>
      </c>
      <c r="E3112" t="n">
        <v>20.60000038146973</v>
      </c>
      <c r="F3112" t="n">
        <v>11.95702934265137</v>
      </c>
      <c r="G3112" t="n">
        <v>76.65596008300781</v>
      </c>
      <c r="H3112">
        <f>AVERAGE(D2913:D3112)</f>
        <v/>
      </c>
      <c r="I3112">
        <f>AVERAGE(E2913:E3112)</f>
        <v/>
      </c>
      <c r="J3112">
        <f>AVERAGE(F2913:F3112)</f>
        <v/>
      </c>
    </row>
    <row r="3113">
      <c r="C3113" s="539" t="n">
        <v>43965</v>
      </c>
      <c r="D3113" t="n">
        <v>163.0099945068359</v>
      </c>
      <c r="E3113" t="n">
        <v>21.45000076293945</v>
      </c>
      <c r="F3113" t="n">
        <v>11.93937969207764</v>
      </c>
      <c r="G3113" t="n">
        <v>76.66433715820312</v>
      </c>
      <c r="H3113">
        <f>AVERAGE(D2914:D3113)</f>
        <v/>
      </c>
      <c r="I3113">
        <f>AVERAGE(E2914:E3113)</f>
        <v/>
      </c>
      <c r="J3113">
        <f>AVERAGE(F2914:F3113)</f>
        <v/>
      </c>
    </row>
    <row r="3114">
      <c r="C3114" s="539" t="n">
        <v>43966</v>
      </c>
      <c r="D3114" t="n">
        <v>163.9299926757812</v>
      </c>
      <c r="E3114" t="n">
        <v>22.38999938964844</v>
      </c>
      <c r="F3114" t="n">
        <v>11.93937969207764</v>
      </c>
      <c r="G3114" t="n">
        <v>76.6475830078125</v>
      </c>
      <c r="H3114">
        <f>AVERAGE(D2915:D3114)</f>
        <v/>
      </c>
      <c r="I3114">
        <f>AVERAGE(E2915:E3114)</f>
        <v/>
      </c>
      <c r="J3114">
        <f>AVERAGE(F2915:F3114)</f>
        <v/>
      </c>
    </row>
    <row r="3115">
      <c r="C3115" s="539" t="n">
        <v>43969</v>
      </c>
      <c r="D3115" t="n">
        <v>162.6900024414062</v>
      </c>
      <c r="E3115" t="n">
        <v>24.30999946594238</v>
      </c>
      <c r="F3115" t="n">
        <v>12.00997543334961</v>
      </c>
      <c r="G3115" t="n">
        <v>76.6475830078125</v>
      </c>
      <c r="H3115">
        <f>AVERAGE(D2916:D3115)</f>
        <v/>
      </c>
      <c r="I3115">
        <f>AVERAGE(E2916:E3115)</f>
        <v/>
      </c>
      <c r="J3115">
        <f>AVERAGE(F2916:F3115)</f>
        <v/>
      </c>
    </row>
    <row r="3116">
      <c r="C3116" s="539" t="n">
        <v>43970</v>
      </c>
      <c r="D3116" t="n">
        <v>164.2599945068359</v>
      </c>
      <c r="E3116" t="n">
        <v>24.44000053405762</v>
      </c>
      <c r="F3116" t="n">
        <v>12.00997543334961</v>
      </c>
      <c r="G3116" t="n">
        <v>76.6475830078125</v>
      </c>
      <c r="H3116">
        <f>AVERAGE(D2917:D3116)</f>
        <v/>
      </c>
      <c r="I3116">
        <f>AVERAGE(E2917:E3116)</f>
        <v/>
      </c>
      <c r="J3116">
        <f>AVERAGE(F2917:F3116)</f>
        <v/>
      </c>
    </row>
    <row r="3117">
      <c r="C3117" s="539" t="n">
        <v>43971</v>
      </c>
      <c r="D3117" t="n">
        <v>164.6499938964844</v>
      </c>
      <c r="E3117" t="n">
        <v>25.34000015258789</v>
      </c>
      <c r="F3117" t="n">
        <v>12.07174682617188</v>
      </c>
      <c r="G3117" t="n">
        <v>76.6475830078125</v>
      </c>
      <c r="H3117">
        <f>AVERAGE(D2918:D3117)</f>
        <v/>
      </c>
      <c r="I3117">
        <f>AVERAGE(E2918:E3117)</f>
        <v/>
      </c>
      <c r="J3117">
        <f>AVERAGE(F2918:F3117)</f>
        <v/>
      </c>
    </row>
    <row r="3118">
      <c r="C3118" s="539" t="n">
        <v>43972</v>
      </c>
      <c r="D3118" t="n">
        <v>162.25</v>
      </c>
      <c r="E3118" t="n">
        <v>26.60000038146973</v>
      </c>
      <c r="F3118" t="n">
        <v>11.97467803955078</v>
      </c>
      <c r="G3118" t="n">
        <v>76.65596008300781</v>
      </c>
      <c r="H3118">
        <f>AVERAGE(D2919:D3118)</f>
        <v/>
      </c>
      <c r="I3118">
        <f>AVERAGE(E2919:E3118)</f>
        <v/>
      </c>
      <c r="J3118">
        <f>AVERAGE(F2919:F3118)</f>
        <v/>
      </c>
    </row>
    <row r="3119">
      <c r="C3119" s="539" t="n">
        <v>43973</v>
      </c>
      <c r="D3119" t="n">
        <v>163.2100067138672</v>
      </c>
      <c r="E3119" t="n">
        <v>25.56999969482422</v>
      </c>
      <c r="F3119" t="n">
        <v>11.92173194885254</v>
      </c>
      <c r="G3119" t="n">
        <v>76.6475830078125</v>
      </c>
      <c r="H3119">
        <f>AVERAGE(D2920:D3119)</f>
        <v/>
      </c>
      <c r="I3119">
        <f>AVERAGE(E2920:E3119)</f>
        <v/>
      </c>
      <c r="J3119">
        <f>AVERAGE(F2920:F3119)</f>
        <v/>
      </c>
    </row>
    <row r="3120">
      <c r="C3120" s="539" t="n">
        <v>43977</v>
      </c>
      <c r="D3120" t="n">
        <v>160.8899993896484</v>
      </c>
      <c r="E3120" t="n">
        <v>25.65999984741211</v>
      </c>
      <c r="F3120" t="n">
        <v>12.13351726531982</v>
      </c>
      <c r="G3120" t="n">
        <v>76.65596008300781</v>
      </c>
      <c r="H3120">
        <f>AVERAGE(D2921:D3120)</f>
        <v/>
      </c>
      <c r="I3120">
        <f>AVERAGE(E2921:E3120)</f>
        <v/>
      </c>
      <c r="J3120">
        <f>AVERAGE(F2921:F3120)</f>
        <v/>
      </c>
    </row>
    <row r="3121">
      <c r="C3121" s="539" t="n">
        <v>43978</v>
      </c>
      <c r="D3121" t="n">
        <v>161.1799926757812</v>
      </c>
      <c r="E3121" t="n">
        <v>25</v>
      </c>
      <c r="F3121" t="n">
        <v>12.03644943237305</v>
      </c>
      <c r="G3121" t="n">
        <v>76.6475830078125</v>
      </c>
      <c r="H3121">
        <f>AVERAGE(D2922:D3121)</f>
        <v/>
      </c>
      <c r="I3121">
        <f>AVERAGE(E2922:E3121)</f>
        <v/>
      </c>
      <c r="J3121">
        <f>AVERAGE(F2922:F3121)</f>
        <v/>
      </c>
    </row>
    <row r="3122">
      <c r="C3122" s="539" t="n">
        <v>43979</v>
      </c>
      <c r="D3122" t="n">
        <v>161.7200012207031</v>
      </c>
      <c r="E3122" t="n">
        <v>25.03000068664551</v>
      </c>
      <c r="F3122" t="n">
        <v>12.06292247772217</v>
      </c>
      <c r="G3122" t="n">
        <v>76.6475830078125</v>
      </c>
      <c r="H3122">
        <f>AVERAGE(D2923:D3122)</f>
        <v/>
      </c>
      <c r="I3122">
        <f>AVERAGE(E2923:E3122)</f>
        <v/>
      </c>
      <c r="J3122">
        <f>AVERAGE(F2923:F3122)</f>
        <v/>
      </c>
    </row>
    <row r="3123">
      <c r="C3123" s="539" t="n">
        <v>43980</v>
      </c>
      <c r="D3123" t="n">
        <v>162.9100036621094</v>
      </c>
      <c r="E3123" t="n">
        <v>25.8799991607666</v>
      </c>
      <c r="F3123" t="n">
        <v>12.05409717559814</v>
      </c>
      <c r="G3123" t="n">
        <v>76.6475830078125</v>
      </c>
      <c r="H3123">
        <f>AVERAGE(D2924:D3123)</f>
        <v/>
      </c>
      <c r="I3123">
        <f>AVERAGE(E2924:E3123)</f>
        <v/>
      </c>
      <c r="J3123">
        <f>AVERAGE(F2924:F3123)</f>
        <v/>
      </c>
    </row>
    <row r="3124">
      <c r="C3124" s="539" t="n">
        <v>43983</v>
      </c>
      <c r="D3124" t="n">
        <v>163.6600036621094</v>
      </c>
      <c r="E3124" t="n">
        <v>26.21999931335449</v>
      </c>
      <c r="F3124" t="n">
        <v>12.06292247772217</v>
      </c>
      <c r="G3124" t="n">
        <v>76.65596008300781</v>
      </c>
      <c r="H3124">
        <f>AVERAGE(D2925:D3124)</f>
        <v/>
      </c>
      <c r="I3124">
        <f>AVERAGE(E2925:E3124)</f>
        <v/>
      </c>
      <c r="J3124">
        <f>AVERAGE(F2925:F3124)</f>
        <v/>
      </c>
    </row>
    <row r="3125">
      <c r="C3125" s="539" t="n">
        <v>43984</v>
      </c>
      <c r="D3125" t="n">
        <v>162.6000061035156</v>
      </c>
      <c r="E3125" t="n">
        <v>27.06999969482422</v>
      </c>
      <c r="F3125" t="n">
        <v>12.00115203857422</v>
      </c>
      <c r="G3125" t="n">
        <v>76.65596008300781</v>
      </c>
      <c r="H3125">
        <f>AVERAGE(D2926:D3125)</f>
        <v/>
      </c>
      <c r="I3125">
        <f>AVERAGE(E2926:E3125)</f>
        <v/>
      </c>
      <c r="J3125">
        <f>AVERAGE(F2926:F3125)</f>
        <v/>
      </c>
    </row>
    <row r="3126">
      <c r="C3126" s="539" t="n">
        <v>43985</v>
      </c>
      <c r="D3126" t="n">
        <v>159.6000061035156</v>
      </c>
      <c r="E3126" t="n">
        <v>27.1200008392334</v>
      </c>
      <c r="F3126" t="n">
        <v>12.07174682617188</v>
      </c>
      <c r="G3126" t="n">
        <v>76.65596008300781</v>
      </c>
      <c r="H3126">
        <f>AVERAGE(D2927:D3126)</f>
        <v/>
      </c>
      <c r="I3126">
        <f>AVERAGE(E2927:E3126)</f>
        <v/>
      </c>
      <c r="J3126">
        <f>AVERAGE(F2927:F3126)</f>
        <v/>
      </c>
    </row>
    <row r="3127">
      <c r="C3127" s="539" t="n">
        <v>43986</v>
      </c>
      <c r="D3127" t="n">
        <v>161.2799987792969</v>
      </c>
      <c r="E3127" t="n">
        <v>27.5</v>
      </c>
      <c r="F3127" t="n">
        <v>12.19528770446777</v>
      </c>
      <c r="G3127" t="n">
        <v>76.65596008300781</v>
      </c>
      <c r="H3127">
        <f>AVERAGE(D2928:D3127)</f>
        <v/>
      </c>
      <c r="I3127">
        <f>AVERAGE(E2928:E3127)</f>
        <v/>
      </c>
      <c r="J3127">
        <f>AVERAGE(F2928:F3127)</f>
        <v/>
      </c>
    </row>
    <row r="3128">
      <c r="C3128" s="539" t="n">
        <v>43987</v>
      </c>
      <c r="D3128" t="n">
        <v>158.0099945068359</v>
      </c>
      <c r="E3128" t="n">
        <v>28.8700008392334</v>
      </c>
      <c r="F3128" t="n">
        <v>12.22176170349121</v>
      </c>
      <c r="G3128" t="n">
        <v>76.63922882080078</v>
      </c>
      <c r="H3128">
        <f>AVERAGE(D2929:D3128)</f>
        <v/>
      </c>
      <c r="I3128">
        <f>AVERAGE(E2929:E3128)</f>
        <v/>
      </c>
      <c r="J3128">
        <f>AVERAGE(F2929:F3128)</f>
        <v/>
      </c>
    </row>
    <row r="3129">
      <c r="C3129" s="539" t="n">
        <v>43990</v>
      </c>
      <c r="D3129" t="n">
        <v>159.7200012207031</v>
      </c>
      <c r="E3129" t="n">
        <v>28.3700008392334</v>
      </c>
      <c r="F3129" t="n">
        <v>12.2129373550415</v>
      </c>
      <c r="G3129" t="n">
        <v>76.6475830078125</v>
      </c>
      <c r="H3129">
        <f>AVERAGE(D2930:D3129)</f>
        <v/>
      </c>
      <c r="I3129">
        <f>AVERAGE(E2930:E3129)</f>
        <v/>
      </c>
      <c r="J3129">
        <f>AVERAGE(F2930:F3129)</f>
        <v/>
      </c>
    </row>
    <row r="3130">
      <c r="C3130" s="539" t="n">
        <v>43991</v>
      </c>
      <c r="D3130" t="n">
        <v>161.2599945068359</v>
      </c>
      <c r="E3130" t="n">
        <v>28.42000007629395</v>
      </c>
      <c r="F3130" t="n">
        <v>12.22176170349121</v>
      </c>
      <c r="G3130" t="n">
        <v>76.6475830078125</v>
      </c>
      <c r="H3130">
        <f>AVERAGE(D2931:D3130)</f>
        <v/>
      </c>
      <c r="I3130">
        <f>AVERAGE(E2931:E3130)</f>
        <v/>
      </c>
      <c r="J3130">
        <f>AVERAGE(F2931:F3130)</f>
        <v/>
      </c>
    </row>
    <row r="3131">
      <c r="C3131" s="539" t="n">
        <v>43992</v>
      </c>
      <c r="D3131" t="n">
        <v>163.5700073242188</v>
      </c>
      <c r="E3131" t="n">
        <v>28.43000030517578</v>
      </c>
      <c r="F3131" t="n">
        <v>12.16881465911865</v>
      </c>
      <c r="G3131" t="n">
        <v>76.65596008300781</v>
      </c>
      <c r="H3131">
        <f>AVERAGE(D2932:D3131)</f>
        <v/>
      </c>
      <c r="I3131">
        <f>AVERAGE(E2932:E3131)</f>
        <v/>
      </c>
      <c r="J3131">
        <f>AVERAGE(F2932:F3131)</f>
        <v/>
      </c>
    </row>
    <row r="3132">
      <c r="C3132" s="539" t="n">
        <v>43993</v>
      </c>
      <c r="D3132" t="n">
        <v>162.3899993896484</v>
      </c>
      <c r="E3132" t="n">
        <v>26.36000061035156</v>
      </c>
      <c r="F3132" t="n">
        <v>12.00115203857422</v>
      </c>
      <c r="G3132" t="n">
        <v>76.63922882080078</v>
      </c>
      <c r="H3132">
        <f>AVERAGE(D2933:D3132)</f>
        <v/>
      </c>
      <c r="I3132">
        <f>AVERAGE(E2933:E3132)</f>
        <v/>
      </c>
      <c r="J3132">
        <f>AVERAGE(F2933:F3132)</f>
        <v/>
      </c>
    </row>
    <row r="3133">
      <c r="C3133" s="539" t="n">
        <v>43994</v>
      </c>
      <c r="D3133" t="n">
        <v>162.6199951171875</v>
      </c>
      <c r="E3133" t="n">
        <v>26.43000030517578</v>
      </c>
      <c r="F3133" t="n">
        <v>12.00997543334961</v>
      </c>
      <c r="G3133" t="n">
        <v>76.65596008300781</v>
      </c>
      <c r="H3133">
        <f>AVERAGE(D2934:D3133)</f>
        <v/>
      </c>
      <c r="I3133">
        <f>AVERAGE(E2934:E3133)</f>
        <v/>
      </c>
      <c r="J3133">
        <f>AVERAGE(F2934:F3133)</f>
        <v/>
      </c>
    </row>
    <row r="3134">
      <c r="C3134" s="539" t="n">
        <v>43997</v>
      </c>
      <c r="D3134" t="n">
        <v>162.3300018310547</v>
      </c>
      <c r="E3134" t="n">
        <v>26.97999954223633</v>
      </c>
      <c r="F3134" t="n">
        <v>11.93937969207764</v>
      </c>
      <c r="G3134" t="n">
        <v>76.65596008300781</v>
      </c>
      <c r="H3134">
        <f>AVERAGE(D2935:D3134)</f>
        <v/>
      </c>
      <c r="I3134">
        <f>AVERAGE(E2935:E3134)</f>
        <v/>
      </c>
      <c r="J3134">
        <f>AVERAGE(F2935:F3134)</f>
        <v/>
      </c>
    </row>
    <row r="3135">
      <c r="C3135" s="539" t="n">
        <v>43998</v>
      </c>
      <c r="D3135" t="n">
        <v>162.25</v>
      </c>
      <c r="E3135" t="n">
        <v>27.63999938964844</v>
      </c>
      <c r="F3135" t="n">
        <v>11.93937969207764</v>
      </c>
      <c r="G3135" t="n">
        <v>76.65596008300781</v>
      </c>
      <c r="H3135">
        <f>AVERAGE(D2936:D3135)</f>
        <v/>
      </c>
      <c r="I3135">
        <f>AVERAGE(E2936:E3135)</f>
        <v/>
      </c>
      <c r="J3135">
        <f>AVERAGE(F2936:F3135)</f>
        <v/>
      </c>
    </row>
    <row r="3136">
      <c r="C3136" s="539" t="n">
        <v>43999</v>
      </c>
      <c r="D3136" t="n">
        <v>162.5599975585938</v>
      </c>
      <c r="E3136" t="n">
        <v>27.28000068664551</v>
      </c>
      <c r="F3136" t="n">
        <v>11.93937969207764</v>
      </c>
      <c r="G3136" t="n">
        <v>76.65596008300781</v>
      </c>
      <c r="H3136">
        <f>AVERAGE(D2937:D3136)</f>
        <v/>
      </c>
      <c r="I3136">
        <f>AVERAGE(E2937:E3136)</f>
        <v/>
      </c>
      <c r="J3136">
        <f>AVERAGE(F2937:F3136)</f>
        <v/>
      </c>
    </row>
    <row r="3137">
      <c r="C3137" s="539" t="n">
        <v>44000</v>
      </c>
      <c r="D3137" t="n">
        <v>162.2400054931641</v>
      </c>
      <c r="E3137" t="n">
        <v>27.88999938964844</v>
      </c>
      <c r="F3137" t="n">
        <v>11.90408325195312</v>
      </c>
      <c r="G3137" t="n">
        <v>76.6475830078125</v>
      </c>
      <c r="H3137">
        <f>AVERAGE(D2938:D3137)</f>
        <v/>
      </c>
      <c r="I3137">
        <f>AVERAGE(E2938:E3137)</f>
        <v/>
      </c>
      <c r="J3137">
        <f>AVERAGE(F2938:F3137)</f>
        <v/>
      </c>
    </row>
    <row r="3138">
      <c r="C3138" s="539" t="n">
        <v>44001</v>
      </c>
      <c r="D3138" t="n">
        <v>164.0299987792969</v>
      </c>
      <c r="E3138" t="n">
        <v>28.22999954223633</v>
      </c>
      <c r="F3138" t="n">
        <v>11.90408325195312</v>
      </c>
      <c r="G3138" t="n">
        <v>76.6475830078125</v>
      </c>
      <c r="H3138">
        <f>AVERAGE(D2939:D3138)</f>
        <v/>
      </c>
      <c r="I3138">
        <f>AVERAGE(E2939:E3138)</f>
        <v/>
      </c>
      <c r="J3138">
        <f>AVERAGE(F2939:F3138)</f>
        <v/>
      </c>
    </row>
    <row r="3139">
      <c r="C3139" s="539" t="n">
        <v>44004</v>
      </c>
      <c r="D3139" t="n">
        <v>165.0899963378906</v>
      </c>
      <c r="E3139" t="n">
        <v>28.97999954223633</v>
      </c>
      <c r="F3139" t="n">
        <v>11.8952579498291</v>
      </c>
      <c r="G3139" t="n">
        <v>76.6475830078125</v>
      </c>
      <c r="H3139">
        <f>AVERAGE(D2940:D3139)</f>
        <v/>
      </c>
      <c r="I3139">
        <f>AVERAGE(E2940:E3139)</f>
        <v/>
      </c>
      <c r="J3139">
        <f>AVERAGE(F2940:F3139)</f>
        <v/>
      </c>
    </row>
    <row r="3140">
      <c r="C3140" s="539" t="n">
        <v>44005</v>
      </c>
      <c r="D3140" t="n">
        <v>166.4799957275391</v>
      </c>
      <c r="E3140" t="n">
        <v>28.71999931335449</v>
      </c>
      <c r="F3140" t="n">
        <v>11.91290760040283</v>
      </c>
      <c r="G3140" t="n">
        <v>76.6475830078125</v>
      </c>
      <c r="H3140">
        <f>AVERAGE(D2941:D3140)</f>
        <v/>
      </c>
      <c r="I3140">
        <f>AVERAGE(E2941:E3140)</f>
        <v/>
      </c>
      <c r="J3140">
        <f>AVERAGE(F2941:F3140)</f>
        <v/>
      </c>
    </row>
    <row r="3141">
      <c r="C3141" s="539" t="n">
        <v>44006</v>
      </c>
      <c r="D3141" t="n">
        <v>165.8999938964844</v>
      </c>
      <c r="E3141" t="n">
        <v>27.25</v>
      </c>
      <c r="F3141" t="n">
        <v>11.82466316223145</v>
      </c>
      <c r="G3141" t="n">
        <v>76.6475830078125</v>
      </c>
      <c r="H3141">
        <f>AVERAGE(D2942:D3141)</f>
        <v/>
      </c>
      <c r="I3141">
        <f>AVERAGE(E2942:E3141)</f>
        <v/>
      </c>
      <c r="J3141">
        <f>AVERAGE(F2942:F3141)</f>
        <v/>
      </c>
    </row>
    <row r="3142">
      <c r="C3142" s="539" t="n">
        <v>44007</v>
      </c>
      <c r="D3142" t="n">
        <v>165.8000030517578</v>
      </c>
      <c r="E3142" t="n">
        <v>27.94000053405762</v>
      </c>
      <c r="F3142" t="n">
        <v>11.84231376647949</v>
      </c>
      <c r="G3142" t="n">
        <v>76.65596008300781</v>
      </c>
      <c r="H3142">
        <f>AVERAGE(D2943:D3142)</f>
        <v/>
      </c>
      <c r="I3142">
        <f>AVERAGE(E2943:E3142)</f>
        <v/>
      </c>
      <c r="J3142">
        <f>AVERAGE(F2943:F3142)</f>
        <v/>
      </c>
    </row>
    <row r="3143">
      <c r="C3143" s="539" t="n">
        <v>44008</v>
      </c>
      <c r="D3143" t="n">
        <v>166.5399932861328</v>
      </c>
      <c r="E3143" t="n">
        <v>27.36000061035156</v>
      </c>
      <c r="F3143" t="n">
        <v>11.61287975311279</v>
      </c>
      <c r="G3143" t="n">
        <v>76.6475830078125</v>
      </c>
      <c r="H3143">
        <f>AVERAGE(D2944:D3143)</f>
        <v/>
      </c>
      <c r="I3143">
        <f>AVERAGE(E2944:E3143)</f>
        <v/>
      </c>
      <c r="J3143">
        <f>AVERAGE(F2944:F3143)</f>
        <v/>
      </c>
    </row>
    <row r="3144">
      <c r="C3144" s="539" t="n">
        <v>44011</v>
      </c>
      <c r="D3144" t="n">
        <v>166.6300048828125</v>
      </c>
      <c r="E3144" t="n">
        <v>28.27000045776367</v>
      </c>
      <c r="F3144" t="n">
        <v>11.78054237365723</v>
      </c>
      <c r="G3144" t="n">
        <v>76.6475830078125</v>
      </c>
      <c r="H3144">
        <f>AVERAGE(D2945:D3144)</f>
        <v/>
      </c>
      <c r="I3144">
        <f>AVERAGE(E2945:E3144)</f>
        <v/>
      </c>
      <c r="J3144">
        <f>AVERAGE(F2945:F3144)</f>
        <v/>
      </c>
    </row>
    <row r="3145">
      <c r="C3145" s="539" t="n">
        <v>44012</v>
      </c>
      <c r="D3145" t="n">
        <v>167.3699951171875</v>
      </c>
      <c r="E3145" t="n">
        <v>28.05999946594238</v>
      </c>
      <c r="F3145" t="n">
        <v>11.92173194885254</v>
      </c>
      <c r="G3145" t="n">
        <v>76.6475830078125</v>
      </c>
      <c r="H3145">
        <f>AVERAGE(D2946:D3145)</f>
        <v/>
      </c>
      <c r="I3145">
        <f>AVERAGE(E2946:E3145)</f>
        <v/>
      </c>
      <c r="J3145">
        <f>AVERAGE(F2946:F3145)</f>
        <v/>
      </c>
    </row>
    <row r="3146">
      <c r="C3146" s="539" t="n">
        <v>44013</v>
      </c>
      <c r="D3146" t="n">
        <v>166.6199951171875</v>
      </c>
      <c r="E3146" t="n">
        <v>28.35000038146973</v>
      </c>
      <c r="F3146" t="n">
        <v>12.07174682617188</v>
      </c>
      <c r="G3146" t="n">
        <v>76.6475830078125</v>
      </c>
      <c r="H3146">
        <f>AVERAGE(D2947:D3146)</f>
        <v/>
      </c>
      <c r="I3146">
        <f>AVERAGE(E2947:E3146)</f>
        <v/>
      </c>
      <c r="J3146">
        <f>AVERAGE(F2947:F3146)</f>
        <v/>
      </c>
    </row>
    <row r="3147">
      <c r="C3147" s="539" t="n">
        <v>44014</v>
      </c>
      <c r="D3147" t="n">
        <v>166.9799957275391</v>
      </c>
      <c r="E3147" t="n">
        <v>28.75</v>
      </c>
      <c r="F3147" t="n">
        <v>12.02762413024902</v>
      </c>
      <c r="G3147" t="n">
        <v>76.65596008300781</v>
      </c>
      <c r="H3147">
        <f>AVERAGE(D2948:D3147)</f>
        <v/>
      </c>
      <c r="I3147">
        <f>AVERAGE(E2948:E3147)</f>
        <v/>
      </c>
      <c r="J3147">
        <f>AVERAGE(F2948:F3147)</f>
        <v/>
      </c>
    </row>
    <row r="3148">
      <c r="C3148" s="539" t="n">
        <v>44018</v>
      </c>
      <c r="D3148" t="n">
        <v>167.9799957275391</v>
      </c>
      <c r="E3148" t="n">
        <v>28.95999908447266</v>
      </c>
      <c r="F3148" t="n">
        <v>11.96585464477539</v>
      </c>
      <c r="G3148" t="n">
        <v>76.6475830078125</v>
      </c>
      <c r="H3148">
        <f>AVERAGE(D2949:D3148)</f>
        <v/>
      </c>
      <c r="I3148">
        <f>AVERAGE(E2949:E3148)</f>
        <v/>
      </c>
      <c r="J3148">
        <f>AVERAGE(F2949:F3148)</f>
        <v/>
      </c>
    </row>
    <row r="3149">
      <c r="C3149" s="539" t="n">
        <v>44019</v>
      </c>
      <c r="D3149" t="n">
        <v>169.0399932861328</v>
      </c>
      <c r="E3149" t="n">
        <v>28.79000091552734</v>
      </c>
      <c r="F3149" t="n">
        <v>12.00997543334961</v>
      </c>
      <c r="G3149" t="n">
        <v>76.6475830078125</v>
      </c>
      <c r="H3149">
        <f>AVERAGE(D2950:D3149)</f>
        <v/>
      </c>
      <c r="I3149">
        <f>AVERAGE(E2950:E3149)</f>
        <v/>
      </c>
      <c r="J3149">
        <f>AVERAGE(F2950:F3149)</f>
        <v/>
      </c>
    </row>
    <row r="3150">
      <c r="C3150" s="539" t="n">
        <v>44020</v>
      </c>
      <c r="D3150" t="n">
        <v>170.0899963378906</v>
      </c>
      <c r="E3150" t="n">
        <v>29.18000030517578</v>
      </c>
      <c r="F3150" t="n">
        <v>12.05409717559814</v>
      </c>
      <c r="G3150" t="n">
        <v>76.6475830078125</v>
      </c>
      <c r="H3150">
        <f>AVERAGE(D2951:D3150)</f>
        <v/>
      </c>
      <c r="I3150">
        <f>AVERAGE(E2951:E3150)</f>
        <v/>
      </c>
      <c r="J3150">
        <f>AVERAGE(F2951:F3150)</f>
        <v/>
      </c>
    </row>
    <row r="3151">
      <c r="C3151" s="539" t="n">
        <v>44021</v>
      </c>
      <c r="D3151" t="n">
        <v>169.6300048828125</v>
      </c>
      <c r="E3151" t="n">
        <v>28.40999984741211</v>
      </c>
      <c r="F3151" t="n">
        <v>12.09821891784668</v>
      </c>
      <c r="G3151" t="n">
        <v>76.6475830078125</v>
      </c>
      <c r="H3151">
        <f>AVERAGE(D2952:D3151)</f>
        <v/>
      </c>
      <c r="I3151">
        <f>AVERAGE(E2952:E3151)</f>
        <v/>
      </c>
      <c r="J3151">
        <f>AVERAGE(F2952:F3151)</f>
        <v/>
      </c>
    </row>
    <row r="3152">
      <c r="C3152" s="539" t="n">
        <v>44022</v>
      </c>
      <c r="D3152" t="n">
        <v>169.1900024414062</v>
      </c>
      <c r="E3152" t="n">
        <v>29.03000068664551</v>
      </c>
      <c r="F3152" t="n">
        <v>11.96585464477539</v>
      </c>
      <c r="G3152" t="n">
        <v>76.65596008300781</v>
      </c>
      <c r="H3152">
        <f>AVERAGE(D2953:D3152)</f>
        <v/>
      </c>
      <c r="I3152">
        <f>AVERAGE(E2953:E3152)</f>
        <v/>
      </c>
      <c r="J3152">
        <f>AVERAGE(F2953:F3152)</f>
        <v/>
      </c>
    </row>
    <row r="3153">
      <c r="C3153" s="539" t="n">
        <v>44025</v>
      </c>
      <c r="D3153" t="n">
        <v>169.3999938964844</v>
      </c>
      <c r="E3153" t="n">
        <v>28.5</v>
      </c>
      <c r="F3153" t="n">
        <v>11.85996055603027</v>
      </c>
      <c r="G3153" t="n">
        <v>76.65596008300781</v>
      </c>
      <c r="H3153">
        <f>AVERAGE(D2954:D3153)</f>
        <v/>
      </c>
      <c r="I3153">
        <f>AVERAGE(E2954:E3153)</f>
        <v/>
      </c>
      <c r="J3153">
        <f>AVERAGE(F2954:F3153)</f>
        <v/>
      </c>
    </row>
    <row r="3154">
      <c r="C3154" s="539" t="n">
        <v>44026</v>
      </c>
      <c r="D3154" t="n">
        <v>170.1900024414062</v>
      </c>
      <c r="E3154" t="n">
        <v>28.8799991607666</v>
      </c>
      <c r="F3154" t="n">
        <v>11.81584072113037</v>
      </c>
      <c r="G3154" t="n">
        <v>76.65596008300781</v>
      </c>
      <c r="H3154">
        <f>AVERAGE(D2955:D3154)</f>
        <v/>
      </c>
      <c r="I3154">
        <f>AVERAGE(E2955:E3154)</f>
        <v/>
      </c>
      <c r="J3154">
        <f>AVERAGE(F2955:F3154)</f>
        <v/>
      </c>
    </row>
    <row r="3155">
      <c r="C3155" s="539" t="n">
        <v>44027</v>
      </c>
      <c r="D3155" t="n">
        <v>170.3399963378906</v>
      </c>
      <c r="E3155" t="n">
        <v>29.29000091552734</v>
      </c>
      <c r="F3155" t="n">
        <v>11.99232769012451</v>
      </c>
      <c r="G3155" t="n">
        <v>76.65596008300781</v>
      </c>
      <c r="H3155">
        <f>AVERAGE(D2956:D3155)</f>
        <v/>
      </c>
      <c r="I3155">
        <f>AVERAGE(E2956:E3155)</f>
        <v/>
      </c>
      <c r="J3155">
        <f>AVERAGE(F2956:F3155)</f>
        <v/>
      </c>
    </row>
    <row r="3156">
      <c r="C3156" s="539" t="n">
        <v>44028</v>
      </c>
      <c r="D3156" t="n">
        <v>168.7299957275391</v>
      </c>
      <c r="E3156" t="n">
        <v>29.15999984741211</v>
      </c>
      <c r="F3156" t="n">
        <v>12.05409717559814</v>
      </c>
      <c r="G3156" t="n">
        <v>76.6475830078125</v>
      </c>
      <c r="H3156">
        <f>AVERAGE(D2957:D3156)</f>
        <v/>
      </c>
      <c r="I3156">
        <f>AVERAGE(E2957:E3156)</f>
        <v/>
      </c>
      <c r="J3156">
        <f>AVERAGE(F2957:F3156)</f>
        <v/>
      </c>
    </row>
    <row r="3157">
      <c r="C3157" s="539" t="n">
        <v>44029</v>
      </c>
      <c r="D3157" t="n">
        <v>170.1199951171875</v>
      </c>
      <c r="E3157" t="n">
        <v>29.10000038146973</v>
      </c>
      <c r="F3157" t="n">
        <v>12.09821891784668</v>
      </c>
      <c r="G3157" t="n">
        <v>76.65596008300781</v>
      </c>
      <c r="H3157">
        <f>AVERAGE(D2958:D3157)</f>
        <v/>
      </c>
      <c r="I3157">
        <f>AVERAGE(E2958:E3157)</f>
        <v/>
      </c>
      <c r="J3157">
        <f>AVERAGE(F2958:F3157)</f>
        <v/>
      </c>
    </row>
    <row r="3158">
      <c r="C3158" s="539" t="n">
        <v>44032</v>
      </c>
      <c r="D3158" t="n">
        <v>170.9400024414062</v>
      </c>
      <c r="E3158" t="n">
        <v>29.1200008392334</v>
      </c>
      <c r="F3158" t="n">
        <v>12.00997543334961</v>
      </c>
      <c r="G3158" t="n">
        <v>76.65596008300781</v>
      </c>
      <c r="H3158">
        <f>AVERAGE(D2959:D3158)</f>
        <v/>
      </c>
      <c r="I3158">
        <f>AVERAGE(E2959:E3158)</f>
        <v/>
      </c>
      <c r="J3158">
        <f>AVERAGE(F2959:F3158)</f>
        <v/>
      </c>
    </row>
    <row r="3159">
      <c r="C3159" s="539" t="n">
        <v>44033</v>
      </c>
      <c r="D3159" t="n">
        <v>173</v>
      </c>
      <c r="E3159" t="n">
        <v>29.71999931335449</v>
      </c>
      <c r="F3159" t="n">
        <v>11.97467803955078</v>
      </c>
      <c r="G3159" t="n">
        <v>76.65596008300781</v>
      </c>
      <c r="H3159">
        <f>AVERAGE(D2960:D3159)</f>
        <v/>
      </c>
      <c r="I3159">
        <f>AVERAGE(E2960:E3159)</f>
        <v/>
      </c>
      <c r="J3159">
        <f>AVERAGE(F2960:F3159)</f>
        <v/>
      </c>
    </row>
    <row r="3160">
      <c r="C3160" s="539" t="n">
        <v>44034</v>
      </c>
      <c r="D3160" t="n">
        <v>175.6300048828125</v>
      </c>
      <c r="E3160" t="n">
        <v>29.75</v>
      </c>
      <c r="F3160" t="n">
        <v>12.17763900756836</v>
      </c>
      <c r="G3160" t="n">
        <v>76.6475830078125</v>
      </c>
      <c r="H3160">
        <f>AVERAGE(D2961:D3160)</f>
        <v/>
      </c>
      <c r="I3160">
        <f>AVERAGE(E2961:E3160)</f>
        <v/>
      </c>
      <c r="J3160">
        <f>AVERAGE(F2961:F3160)</f>
        <v/>
      </c>
    </row>
    <row r="3161">
      <c r="C3161" s="539" t="n">
        <v>44035</v>
      </c>
      <c r="D3161" t="n">
        <v>177.1799926757812</v>
      </c>
      <c r="E3161" t="n">
        <v>29.40999984741211</v>
      </c>
      <c r="F3161" t="n">
        <v>12.11586761474609</v>
      </c>
      <c r="G3161" t="n">
        <v>76.65596008300781</v>
      </c>
      <c r="H3161">
        <f>AVERAGE(D2962:D3161)</f>
        <v/>
      </c>
      <c r="I3161">
        <f>AVERAGE(E2962:E3161)</f>
        <v/>
      </c>
      <c r="J3161">
        <f>AVERAGE(F2962:F3161)</f>
        <v/>
      </c>
    </row>
    <row r="3162">
      <c r="C3162" s="539" t="n">
        <v>44036</v>
      </c>
      <c r="D3162" t="n">
        <v>178.6999969482422</v>
      </c>
      <c r="E3162" t="n">
        <v>29.44000053405762</v>
      </c>
      <c r="F3162" t="n">
        <v>12.13351726531982</v>
      </c>
      <c r="G3162" t="n">
        <v>76.6475830078125</v>
      </c>
      <c r="H3162">
        <f>AVERAGE(D2963:D3162)</f>
        <v/>
      </c>
      <c r="I3162">
        <f>AVERAGE(E2963:E3162)</f>
        <v/>
      </c>
      <c r="J3162">
        <f>AVERAGE(F2963:F3162)</f>
        <v/>
      </c>
    </row>
    <row r="3163">
      <c r="C3163" s="539" t="n">
        <v>44039</v>
      </c>
      <c r="D3163" t="n">
        <v>182.2299957275391</v>
      </c>
      <c r="E3163" t="n">
        <v>29.71999931335449</v>
      </c>
      <c r="F3163" t="n">
        <v>12.23940944671631</v>
      </c>
      <c r="G3163" t="n">
        <v>76.6475830078125</v>
      </c>
      <c r="H3163">
        <f>AVERAGE(D2964:D3163)</f>
        <v/>
      </c>
      <c r="I3163">
        <f>AVERAGE(E2964:E3163)</f>
        <v/>
      </c>
      <c r="J3163">
        <f>AVERAGE(F2964:F3163)</f>
        <v/>
      </c>
    </row>
    <row r="3164">
      <c r="C3164" s="539" t="n">
        <v>44040</v>
      </c>
      <c r="D3164" t="n">
        <v>183.75</v>
      </c>
      <c r="E3164" t="n">
        <v>29.35000038146973</v>
      </c>
      <c r="F3164" t="n">
        <v>12.16881465911865</v>
      </c>
      <c r="G3164" t="n">
        <v>76.65596008300781</v>
      </c>
      <c r="H3164">
        <f>AVERAGE(D2965:D3164)</f>
        <v/>
      </c>
      <c r="I3164">
        <f>AVERAGE(E2965:E3164)</f>
        <v/>
      </c>
      <c r="J3164">
        <f>AVERAGE(F2965:F3164)</f>
        <v/>
      </c>
    </row>
    <row r="3165">
      <c r="C3165" s="539" t="n">
        <v>44041</v>
      </c>
      <c r="D3165" t="n">
        <v>185.1300048828125</v>
      </c>
      <c r="E3165" t="n">
        <v>29.56999969482422</v>
      </c>
      <c r="F3165" t="n">
        <v>12.27470684051514</v>
      </c>
      <c r="G3165" t="n">
        <v>76.65596008300781</v>
      </c>
      <c r="H3165">
        <f>AVERAGE(D2966:D3165)</f>
        <v/>
      </c>
      <c r="I3165">
        <f>AVERAGE(E2966:E3165)</f>
        <v/>
      </c>
      <c r="J3165">
        <f>AVERAGE(F2966:F3165)</f>
        <v/>
      </c>
    </row>
    <row r="3166">
      <c r="C3166" s="539" t="n">
        <v>44042</v>
      </c>
      <c r="D3166" t="n">
        <v>183.7599945068359</v>
      </c>
      <c r="E3166" t="n">
        <v>28.93000030517578</v>
      </c>
      <c r="F3166" t="n">
        <v>12.31882858276367</v>
      </c>
      <c r="G3166" t="n">
        <v>76.6475830078125</v>
      </c>
      <c r="H3166">
        <f>AVERAGE(D2967:D3166)</f>
        <v/>
      </c>
      <c r="I3166">
        <f>AVERAGE(E2967:E3166)</f>
        <v/>
      </c>
      <c r="J3166">
        <f>AVERAGE(F2967:F3166)</f>
        <v/>
      </c>
    </row>
    <row r="3167">
      <c r="C3167" s="539" t="n">
        <v>44043</v>
      </c>
      <c r="D3167" t="n">
        <v>185.4299926757812</v>
      </c>
      <c r="E3167" t="n">
        <v>29.06999969482422</v>
      </c>
      <c r="F3167" t="n">
        <v>12.51296615600586</v>
      </c>
      <c r="G3167" t="n">
        <v>76.65596008300781</v>
      </c>
      <c r="H3167">
        <f>AVERAGE(D2968:D3167)</f>
        <v/>
      </c>
      <c r="I3167">
        <f>AVERAGE(E2968:E3167)</f>
        <v/>
      </c>
      <c r="J3167">
        <f>AVERAGE(F2968:F3167)</f>
        <v/>
      </c>
    </row>
    <row r="3168">
      <c r="C3168" s="539" t="n">
        <v>44046</v>
      </c>
      <c r="D3168" t="n">
        <v>185.6399993896484</v>
      </c>
      <c r="E3168" t="n">
        <v>29.34000015258789</v>
      </c>
      <c r="F3168" t="n">
        <v>12.49531555175781</v>
      </c>
      <c r="G3168" t="n">
        <v>76.6475830078125</v>
      </c>
      <c r="H3168">
        <f>AVERAGE(D2969:D3168)</f>
        <v/>
      </c>
      <c r="I3168">
        <f>AVERAGE(E2969:E3168)</f>
        <v/>
      </c>
      <c r="J3168">
        <f>AVERAGE(F2969:F3168)</f>
        <v/>
      </c>
    </row>
    <row r="3169">
      <c r="C3169" s="539" t="n">
        <v>44047</v>
      </c>
      <c r="D3169" t="n">
        <v>189.5899963378906</v>
      </c>
      <c r="E3169" t="n">
        <v>29.78000068664551</v>
      </c>
      <c r="F3169" t="n">
        <v>12.46001815795898</v>
      </c>
      <c r="G3169" t="n">
        <v>76.65596008300781</v>
      </c>
      <c r="H3169">
        <f>AVERAGE(D2970:D3169)</f>
        <v/>
      </c>
      <c r="I3169">
        <f>AVERAGE(E2970:E3169)</f>
        <v/>
      </c>
      <c r="J3169">
        <f>AVERAGE(F2970:F3169)</f>
        <v/>
      </c>
    </row>
    <row r="3170">
      <c r="C3170" s="539" t="n">
        <v>44048</v>
      </c>
      <c r="D3170" t="n">
        <v>191.3500061035156</v>
      </c>
      <c r="E3170" t="n">
        <v>30.22999954223633</v>
      </c>
      <c r="F3170" t="n">
        <v>12.51296615600586</v>
      </c>
      <c r="G3170" t="n">
        <v>76.6475830078125</v>
      </c>
      <c r="H3170">
        <f>AVERAGE(D2971:D3170)</f>
        <v/>
      </c>
      <c r="I3170">
        <f>AVERAGE(E2971:E3170)</f>
        <v/>
      </c>
      <c r="J3170">
        <f>AVERAGE(F2971:F3170)</f>
        <v/>
      </c>
    </row>
    <row r="3171">
      <c r="C3171" s="539" t="n">
        <v>44049</v>
      </c>
      <c r="D3171" t="n">
        <v>193.8899993896484</v>
      </c>
      <c r="E3171" t="n">
        <v>30.18000030517578</v>
      </c>
      <c r="F3171" t="n">
        <v>12.47766780853271</v>
      </c>
      <c r="G3171" t="n">
        <v>76.6475830078125</v>
      </c>
      <c r="H3171">
        <f>AVERAGE(D2972:D3171)</f>
        <v/>
      </c>
      <c r="I3171">
        <f>AVERAGE(E2972:E3171)</f>
        <v/>
      </c>
      <c r="J3171">
        <f>AVERAGE(F2972:F3171)</f>
        <v/>
      </c>
    </row>
    <row r="3172">
      <c r="C3172" s="539" t="n">
        <v>44050</v>
      </c>
      <c r="D3172" t="n">
        <v>190.8099975585938</v>
      </c>
      <c r="E3172" t="n">
        <v>29.85000038146973</v>
      </c>
      <c r="F3172" t="n">
        <v>12.34530162811279</v>
      </c>
      <c r="G3172" t="n">
        <v>76.65596008300781</v>
      </c>
      <c r="H3172">
        <f>AVERAGE(D2973:D3172)</f>
        <v/>
      </c>
      <c r="I3172">
        <f>AVERAGE(E2973:E3172)</f>
        <v/>
      </c>
      <c r="J3172">
        <f>AVERAGE(F2973:F3172)</f>
        <v/>
      </c>
    </row>
    <row r="3173">
      <c r="C3173" s="539" t="n">
        <v>44053</v>
      </c>
      <c r="D3173" t="n">
        <v>190.1499938964844</v>
      </c>
      <c r="E3173" t="n">
        <v>30.15999984741211</v>
      </c>
      <c r="F3173" t="n">
        <v>12.32765293121338</v>
      </c>
      <c r="G3173" t="n">
        <v>76.65596008300781</v>
      </c>
      <c r="H3173">
        <f>AVERAGE(D2974:D3173)</f>
        <v/>
      </c>
      <c r="I3173">
        <f>AVERAGE(E2974:E3173)</f>
        <v/>
      </c>
      <c r="J3173">
        <f>AVERAGE(F2974:F3173)</f>
        <v/>
      </c>
    </row>
    <row r="3174">
      <c r="C3174" s="539" t="n">
        <v>44054</v>
      </c>
      <c r="D3174" t="n">
        <v>179.9400024414062</v>
      </c>
      <c r="E3174" t="n">
        <v>29.81999969482422</v>
      </c>
      <c r="F3174" t="n">
        <v>12.29235553741455</v>
      </c>
      <c r="G3174" t="n">
        <v>76.6475830078125</v>
      </c>
      <c r="H3174">
        <f>AVERAGE(D2975:D3174)</f>
        <v/>
      </c>
      <c r="I3174">
        <f>AVERAGE(E2975:E3174)</f>
        <v/>
      </c>
      <c r="J3174">
        <f>AVERAGE(F2975:F3174)</f>
        <v/>
      </c>
    </row>
    <row r="3175">
      <c r="C3175" s="539" t="n">
        <v>44055</v>
      </c>
      <c r="D3175" t="n">
        <v>179.1000061035156</v>
      </c>
      <c r="E3175" t="n">
        <v>30.55999946594238</v>
      </c>
      <c r="F3175" t="n">
        <v>12.39824867248535</v>
      </c>
      <c r="G3175" t="n">
        <v>76.6475830078125</v>
      </c>
      <c r="H3175">
        <f>AVERAGE(D2976:D3175)</f>
        <v/>
      </c>
      <c r="I3175">
        <f>AVERAGE(E2976:E3175)</f>
        <v/>
      </c>
      <c r="J3175">
        <f>AVERAGE(F2976:F3175)</f>
        <v/>
      </c>
    </row>
    <row r="3176">
      <c r="C3176" s="539" t="n">
        <v>44056</v>
      </c>
      <c r="D3176" t="n">
        <v>183.3300018310547</v>
      </c>
      <c r="E3176" t="n">
        <v>30.39999961853027</v>
      </c>
      <c r="F3176" t="n">
        <v>12.60120868682861</v>
      </c>
      <c r="G3176" t="n">
        <v>76.65596008300781</v>
      </c>
      <c r="H3176">
        <f>AVERAGE(D2977:D3176)</f>
        <v/>
      </c>
      <c r="I3176">
        <f>AVERAGE(E2977:E3176)</f>
        <v/>
      </c>
      <c r="J3176">
        <f>AVERAGE(F2977:F3176)</f>
        <v/>
      </c>
    </row>
    <row r="3177">
      <c r="C3177" s="539" t="n">
        <v>44057</v>
      </c>
      <c r="D3177" t="n">
        <v>182.5399932861328</v>
      </c>
      <c r="E3177" t="n">
        <v>30.32999992370605</v>
      </c>
      <c r="F3177" t="n">
        <v>12.55708694458008</v>
      </c>
      <c r="G3177" t="n">
        <v>76.6475830078125</v>
      </c>
      <c r="H3177">
        <f>AVERAGE(D2978:D3177)</f>
        <v/>
      </c>
      <c r="I3177">
        <f>AVERAGE(E2978:E3177)</f>
        <v/>
      </c>
      <c r="J3177">
        <f>AVERAGE(F2978:F3177)</f>
        <v/>
      </c>
    </row>
    <row r="3178">
      <c r="C3178" s="539" t="n">
        <v>44060</v>
      </c>
      <c r="D3178" t="n">
        <v>186.5</v>
      </c>
      <c r="E3178" t="n">
        <v>30.77000045776367</v>
      </c>
      <c r="F3178" t="n">
        <v>12.64533042907715</v>
      </c>
      <c r="G3178" t="n">
        <v>76.6475830078125</v>
      </c>
      <c r="H3178">
        <f>AVERAGE(D2979:D3178)</f>
        <v/>
      </c>
      <c r="I3178">
        <f>AVERAGE(E2979:E3178)</f>
        <v/>
      </c>
      <c r="J3178">
        <f>AVERAGE(F2979:F3178)</f>
        <v/>
      </c>
    </row>
    <row r="3179">
      <c r="C3179" s="539" t="n">
        <v>44061</v>
      </c>
      <c r="D3179" t="n">
        <v>188.1799926757812</v>
      </c>
      <c r="E3179" t="n">
        <v>30.60000038146973</v>
      </c>
      <c r="F3179" t="n">
        <v>12.63650608062744</v>
      </c>
      <c r="G3179" t="n">
        <v>76.65596008300781</v>
      </c>
      <c r="H3179">
        <f>AVERAGE(D2980:D3179)</f>
        <v/>
      </c>
      <c r="I3179">
        <f>AVERAGE(E2980:E3179)</f>
        <v/>
      </c>
      <c r="J3179">
        <f>AVERAGE(F2980:F3179)</f>
        <v/>
      </c>
    </row>
    <row r="3180">
      <c r="C3180" s="539" t="n">
        <v>44062</v>
      </c>
      <c r="D3180" t="n">
        <v>182.2400054931641</v>
      </c>
      <c r="E3180" t="n">
        <v>30.65999984741211</v>
      </c>
      <c r="F3180" t="n">
        <v>12.68945217132568</v>
      </c>
      <c r="G3180" t="n">
        <v>76.65596008300781</v>
      </c>
      <c r="H3180">
        <f>AVERAGE(D2981:D3180)</f>
        <v/>
      </c>
      <c r="I3180">
        <f>AVERAGE(E2981:E3180)</f>
        <v/>
      </c>
      <c r="J3180">
        <f>AVERAGE(F2981:F3180)</f>
        <v/>
      </c>
    </row>
    <row r="3181">
      <c r="C3181" s="539" t="n">
        <v>44063</v>
      </c>
      <c r="D3181" t="n">
        <v>183.5</v>
      </c>
      <c r="E3181" t="n">
        <v>30.52000045776367</v>
      </c>
      <c r="F3181" t="n">
        <v>12.62768363952637</v>
      </c>
      <c r="G3181" t="n">
        <v>76.65596008300781</v>
      </c>
      <c r="H3181">
        <f>AVERAGE(D2982:D3181)</f>
        <v/>
      </c>
      <c r="I3181">
        <f>AVERAGE(E2982:E3181)</f>
        <v/>
      </c>
      <c r="J3181">
        <f>AVERAGE(F2982:F3181)</f>
        <v/>
      </c>
    </row>
    <row r="3182">
      <c r="C3182" s="539" t="n">
        <v>44064</v>
      </c>
      <c r="D3182" t="n">
        <v>182.0299987792969</v>
      </c>
      <c r="E3182" t="n">
        <v>30.18000030517578</v>
      </c>
      <c r="F3182" t="n">
        <v>12.61003303527832</v>
      </c>
      <c r="G3182" t="n">
        <v>76.65596008300781</v>
      </c>
      <c r="H3182">
        <f>AVERAGE(D2983:D3182)</f>
        <v/>
      </c>
      <c r="I3182">
        <f>AVERAGE(E2983:E3182)</f>
        <v/>
      </c>
      <c r="J3182">
        <f>AVERAGE(F2983:F3182)</f>
        <v/>
      </c>
    </row>
    <row r="3183">
      <c r="C3183" s="539" t="n">
        <v>44067</v>
      </c>
      <c r="D3183" t="n">
        <v>181</v>
      </c>
      <c r="E3183" t="n">
        <v>30.35000038146973</v>
      </c>
      <c r="F3183" t="n">
        <v>12.61003303527832</v>
      </c>
      <c r="G3183" t="n">
        <v>76.65596008300781</v>
      </c>
      <c r="H3183">
        <f>AVERAGE(D2984:D3183)</f>
        <v/>
      </c>
      <c r="I3183">
        <f>AVERAGE(E2984:E3183)</f>
        <v/>
      </c>
      <c r="J3183">
        <f>AVERAGE(F2984:F3183)</f>
        <v/>
      </c>
    </row>
    <row r="3184">
      <c r="C3184" s="539" t="n">
        <v>44068</v>
      </c>
      <c r="D3184" t="n">
        <v>181.2200012207031</v>
      </c>
      <c r="E3184" t="n">
        <v>30.92000007629395</v>
      </c>
      <c r="F3184" t="n">
        <v>12.79534530639648</v>
      </c>
      <c r="G3184" t="n">
        <v>76.6475830078125</v>
      </c>
      <c r="H3184">
        <f>AVERAGE(D2985:D3184)</f>
        <v/>
      </c>
      <c r="I3184">
        <f>AVERAGE(E2985:E3184)</f>
        <v/>
      </c>
      <c r="J3184">
        <f>AVERAGE(F2985:F3184)</f>
        <v/>
      </c>
    </row>
    <row r="3185">
      <c r="C3185" s="539" t="n">
        <v>44069</v>
      </c>
      <c r="D3185" t="n">
        <v>183.3600006103516</v>
      </c>
      <c r="E3185" t="n">
        <v>30.93000030517578</v>
      </c>
      <c r="F3185" t="n">
        <v>12.72475051879883</v>
      </c>
      <c r="G3185" t="n">
        <v>76.6475830078125</v>
      </c>
      <c r="H3185">
        <f>AVERAGE(D2986:D3185)</f>
        <v/>
      </c>
      <c r="I3185">
        <f>AVERAGE(E2986:E3185)</f>
        <v/>
      </c>
      <c r="J3185">
        <f>AVERAGE(F2986:F3185)</f>
        <v/>
      </c>
    </row>
    <row r="3186">
      <c r="C3186" s="539" t="n">
        <v>44070</v>
      </c>
      <c r="D3186" t="n">
        <v>181.2400054931641</v>
      </c>
      <c r="E3186" t="n">
        <v>30.67000007629395</v>
      </c>
      <c r="F3186" t="n">
        <v>12.88358974456787</v>
      </c>
      <c r="G3186" t="n">
        <v>76.6475830078125</v>
      </c>
      <c r="H3186">
        <f>AVERAGE(D2987:D3186)</f>
        <v/>
      </c>
      <c r="I3186">
        <f>AVERAGE(E2987:E3186)</f>
        <v/>
      </c>
      <c r="J3186">
        <f>AVERAGE(F2987:F3186)</f>
        <v/>
      </c>
    </row>
    <row r="3187">
      <c r="C3187" s="539" t="n">
        <v>44071</v>
      </c>
      <c r="D3187" t="n">
        <v>184.3899993896484</v>
      </c>
      <c r="E3187" t="n">
        <v>30.71999931335449</v>
      </c>
      <c r="F3187" t="n">
        <v>12.92771053314209</v>
      </c>
      <c r="G3187" t="n">
        <v>76.65596008300781</v>
      </c>
      <c r="H3187">
        <f>AVERAGE(D2988:D3187)</f>
        <v/>
      </c>
      <c r="I3187">
        <f>AVERAGE(E2988:E3187)</f>
        <v/>
      </c>
      <c r="J3187">
        <f>AVERAGE(F2988:F3187)</f>
        <v/>
      </c>
    </row>
    <row r="3188">
      <c r="C3188" s="539" t="n">
        <v>44074</v>
      </c>
      <c r="D3188" t="n">
        <v>184.8300018310547</v>
      </c>
      <c r="E3188" t="n">
        <v>30.57999992370605</v>
      </c>
      <c r="F3188" t="n">
        <v>13.00713062286377</v>
      </c>
      <c r="G3188" t="n">
        <v>76.65596008300781</v>
      </c>
      <c r="H3188">
        <f>AVERAGE(D2989:D3188)</f>
        <v/>
      </c>
      <c r="I3188">
        <f>AVERAGE(E2989:E3188)</f>
        <v/>
      </c>
      <c r="J3188">
        <f>AVERAGE(F2989:F3188)</f>
        <v/>
      </c>
    </row>
    <row r="3189">
      <c r="C3189" s="539" t="n">
        <v>44075</v>
      </c>
      <c r="D3189" t="n">
        <v>185.0500030517578</v>
      </c>
      <c r="E3189" t="n">
        <v>30.61000061035156</v>
      </c>
      <c r="F3189" t="n">
        <v>13.06890106201172</v>
      </c>
      <c r="G3189" t="n">
        <v>76.65596008300781</v>
      </c>
      <c r="H3189">
        <f>AVERAGE(D2990:D3189)</f>
        <v/>
      </c>
      <c r="I3189">
        <f>AVERAGE(E2990:E3189)</f>
        <v/>
      </c>
      <c r="J3189">
        <f>AVERAGE(F2990:F3189)</f>
        <v/>
      </c>
    </row>
    <row r="3190">
      <c r="C3190" s="539" t="n">
        <v>44076</v>
      </c>
      <c r="D3190" t="n">
        <v>182.6199951171875</v>
      </c>
      <c r="E3190" t="n">
        <v>29.86000061035156</v>
      </c>
      <c r="F3190" t="n">
        <v>13.05125141143799</v>
      </c>
      <c r="G3190" t="n">
        <v>76.65596008300781</v>
      </c>
      <c r="H3190">
        <f>AVERAGE(D2991:D3190)</f>
        <v/>
      </c>
      <c r="I3190">
        <f>AVERAGE(E2991:E3190)</f>
        <v/>
      </c>
      <c r="J3190">
        <f>AVERAGE(F2991:F3190)</f>
        <v/>
      </c>
    </row>
    <row r="3191">
      <c r="C3191" s="539" t="n">
        <v>44077</v>
      </c>
      <c r="D3191" t="n">
        <v>181.1399993896484</v>
      </c>
      <c r="E3191" t="n">
        <v>29.63999938964844</v>
      </c>
      <c r="F3191" t="n">
        <v>12.9453592300415</v>
      </c>
      <c r="G3191" t="n">
        <v>76.6475830078125</v>
      </c>
      <c r="H3191">
        <f>AVERAGE(D2992:D3191)</f>
        <v/>
      </c>
      <c r="I3191">
        <f>AVERAGE(E2992:E3191)</f>
        <v/>
      </c>
      <c r="J3191">
        <f>AVERAGE(F2992:F3191)</f>
        <v/>
      </c>
    </row>
    <row r="3192">
      <c r="C3192" s="539" t="n">
        <v>44078</v>
      </c>
      <c r="D3192" t="n">
        <v>181.6399993896484</v>
      </c>
      <c r="E3192" t="n">
        <v>28.51000022888184</v>
      </c>
      <c r="F3192" t="n">
        <v>13.01595497131348</v>
      </c>
      <c r="G3192" t="n">
        <v>76.65596008300781</v>
      </c>
      <c r="H3192">
        <f>AVERAGE(D2993:D3192)</f>
        <v/>
      </c>
      <c r="I3192">
        <f>AVERAGE(E2993:E3192)</f>
        <v/>
      </c>
      <c r="J3192">
        <f>AVERAGE(F2993:F3192)</f>
        <v/>
      </c>
    </row>
    <row r="3193">
      <c r="C3193" s="539" t="n">
        <v>44082</v>
      </c>
      <c r="D3193" t="n">
        <v>181.2899932861328</v>
      </c>
      <c r="E3193" t="n">
        <v>26.75</v>
      </c>
      <c r="F3193" t="n">
        <v>12.9453592300415</v>
      </c>
      <c r="G3193" t="n">
        <v>76.65596008300781</v>
      </c>
      <c r="H3193">
        <f>AVERAGE(D2994:D3193)</f>
        <v/>
      </c>
      <c r="I3193">
        <f>AVERAGE(E2994:E3193)</f>
        <v/>
      </c>
      <c r="J3193">
        <f>AVERAGE(F2994:F3193)</f>
        <v/>
      </c>
    </row>
    <row r="3194">
      <c r="C3194" s="539" t="n">
        <v>44083</v>
      </c>
      <c r="D3194" t="n">
        <v>183.0500030517578</v>
      </c>
      <c r="E3194" t="n">
        <v>27.40999984741211</v>
      </c>
      <c r="F3194" t="n">
        <v>12.90123653411865</v>
      </c>
      <c r="G3194" t="n">
        <v>76.6475830078125</v>
      </c>
      <c r="H3194">
        <f>AVERAGE(D2995:D3194)</f>
        <v/>
      </c>
      <c r="I3194">
        <f>AVERAGE(E2995:E3194)</f>
        <v/>
      </c>
      <c r="J3194">
        <f>AVERAGE(F2995:F3194)</f>
        <v/>
      </c>
    </row>
    <row r="3195">
      <c r="C3195" s="539" t="n">
        <v>44084</v>
      </c>
      <c r="D3195" t="n">
        <v>182.4600067138672</v>
      </c>
      <c r="E3195" t="n">
        <v>26.79000091552734</v>
      </c>
      <c r="F3195" t="n">
        <v>12.98948097229004</v>
      </c>
      <c r="G3195" t="n">
        <v>76.6475830078125</v>
      </c>
      <c r="H3195">
        <f>AVERAGE(D2996:D3195)</f>
        <v/>
      </c>
      <c r="I3195">
        <f>AVERAGE(E2996:E3195)</f>
        <v/>
      </c>
      <c r="J3195">
        <f>AVERAGE(F2996:F3195)</f>
        <v/>
      </c>
    </row>
    <row r="3196">
      <c r="C3196" s="539" t="n">
        <v>44085</v>
      </c>
      <c r="D3196" t="n">
        <v>182.4499969482422</v>
      </c>
      <c r="E3196" t="n">
        <v>27.04000091552734</v>
      </c>
      <c r="F3196" t="n">
        <v>13.11302185058594</v>
      </c>
      <c r="G3196" t="n">
        <v>76.63922882080078</v>
      </c>
      <c r="H3196">
        <f>AVERAGE(D2997:D3196)</f>
        <v/>
      </c>
      <c r="I3196">
        <f>AVERAGE(E2997:E3196)</f>
        <v/>
      </c>
      <c r="J3196">
        <f>AVERAGE(F2997:F3196)</f>
        <v/>
      </c>
    </row>
    <row r="3197">
      <c r="C3197" s="539" t="n">
        <v>44088</v>
      </c>
      <c r="D3197" t="n">
        <v>183.8899993896484</v>
      </c>
      <c r="E3197" t="n">
        <v>26.94000053405762</v>
      </c>
      <c r="F3197" t="n">
        <v>12.98065757751465</v>
      </c>
      <c r="G3197" t="n">
        <v>76.65596008300781</v>
      </c>
      <c r="H3197">
        <f>AVERAGE(D2998:D3197)</f>
        <v/>
      </c>
      <c r="I3197">
        <f>AVERAGE(E2998:E3197)</f>
        <v/>
      </c>
      <c r="J3197">
        <f>AVERAGE(F2998:F3197)</f>
        <v/>
      </c>
    </row>
    <row r="3198">
      <c r="C3198" s="539" t="n">
        <v>44089</v>
      </c>
      <c r="D3198" t="n">
        <v>183.4499969482422</v>
      </c>
      <c r="E3198" t="n">
        <v>27.52000045776367</v>
      </c>
      <c r="F3198" t="n">
        <v>13.01595497131348</v>
      </c>
      <c r="G3198" t="n">
        <v>76.63922882080078</v>
      </c>
      <c r="H3198">
        <f>AVERAGE(D2999:D3198)</f>
        <v/>
      </c>
      <c r="I3198">
        <f>AVERAGE(E2999:E3198)</f>
        <v/>
      </c>
      <c r="J3198">
        <f>AVERAGE(F2999:F3198)</f>
        <v/>
      </c>
    </row>
    <row r="3199">
      <c r="C3199" s="539" t="n">
        <v>44090</v>
      </c>
      <c r="D3199" t="n">
        <v>183.9700012207031</v>
      </c>
      <c r="E3199" t="n">
        <v>28.70000076293945</v>
      </c>
      <c r="F3199" t="n">
        <v>12.98948097229004</v>
      </c>
      <c r="G3199" t="n">
        <v>76.65596008300781</v>
      </c>
      <c r="H3199">
        <f>AVERAGE(D3000:D3199)</f>
        <v/>
      </c>
      <c r="I3199">
        <f>AVERAGE(E3000:E3199)</f>
        <v/>
      </c>
      <c r="J3199">
        <f>AVERAGE(F3000:F3199)</f>
        <v/>
      </c>
    </row>
    <row r="3200">
      <c r="C3200" s="539" t="n">
        <v>44091</v>
      </c>
      <c r="D3200" t="n">
        <v>182.9600067138672</v>
      </c>
      <c r="E3200" t="n">
        <v>29.22999954223633</v>
      </c>
      <c r="F3200" t="n">
        <v>13.13949680328369</v>
      </c>
      <c r="G3200" t="n">
        <v>76.65596008300781</v>
      </c>
      <c r="H3200">
        <f>AVERAGE(D3001:D3200)</f>
        <v/>
      </c>
      <c r="I3200">
        <f>AVERAGE(E3001:E3200)</f>
        <v/>
      </c>
      <c r="J3200">
        <f>AVERAGE(F3001:F3200)</f>
        <v/>
      </c>
    </row>
    <row r="3201">
      <c r="C3201" s="539" t="n">
        <v>44092</v>
      </c>
      <c r="D3201" t="n">
        <v>183.1999969482422</v>
      </c>
      <c r="E3201" t="n">
        <v>29.05999946594238</v>
      </c>
      <c r="F3201" t="n">
        <v>13.21891498565674</v>
      </c>
      <c r="G3201" t="n">
        <v>76.63922882080078</v>
      </c>
      <c r="H3201">
        <f>AVERAGE(D3002:D3201)</f>
        <v/>
      </c>
      <c r="I3201">
        <f>AVERAGE(E3002:E3201)</f>
        <v/>
      </c>
      <c r="J3201">
        <f>AVERAGE(F3002:F3201)</f>
        <v/>
      </c>
    </row>
    <row r="3202">
      <c r="C3202" s="539" t="n">
        <v>44095</v>
      </c>
      <c r="D3202" t="n">
        <v>179.5200042724609</v>
      </c>
      <c r="E3202" t="n">
        <v>28.29000091552734</v>
      </c>
      <c r="F3202" t="n">
        <v>12.98948097229004</v>
      </c>
      <c r="G3202" t="n">
        <v>76.63922882080078</v>
      </c>
      <c r="H3202">
        <f>AVERAGE(D3003:D3202)</f>
        <v/>
      </c>
      <c r="I3202">
        <f>AVERAGE(E3003:E3202)</f>
        <v/>
      </c>
      <c r="J3202">
        <f>AVERAGE(F3003:F3202)</f>
        <v/>
      </c>
    </row>
    <row r="3203">
      <c r="C3203" s="539" t="n">
        <v>44096</v>
      </c>
      <c r="D3203" t="n">
        <v>178.6499938964844</v>
      </c>
      <c r="E3203" t="n">
        <v>28.17000007629395</v>
      </c>
      <c r="F3203" t="n">
        <v>12.9453592300415</v>
      </c>
      <c r="G3203" t="n">
        <v>76.63922882080078</v>
      </c>
      <c r="H3203">
        <f>AVERAGE(D3004:D3203)</f>
        <v/>
      </c>
      <c r="I3203">
        <f>AVERAGE(E3004:E3203)</f>
        <v/>
      </c>
      <c r="J3203">
        <f>AVERAGE(F3004:F3203)</f>
        <v/>
      </c>
    </row>
    <row r="3204">
      <c r="C3204" s="539" t="n">
        <v>44097</v>
      </c>
      <c r="D3204" t="n">
        <v>174.7899932861328</v>
      </c>
      <c r="E3204" t="n">
        <v>28.03000068664551</v>
      </c>
      <c r="F3204" t="n">
        <v>12.90123653411865</v>
      </c>
      <c r="G3204" t="n">
        <v>76.63922882080078</v>
      </c>
      <c r="H3204">
        <f>AVERAGE(D3005:D3204)</f>
        <v/>
      </c>
      <c r="I3204">
        <f>AVERAGE(E3005:E3204)</f>
        <v/>
      </c>
      <c r="J3204">
        <f>AVERAGE(F3005:F3204)</f>
        <v/>
      </c>
    </row>
    <row r="3205">
      <c r="C3205" s="539" t="n">
        <v>44098</v>
      </c>
      <c r="D3205" t="n">
        <v>175.4400024414062</v>
      </c>
      <c r="E3205" t="n">
        <v>28.5</v>
      </c>
      <c r="F3205" t="n">
        <v>12.90123653411865</v>
      </c>
      <c r="G3205" t="n">
        <v>76.6475830078125</v>
      </c>
      <c r="H3205">
        <f>AVERAGE(D3006:D3205)</f>
        <v/>
      </c>
      <c r="I3205">
        <f>AVERAGE(E3006:E3205)</f>
        <v/>
      </c>
      <c r="J3205">
        <f>AVERAGE(F3006:F3205)</f>
        <v/>
      </c>
    </row>
    <row r="3206">
      <c r="C3206" s="539" t="n">
        <v>44099</v>
      </c>
      <c r="D3206" t="n">
        <v>174.9400024414062</v>
      </c>
      <c r="E3206" t="n">
        <v>28.35000038146973</v>
      </c>
      <c r="F3206" t="n">
        <v>12.91006183624268</v>
      </c>
      <c r="G3206" t="n">
        <v>76.63922882080078</v>
      </c>
      <c r="H3206">
        <f>AVERAGE(D3007:D3206)</f>
        <v/>
      </c>
      <c r="I3206">
        <f>AVERAGE(E3007:E3206)</f>
        <v/>
      </c>
      <c r="J3206">
        <f>AVERAGE(F3007:F3206)</f>
        <v/>
      </c>
    </row>
    <row r="3207">
      <c r="C3207" s="539" t="n">
        <v>44102</v>
      </c>
      <c r="D3207" t="n">
        <v>176.6999969482422</v>
      </c>
      <c r="E3207" t="n">
        <v>28.69000053405762</v>
      </c>
      <c r="F3207" t="n">
        <v>12.82181835174561</v>
      </c>
      <c r="G3207" t="n">
        <v>76.6475830078125</v>
      </c>
      <c r="H3207">
        <f>AVERAGE(D3008:D3207)</f>
        <v/>
      </c>
      <c r="I3207">
        <f>AVERAGE(E3008:E3207)</f>
        <v/>
      </c>
      <c r="J3207">
        <f>AVERAGE(F3008:F3207)</f>
        <v/>
      </c>
    </row>
    <row r="3208">
      <c r="C3208" s="539" t="n">
        <v>44103</v>
      </c>
      <c r="D3208" t="n">
        <v>178.1900024414062</v>
      </c>
      <c r="E3208" t="n">
        <v>27.70000076293945</v>
      </c>
      <c r="F3208" t="n">
        <v>12.83064270019531</v>
      </c>
      <c r="G3208" t="n">
        <v>76.6475830078125</v>
      </c>
      <c r="H3208">
        <f>AVERAGE(D3009:D3208)</f>
        <v/>
      </c>
      <c r="I3208">
        <f>AVERAGE(E3009:E3208)</f>
        <v/>
      </c>
      <c r="J3208">
        <f>AVERAGE(F3009:F3208)</f>
        <v/>
      </c>
    </row>
    <row r="3209">
      <c r="C3209" s="539" t="n">
        <v>44104</v>
      </c>
      <c r="D3209" t="n">
        <v>177.1199951171875</v>
      </c>
      <c r="E3209" t="n">
        <v>28.29000091552734</v>
      </c>
      <c r="F3209" t="n">
        <v>13.00713062286377</v>
      </c>
      <c r="G3209" t="n">
        <v>76.63922882080078</v>
      </c>
      <c r="H3209">
        <f>AVERAGE(D3010:D3209)</f>
        <v/>
      </c>
      <c r="I3209">
        <f>AVERAGE(E3010:E3209)</f>
        <v/>
      </c>
      <c r="J3209">
        <f>AVERAGE(F3010:F3209)</f>
        <v/>
      </c>
    </row>
    <row r="3210">
      <c r="C3210" s="539" t="n">
        <v>44105</v>
      </c>
      <c r="D3210" t="n">
        <v>178.6999969482422</v>
      </c>
      <c r="E3210" t="n">
        <v>27.51000022888184</v>
      </c>
      <c r="F3210" t="n">
        <v>12.92771053314209</v>
      </c>
      <c r="G3210" t="n">
        <v>76.63922882080078</v>
      </c>
      <c r="H3210">
        <f>AVERAGE(D3011:D3210)</f>
        <v/>
      </c>
      <c r="I3210">
        <f>AVERAGE(E3011:E3210)</f>
        <v/>
      </c>
      <c r="J3210">
        <f>AVERAGE(F3011:F3210)</f>
        <v/>
      </c>
    </row>
    <row r="3211">
      <c r="C3211" s="539" t="n">
        <v>44106</v>
      </c>
      <c r="D3211" t="n">
        <v>178.5399932861328</v>
      </c>
      <c r="E3211" t="n">
        <v>26.35000038146973</v>
      </c>
      <c r="F3211" t="n">
        <v>12.9188871383667</v>
      </c>
      <c r="G3211" t="n">
        <v>76.63922882080078</v>
      </c>
      <c r="H3211">
        <f>AVERAGE(D3012:D3211)</f>
        <v/>
      </c>
      <c r="I3211">
        <f>AVERAGE(E3012:E3211)</f>
        <v/>
      </c>
      <c r="J3211">
        <f>AVERAGE(F3012:F3211)</f>
        <v/>
      </c>
    </row>
    <row r="3212">
      <c r="C3212" s="539" t="n">
        <v>44109</v>
      </c>
      <c r="D3212" t="n">
        <v>179.4100036621094</v>
      </c>
      <c r="E3212" t="n">
        <v>27.93000030517578</v>
      </c>
      <c r="F3212" t="n">
        <v>12.98065757751465</v>
      </c>
      <c r="G3212" t="n">
        <v>76.63922882080078</v>
      </c>
      <c r="H3212">
        <f>AVERAGE(D3013:D3212)</f>
        <v/>
      </c>
      <c r="I3212">
        <f>AVERAGE(E3013:E3212)</f>
        <v/>
      </c>
      <c r="J3212">
        <f>AVERAGE(F3013:F3212)</f>
        <v/>
      </c>
    </row>
    <row r="3213">
      <c r="C3213" s="539" t="n">
        <v>44110</v>
      </c>
      <c r="D3213" t="n">
        <v>177.3000030517578</v>
      </c>
      <c r="E3213" t="n">
        <v>28.38999938964844</v>
      </c>
      <c r="F3213" t="n">
        <v>12.98065757751465</v>
      </c>
      <c r="G3213" t="n">
        <v>76.6475830078125</v>
      </c>
      <c r="H3213">
        <f>AVERAGE(D3014:D3213)</f>
        <v/>
      </c>
      <c r="I3213">
        <f>AVERAGE(E3014:E3213)</f>
        <v/>
      </c>
      <c r="J3213">
        <f>AVERAGE(F3014:F3213)</f>
        <v/>
      </c>
    </row>
    <row r="3214">
      <c r="C3214" s="539" t="n">
        <v>44111</v>
      </c>
      <c r="D3214" t="n">
        <v>177.2200012207031</v>
      </c>
      <c r="E3214" t="n">
        <v>28.38999938964844</v>
      </c>
      <c r="F3214" t="n">
        <v>13.16596984863281</v>
      </c>
      <c r="G3214" t="n">
        <v>76.63922882080078</v>
      </c>
      <c r="H3214">
        <f>AVERAGE(D3015:D3214)</f>
        <v/>
      </c>
      <c r="I3214">
        <f>AVERAGE(E3015:E3214)</f>
        <v/>
      </c>
      <c r="J3214">
        <f>AVERAGE(F3015:F3214)</f>
        <v/>
      </c>
    </row>
    <row r="3215">
      <c r="C3215" s="539" t="n">
        <v>44112</v>
      </c>
      <c r="D3215" t="n">
        <v>177.8500061035156</v>
      </c>
      <c r="E3215" t="n">
        <v>29.13999938964844</v>
      </c>
      <c r="F3215" t="n">
        <v>13.15714454650879</v>
      </c>
      <c r="G3215" t="n">
        <v>76.63922882080078</v>
      </c>
      <c r="H3215">
        <f>AVERAGE(D3016:D3215)</f>
        <v/>
      </c>
      <c r="I3215">
        <f>AVERAGE(E3016:E3215)</f>
        <v/>
      </c>
      <c r="J3215">
        <f>AVERAGE(F3016:F3215)</f>
        <v/>
      </c>
    </row>
    <row r="3216">
      <c r="C3216" s="539" t="n">
        <v>44113</v>
      </c>
      <c r="D3216" t="n">
        <v>181.0800018310547</v>
      </c>
      <c r="E3216" t="n">
        <v>28.69000053405762</v>
      </c>
      <c r="F3216" t="n">
        <v>13.20126628875732</v>
      </c>
      <c r="G3216" t="n">
        <v>76.63922882080078</v>
      </c>
      <c r="H3216">
        <f>AVERAGE(D3017:D3216)</f>
        <v/>
      </c>
      <c r="I3216">
        <f>AVERAGE(E3017:E3216)</f>
        <v/>
      </c>
      <c r="J3216">
        <f>AVERAGE(F3017:F3216)</f>
        <v/>
      </c>
    </row>
    <row r="3217">
      <c r="C3217" s="539" t="n">
        <v>44116</v>
      </c>
      <c r="D3217" t="n">
        <v>180.5599975585938</v>
      </c>
      <c r="E3217" t="n">
        <v>28.06999969482422</v>
      </c>
      <c r="F3217" t="n">
        <v>13.05125141143799</v>
      </c>
      <c r="G3217" t="n">
        <v>76.6475830078125</v>
      </c>
      <c r="H3217">
        <f>AVERAGE(D3018:D3217)</f>
        <v/>
      </c>
      <c r="I3217">
        <f>AVERAGE(E3018:E3217)</f>
        <v/>
      </c>
      <c r="J3217">
        <f>AVERAGE(F3018:F3217)</f>
        <v/>
      </c>
    </row>
    <row r="3218">
      <c r="C3218" s="539" t="n">
        <v>44117</v>
      </c>
      <c r="D3218" t="n">
        <v>177.7200012207031</v>
      </c>
      <c r="E3218" t="n">
        <v>28.45999908447266</v>
      </c>
      <c r="F3218" t="n">
        <v>13.06890106201172</v>
      </c>
      <c r="G3218" t="n">
        <v>76.63922882080078</v>
      </c>
      <c r="H3218">
        <f>AVERAGE(D3019:D3218)</f>
        <v/>
      </c>
      <c r="I3218">
        <f>AVERAGE(E3019:E3218)</f>
        <v/>
      </c>
      <c r="J3218">
        <f>AVERAGE(F3019:F3218)</f>
        <v/>
      </c>
    </row>
    <row r="3219">
      <c r="C3219" s="539" t="n">
        <v>44118</v>
      </c>
      <c r="D3219" t="n">
        <v>178.2700042724609</v>
      </c>
      <c r="E3219" t="n">
        <v>28.97999954223633</v>
      </c>
      <c r="F3219" t="n">
        <v>13.13949680328369</v>
      </c>
      <c r="G3219" t="n">
        <v>76.63922882080078</v>
      </c>
      <c r="H3219">
        <f>AVERAGE(D3020:D3219)</f>
        <v/>
      </c>
      <c r="I3219">
        <f>AVERAGE(E3020:E3219)</f>
        <v/>
      </c>
      <c r="J3219">
        <f>AVERAGE(F3020:F3219)</f>
        <v/>
      </c>
    </row>
    <row r="3220">
      <c r="C3220" s="539" t="n">
        <v>44119</v>
      </c>
      <c r="D3220" t="n">
        <v>178.9199981689453</v>
      </c>
      <c r="E3220" t="n">
        <v>28.94000053405762</v>
      </c>
      <c r="F3220" t="n">
        <v>13.12184619903564</v>
      </c>
      <c r="G3220" t="n">
        <v>76.63922882080078</v>
      </c>
      <c r="H3220">
        <f>AVERAGE(D3021:D3220)</f>
        <v/>
      </c>
      <c r="I3220">
        <f>AVERAGE(E3021:E3220)</f>
        <v/>
      </c>
      <c r="J3220">
        <f>AVERAGE(F3021:F3220)</f>
        <v/>
      </c>
    </row>
    <row r="3221">
      <c r="C3221" s="539" t="n">
        <v>44120</v>
      </c>
      <c r="D3221" t="n">
        <v>178.3000030517578</v>
      </c>
      <c r="E3221" t="n">
        <v>28.71999931335449</v>
      </c>
      <c r="F3221" t="n">
        <v>13.07772445678711</v>
      </c>
      <c r="G3221" t="n">
        <v>76.6475830078125</v>
      </c>
      <c r="H3221">
        <f>AVERAGE(D3022:D3221)</f>
        <v/>
      </c>
      <c r="I3221">
        <f>AVERAGE(E3022:E3221)</f>
        <v/>
      </c>
      <c r="J3221">
        <f>AVERAGE(F3022:F3221)</f>
        <v/>
      </c>
    </row>
    <row r="3222">
      <c r="C3222" s="539" t="n">
        <v>44123</v>
      </c>
      <c r="D3222" t="n">
        <v>178.3899993896484</v>
      </c>
      <c r="E3222" t="n">
        <v>28.59000015258789</v>
      </c>
      <c r="F3222" t="n">
        <v>13.13067150115967</v>
      </c>
      <c r="G3222" t="n">
        <v>76.6475830078125</v>
      </c>
      <c r="H3222">
        <f>AVERAGE(D3023:D3222)</f>
        <v/>
      </c>
      <c r="I3222">
        <f>AVERAGE(E3023:E3222)</f>
        <v/>
      </c>
      <c r="J3222">
        <f>AVERAGE(F3023:F3222)</f>
        <v/>
      </c>
    </row>
    <row r="3223">
      <c r="C3223" s="539" t="n">
        <v>44124</v>
      </c>
      <c r="D3223" t="n">
        <v>179.25</v>
      </c>
      <c r="E3223" t="n">
        <v>29.04999923706055</v>
      </c>
      <c r="F3223" t="n">
        <v>13.12184619903564</v>
      </c>
      <c r="G3223" t="n">
        <v>76.63922882080078</v>
      </c>
      <c r="H3223">
        <f>AVERAGE(D3024:D3223)</f>
        <v/>
      </c>
      <c r="I3223">
        <f>AVERAGE(E3024:E3223)</f>
        <v/>
      </c>
      <c r="J3223">
        <f>AVERAGE(F3024:F3223)</f>
        <v/>
      </c>
    </row>
    <row r="3224">
      <c r="C3224" s="539" t="n">
        <v>44125</v>
      </c>
      <c r="D3224" t="n">
        <v>180.6000061035156</v>
      </c>
      <c r="E3224" t="n">
        <v>28.10000038146973</v>
      </c>
      <c r="F3224" t="n">
        <v>13.13067150115967</v>
      </c>
      <c r="G3224" t="n">
        <v>76.63922882080078</v>
      </c>
      <c r="H3224">
        <f>AVERAGE(D3025:D3224)</f>
        <v/>
      </c>
      <c r="I3224">
        <f>AVERAGE(E3025:E3224)</f>
        <v/>
      </c>
      <c r="J3224">
        <f>AVERAGE(F3025:F3224)</f>
        <v/>
      </c>
    </row>
    <row r="3225">
      <c r="C3225" s="539" t="n">
        <v>44126</v>
      </c>
      <c r="D3225" t="n">
        <v>178.8300018310547</v>
      </c>
      <c r="E3225" t="n">
        <v>28.51000022888184</v>
      </c>
      <c r="F3225" t="n">
        <v>13.16596984863281</v>
      </c>
      <c r="G3225" t="n">
        <v>76.6475830078125</v>
      </c>
      <c r="H3225">
        <f>AVERAGE(D3026:D3225)</f>
        <v/>
      </c>
      <c r="I3225">
        <f>AVERAGE(E3026:E3225)</f>
        <v/>
      </c>
      <c r="J3225">
        <f>AVERAGE(F3026:F3225)</f>
        <v/>
      </c>
    </row>
    <row r="3226">
      <c r="C3226" s="539" t="n">
        <v>44127</v>
      </c>
      <c r="D3226" t="n">
        <v>178.6399993896484</v>
      </c>
      <c r="E3226" t="n">
        <v>27.8799991607666</v>
      </c>
      <c r="F3226" t="n">
        <v>13.18361854553223</v>
      </c>
      <c r="G3226" t="n">
        <v>76.6475830078125</v>
      </c>
      <c r="H3226">
        <f>AVERAGE(D3027:D3226)</f>
        <v/>
      </c>
      <c r="I3226">
        <f>AVERAGE(E3027:E3226)</f>
        <v/>
      </c>
      <c r="J3226">
        <f>AVERAGE(F3027:F3226)</f>
        <v/>
      </c>
    </row>
    <row r="3227">
      <c r="C3227" s="539" t="n">
        <v>44130</v>
      </c>
      <c r="D3227" t="n">
        <v>178.5500030517578</v>
      </c>
      <c r="E3227" t="n">
        <v>27.11000061035156</v>
      </c>
      <c r="F3227" t="n">
        <v>13.13949680328369</v>
      </c>
      <c r="G3227" t="n">
        <v>76.6475830078125</v>
      </c>
      <c r="H3227">
        <f>AVERAGE(D3028:D3227)</f>
        <v/>
      </c>
      <c r="I3227">
        <f>AVERAGE(E3028:E3227)</f>
        <v/>
      </c>
      <c r="J3227">
        <f>AVERAGE(F3028:F3227)</f>
        <v/>
      </c>
    </row>
    <row r="3228">
      <c r="C3228" s="539" t="n">
        <v>44131</v>
      </c>
      <c r="D3228" t="n">
        <v>179.0200042724609</v>
      </c>
      <c r="E3228" t="n">
        <v>27.69000053405762</v>
      </c>
      <c r="F3228" t="n">
        <v>13.05125141143799</v>
      </c>
      <c r="G3228" t="n">
        <v>76.63922882080078</v>
      </c>
      <c r="H3228">
        <f>AVERAGE(D3029:D3228)</f>
        <v/>
      </c>
      <c r="I3228">
        <f>AVERAGE(E3029:E3228)</f>
        <v/>
      </c>
      <c r="J3228">
        <f>AVERAGE(F3029:F3228)</f>
        <v/>
      </c>
    </row>
    <row r="3229">
      <c r="C3229" s="539" t="n">
        <v>44132</v>
      </c>
      <c r="D3229" t="n">
        <v>176.1300048828125</v>
      </c>
      <c r="E3229" t="n">
        <v>26.30999946594238</v>
      </c>
      <c r="F3229" t="n">
        <v>12.87476539611816</v>
      </c>
      <c r="G3229" t="n">
        <v>76.63922882080078</v>
      </c>
      <c r="H3229">
        <f>AVERAGE(D3030:D3229)</f>
        <v/>
      </c>
      <c r="I3229">
        <f>AVERAGE(E3030:E3229)</f>
        <v/>
      </c>
      <c r="J3229">
        <f>AVERAGE(F3030:F3229)</f>
        <v/>
      </c>
    </row>
    <row r="3230">
      <c r="C3230" s="539" t="n">
        <v>44133</v>
      </c>
      <c r="D3230" t="n">
        <v>175.3999938964844</v>
      </c>
      <c r="E3230" t="n">
        <v>25.60000038146973</v>
      </c>
      <c r="F3230" t="n">
        <v>12.83064270019531</v>
      </c>
      <c r="G3230" t="n">
        <v>76.6475830078125</v>
      </c>
      <c r="H3230">
        <f>AVERAGE(D3031:D3230)</f>
        <v/>
      </c>
      <c r="I3230">
        <f>AVERAGE(E3031:E3230)</f>
        <v/>
      </c>
      <c r="J3230">
        <f>AVERAGE(F3031:F3230)</f>
        <v/>
      </c>
    </row>
    <row r="3231">
      <c r="C3231" s="539" t="n">
        <v>44134</v>
      </c>
      <c r="D3231" t="n">
        <v>176.1999969482422</v>
      </c>
      <c r="E3231" t="n">
        <v>25.25</v>
      </c>
      <c r="F3231" t="n">
        <v>12.83946704864502</v>
      </c>
      <c r="G3231" t="n">
        <v>76.6475830078125</v>
      </c>
      <c r="H3231">
        <f>AVERAGE(D3032:D3231)</f>
        <v/>
      </c>
      <c r="I3231">
        <f>AVERAGE(E3032:E3231)</f>
        <v/>
      </c>
      <c r="J3231">
        <f>AVERAGE(F3032:F3231)</f>
        <v/>
      </c>
    </row>
    <row r="3232">
      <c r="C3232" s="539" t="n">
        <v>44137</v>
      </c>
      <c r="D3232" t="n">
        <v>177.9100036621094</v>
      </c>
      <c r="E3232" t="n">
        <v>26.26000022888184</v>
      </c>
      <c r="F3232" t="n">
        <v>12.84829139709473</v>
      </c>
      <c r="G3232" t="n">
        <v>76.6475830078125</v>
      </c>
      <c r="H3232">
        <f>AVERAGE(D3033:D3232)</f>
        <v/>
      </c>
      <c r="I3232">
        <f>AVERAGE(E3033:E3232)</f>
        <v/>
      </c>
      <c r="J3232">
        <f>AVERAGE(F3033:F3232)</f>
        <v/>
      </c>
    </row>
    <row r="3233">
      <c r="C3233" s="539" t="n">
        <v>44138</v>
      </c>
      <c r="D3233" t="n">
        <v>178.9199981689453</v>
      </c>
      <c r="E3233" t="n">
        <v>26.71999931335449</v>
      </c>
      <c r="F3233" t="n">
        <v>12.90123653411865</v>
      </c>
      <c r="G3233" t="n">
        <v>76.6475830078125</v>
      </c>
      <c r="H3233">
        <f>AVERAGE(D3034:D3233)</f>
        <v/>
      </c>
      <c r="I3233">
        <f>AVERAGE(E3034:E3233)</f>
        <v/>
      </c>
      <c r="J3233">
        <f>AVERAGE(F3034:F3233)</f>
        <v/>
      </c>
    </row>
    <row r="3234">
      <c r="C3234" s="539" t="n">
        <v>44139</v>
      </c>
      <c r="D3234" t="n">
        <v>178.8200073242188</v>
      </c>
      <c r="E3234" t="n">
        <v>27.44000053405762</v>
      </c>
      <c r="F3234" t="n">
        <v>12.95418453216553</v>
      </c>
      <c r="G3234" t="n">
        <v>76.63922882080078</v>
      </c>
      <c r="H3234">
        <f>AVERAGE(D3035:D3234)</f>
        <v/>
      </c>
      <c r="I3234">
        <f>AVERAGE(E3035:E3234)</f>
        <v/>
      </c>
      <c r="J3234">
        <f>AVERAGE(F3035:F3234)</f>
        <v/>
      </c>
    </row>
    <row r="3235">
      <c r="C3235" s="539" t="n">
        <v>44140</v>
      </c>
      <c r="D3235" t="n">
        <v>182.9299926757812</v>
      </c>
      <c r="E3235" t="n">
        <v>27.15999984741211</v>
      </c>
      <c r="F3235" t="n">
        <v>13.06890106201172</v>
      </c>
      <c r="G3235" t="n">
        <v>76.6475830078125</v>
      </c>
      <c r="H3235">
        <f>AVERAGE(D3036:D3235)</f>
        <v/>
      </c>
      <c r="I3235">
        <f>AVERAGE(E3036:E3235)</f>
        <v/>
      </c>
      <c r="J3235">
        <f>AVERAGE(F3036:F3235)</f>
        <v/>
      </c>
    </row>
    <row r="3236">
      <c r="C3236" s="539" t="n">
        <v>44141</v>
      </c>
      <c r="D3236" t="n">
        <v>183.1900024414062</v>
      </c>
      <c r="E3236" t="n">
        <v>26.46999931335449</v>
      </c>
      <c r="F3236" t="n">
        <v>13.13067150115967</v>
      </c>
      <c r="G3236" t="n">
        <v>76.63922882080078</v>
      </c>
      <c r="H3236">
        <f>AVERAGE(D3037:D3236)</f>
        <v/>
      </c>
      <c r="I3236">
        <f>AVERAGE(E3037:E3236)</f>
        <v/>
      </c>
      <c r="J3236">
        <f>AVERAGE(F3037:F3236)</f>
        <v/>
      </c>
    </row>
    <row r="3237">
      <c r="C3237" s="539" t="n">
        <v>44144</v>
      </c>
      <c r="D3237" t="n">
        <v>175.0800018310547</v>
      </c>
      <c r="E3237" t="n">
        <v>28.06999969482422</v>
      </c>
      <c r="F3237" t="n">
        <v>13.1924409866333</v>
      </c>
      <c r="G3237" t="n">
        <v>76.6475830078125</v>
      </c>
      <c r="H3237">
        <f>AVERAGE(D3038:D3237)</f>
        <v/>
      </c>
      <c r="I3237">
        <f>AVERAGE(E3038:E3237)</f>
        <v/>
      </c>
      <c r="J3237">
        <f>AVERAGE(F3038:F3237)</f>
        <v/>
      </c>
    </row>
    <row r="3238">
      <c r="C3238" s="539" t="n">
        <v>44145</v>
      </c>
      <c r="D3238" t="n">
        <v>175.6600036621094</v>
      </c>
      <c r="E3238" t="n">
        <v>28.90999984741211</v>
      </c>
      <c r="F3238" t="n">
        <v>13.34245681762695</v>
      </c>
      <c r="G3238" t="n">
        <v>76.63922882080078</v>
      </c>
      <c r="H3238">
        <f>AVERAGE(D3039:D3238)</f>
        <v/>
      </c>
      <c r="I3238">
        <f>AVERAGE(E3039:E3238)</f>
        <v/>
      </c>
      <c r="J3238">
        <f>AVERAGE(F3039:F3238)</f>
        <v/>
      </c>
    </row>
    <row r="3239">
      <c r="C3239" s="539" t="n">
        <v>44146</v>
      </c>
      <c r="D3239" t="n">
        <v>174.8999938964844</v>
      </c>
      <c r="E3239" t="n">
        <v>29.04000091552734</v>
      </c>
      <c r="F3239" t="n">
        <v>13.31598377227783</v>
      </c>
      <c r="G3239" t="n">
        <v>76.63922882080078</v>
      </c>
      <c r="H3239">
        <f>AVERAGE(D3040:D3239)</f>
        <v/>
      </c>
      <c r="I3239">
        <f>AVERAGE(E3040:E3239)</f>
        <v/>
      </c>
      <c r="J3239">
        <f>AVERAGE(F3040:F3239)</f>
        <v/>
      </c>
    </row>
    <row r="3240">
      <c r="C3240" s="539" t="n">
        <v>44147</v>
      </c>
      <c r="D3240" t="n">
        <v>175.9600067138672</v>
      </c>
      <c r="E3240" t="n">
        <v>28.65999984741211</v>
      </c>
      <c r="F3240" t="n">
        <v>13.24538803100586</v>
      </c>
      <c r="G3240" t="n">
        <v>76.63922882080078</v>
      </c>
      <c r="H3240">
        <f>AVERAGE(D3041:D3240)</f>
        <v/>
      </c>
      <c r="I3240">
        <f>AVERAGE(E3041:E3240)</f>
        <v/>
      </c>
      <c r="J3240">
        <f>AVERAGE(F3041:F3240)</f>
        <v/>
      </c>
    </row>
    <row r="3241">
      <c r="C3241" s="539" t="n">
        <v>44148</v>
      </c>
      <c r="D3241" t="n">
        <v>177.1600036621094</v>
      </c>
      <c r="E3241" t="n">
        <v>28.1299991607666</v>
      </c>
      <c r="F3241" t="n">
        <v>13.25421333312988</v>
      </c>
      <c r="G3241" t="n">
        <v>76.6475830078125</v>
      </c>
      <c r="H3241">
        <f>AVERAGE(D3042:D3241)</f>
        <v/>
      </c>
      <c r="I3241">
        <f>AVERAGE(E3042:E3241)</f>
        <v/>
      </c>
      <c r="J3241">
        <f>AVERAGE(F3042:F3241)</f>
        <v/>
      </c>
    </row>
    <row r="3242">
      <c r="C3242" s="539" t="n">
        <v>44151</v>
      </c>
      <c r="D3242" t="n">
        <v>177.1499938964844</v>
      </c>
      <c r="E3242" t="n">
        <v>28.80999946594238</v>
      </c>
      <c r="F3242" t="n">
        <v>13.43952465057373</v>
      </c>
      <c r="G3242" t="n">
        <v>76.6475830078125</v>
      </c>
      <c r="H3242">
        <f>AVERAGE(D3043:D3242)</f>
        <v/>
      </c>
      <c r="I3242">
        <f>AVERAGE(E3043:E3242)</f>
        <v/>
      </c>
      <c r="J3242">
        <f>AVERAGE(F3043:F3242)</f>
        <v/>
      </c>
    </row>
    <row r="3243">
      <c r="C3243" s="539" t="n">
        <v>44152</v>
      </c>
      <c r="D3243" t="n">
        <v>176.5</v>
      </c>
      <c r="E3243" t="n">
        <v>28.8700008392334</v>
      </c>
      <c r="F3243" t="n">
        <v>13.55424118041992</v>
      </c>
      <c r="G3243" t="n">
        <v>76.6475830078125</v>
      </c>
      <c r="H3243">
        <f>AVERAGE(D3044:D3243)</f>
        <v/>
      </c>
      <c r="I3243">
        <f>AVERAGE(E3044:E3243)</f>
        <v/>
      </c>
      <c r="J3243">
        <f>AVERAGE(F3044:F3243)</f>
        <v/>
      </c>
    </row>
    <row r="3244">
      <c r="C3244" s="539" t="n">
        <v>44153</v>
      </c>
      <c r="D3244" t="n">
        <v>175.4900054931641</v>
      </c>
      <c r="E3244" t="n">
        <v>29</v>
      </c>
      <c r="F3244" t="n">
        <v>13.64248466491699</v>
      </c>
      <c r="G3244" t="n">
        <v>76.6475830078125</v>
      </c>
      <c r="H3244">
        <f>AVERAGE(D3045:D3244)</f>
        <v/>
      </c>
      <c r="I3244">
        <f>AVERAGE(E3045:E3244)</f>
        <v/>
      </c>
      <c r="J3244">
        <f>AVERAGE(F3045:F3244)</f>
        <v/>
      </c>
    </row>
    <row r="3245">
      <c r="C3245" s="539" t="n">
        <v>44154</v>
      </c>
      <c r="D3245" t="n">
        <v>175.1600036621094</v>
      </c>
      <c r="E3245" t="n">
        <v>29.09000015258789</v>
      </c>
      <c r="F3245" t="n">
        <v>13.58953952789307</v>
      </c>
      <c r="G3245" t="n">
        <v>76.6475830078125</v>
      </c>
      <c r="H3245">
        <f>AVERAGE(D3046:D3245)</f>
        <v/>
      </c>
      <c r="I3245">
        <f>AVERAGE(E3046:E3245)</f>
        <v/>
      </c>
      <c r="J3245">
        <f>AVERAGE(F3046:F3245)</f>
        <v/>
      </c>
    </row>
    <row r="3246">
      <c r="C3246" s="539" t="n">
        <v>44155</v>
      </c>
      <c r="D3246" t="n">
        <v>175.6900024414062</v>
      </c>
      <c r="E3246" t="n">
        <v>29.27000045776367</v>
      </c>
      <c r="F3246" t="n">
        <v>13.58071517944336</v>
      </c>
      <c r="G3246" t="n">
        <v>76.6475830078125</v>
      </c>
      <c r="H3246">
        <f>AVERAGE(D3047:D3246)</f>
        <v/>
      </c>
      <c r="I3246">
        <f>AVERAGE(E3047:E3246)</f>
        <v/>
      </c>
      <c r="J3246">
        <f>AVERAGE(F3047:F3246)</f>
        <v/>
      </c>
    </row>
    <row r="3247">
      <c r="C3247" s="539" t="n">
        <v>44158</v>
      </c>
      <c r="D3247" t="n">
        <v>172.2299957275391</v>
      </c>
      <c r="E3247" t="n">
        <v>29.52000045776367</v>
      </c>
      <c r="F3247" t="n">
        <v>13.68660736083984</v>
      </c>
      <c r="G3247" t="n">
        <v>76.6475830078125</v>
      </c>
      <c r="H3247">
        <f>AVERAGE(D3048:D3247)</f>
        <v/>
      </c>
      <c r="I3247">
        <f>AVERAGE(E3048:E3247)</f>
        <v/>
      </c>
      <c r="J3247">
        <f>AVERAGE(F3048:F3247)</f>
        <v/>
      </c>
    </row>
    <row r="3248">
      <c r="C3248" s="539" t="n">
        <v>44159</v>
      </c>
      <c r="D3248" t="n">
        <v>169.5899963378906</v>
      </c>
      <c r="E3248" t="n">
        <v>30.79999923706055</v>
      </c>
      <c r="F3248" t="n">
        <v>13.73955345153809</v>
      </c>
      <c r="G3248" t="n">
        <v>76.6475830078125</v>
      </c>
      <c r="H3248">
        <f>AVERAGE(D3049:D3248)</f>
        <v/>
      </c>
      <c r="I3248">
        <f>AVERAGE(E3049:E3248)</f>
        <v/>
      </c>
      <c r="J3248">
        <f>AVERAGE(F3049:F3248)</f>
        <v/>
      </c>
    </row>
    <row r="3249">
      <c r="C3249" s="539" t="n">
        <v>44160</v>
      </c>
      <c r="D3249" t="n">
        <v>169.5099945068359</v>
      </c>
      <c r="E3249" t="n">
        <v>31.3700008392334</v>
      </c>
      <c r="F3249" t="n">
        <v>13.66013240814209</v>
      </c>
      <c r="G3249" t="n">
        <v>76.63922882080078</v>
      </c>
      <c r="H3249">
        <f>AVERAGE(D3050:D3249)</f>
        <v/>
      </c>
      <c r="I3249">
        <f>AVERAGE(E3050:E3249)</f>
        <v/>
      </c>
      <c r="J3249">
        <f>AVERAGE(F3050:F3249)</f>
        <v/>
      </c>
    </row>
    <row r="3250">
      <c r="C3250" s="539" t="n">
        <v>44162</v>
      </c>
      <c r="D3250" t="n">
        <v>167.7899932861328</v>
      </c>
      <c r="E3250" t="n">
        <v>31.21999931335449</v>
      </c>
      <c r="F3250" t="n">
        <v>13.81897258758545</v>
      </c>
      <c r="G3250" t="n">
        <v>76.6475830078125</v>
      </c>
      <c r="H3250">
        <f>AVERAGE(D3051:D3250)</f>
        <v/>
      </c>
      <c r="I3250">
        <f>AVERAGE(E3051:E3250)</f>
        <v/>
      </c>
      <c r="J3250">
        <f>AVERAGE(F3051:F3250)</f>
        <v/>
      </c>
    </row>
    <row r="3251">
      <c r="C3251" s="539" t="n">
        <v>44165</v>
      </c>
      <c r="D3251" t="n">
        <v>166.6699981689453</v>
      </c>
      <c r="E3251" t="n">
        <v>30.96999931335449</v>
      </c>
      <c r="F3251" t="n">
        <v>13.73072910308838</v>
      </c>
      <c r="G3251" t="n">
        <v>76.63922882080078</v>
      </c>
      <c r="H3251">
        <f>AVERAGE(D3052:D3251)</f>
        <v/>
      </c>
      <c r="I3251">
        <f>AVERAGE(E3052:E3251)</f>
        <v/>
      </c>
      <c r="J3251">
        <f>AVERAGE(F3052:F3251)</f>
        <v/>
      </c>
    </row>
    <row r="3252">
      <c r="C3252" s="539" t="n">
        <v>44166</v>
      </c>
      <c r="D3252" t="n">
        <v>170.1799926757812</v>
      </c>
      <c r="E3252" t="n">
        <v>30.6200008392334</v>
      </c>
      <c r="F3252" t="n">
        <v>13.58071517944336</v>
      </c>
      <c r="G3252" t="n">
        <v>76.63336181640625</v>
      </c>
      <c r="H3252">
        <f>AVERAGE(D3053:D3252)</f>
        <v/>
      </c>
      <c r="I3252">
        <f>AVERAGE(E3053:E3252)</f>
        <v/>
      </c>
      <c r="J3252">
        <f>AVERAGE(F3053:F3252)</f>
        <v/>
      </c>
    </row>
    <row r="3253">
      <c r="C3253" s="539" t="n">
        <v>44167</v>
      </c>
      <c r="D3253" t="n">
        <v>171.4600067138672</v>
      </c>
      <c r="E3253" t="n">
        <v>30.96999931335449</v>
      </c>
      <c r="F3253" t="n">
        <v>13.60718822479248</v>
      </c>
      <c r="G3253" t="n">
        <v>76.6417236328125</v>
      </c>
      <c r="H3253">
        <f>AVERAGE(D3054:D3253)</f>
        <v/>
      </c>
      <c r="I3253">
        <f>AVERAGE(E3054:E3253)</f>
        <v/>
      </c>
      <c r="J3253">
        <f>AVERAGE(F3054:F3253)</f>
        <v/>
      </c>
    </row>
    <row r="3254">
      <c r="C3254" s="539" t="n">
        <v>44168</v>
      </c>
      <c r="D3254" t="n">
        <v>172.8099975585938</v>
      </c>
      <c r="E3254" t="n">
        <v>31.25</v>
      </c>
      <c r="F3254" t="n">
        <v>13.57188987731934</v>
      </c>
      <c r="G3254" t="n">
        <v>76.6417236328125</v>
      </c>
      <c r="H3254">
        <f>AVERAGE(D3055:D3254)</f>
        <v/>
      </c>
      <c r="I3254">
        <f>AVERAGE(E3055:E3254)</f>
        <v/>
      </c>
      <c r="J3254">
        <f>AVERAGE(F3055:F3254)</f>
        <v/>
      </c>
    </row>
    <row r="3255">
      <c r="C3255" s="539" t="n">
        <v>44169</v>
      </c>
      <c r="D3255" t="n">
        <v>172.3200073242188</v>
      </c>
      <c r="E3255" t="n">
        <v>31.55999946594238</v>
      </c>
      <c r="F3255" t="n">
        <v>13.50129508972168</v>
      </c>
      <c r="G3255" t="n">
        <v>76.65010070800781</v>
      </c>
      <c r="H3255">
        <f>AVERAGE(D3056:D3255)</f>
        <v/>
      </c>
      <c r="I3255">
        <f>AVERAGE(E3056:E3255)</f>
        <v/>
      </c>
      <c r="J3255">
        <f>AVERAGE(F3056:F3255)</f>
        <v/>
      </c>
    </row>
    <row r="3256">
      <c r="C3256" s="539" t="n">
        <v>44172</v>
      </c>
      <c r="D3256" t="n">
        <v>174.8899993896484</v>
      </c>
      <c r="E3256" t="n">
        <v>31.39999961853027</v>
      </c>
      <c r="F3256" t="n">
        <v>13.49247074127197</v>
      </c>
      <c r="G3256" t="n">
        <v>76.63336181640625</v>
      </c>
      <c r="H3256">
        <f>AVERAGE(D3057:D3256)</f>
        <v/>
      </c>
      <c r="I3256">
        <f>AVERAGE(E3057:E3256)</f>
        <v/>
      </c>
      <c r="J3256">
        <f>AVERAGE(F3057:F3256)</f>
        <v/>
      </c>
    </row>
    <row r="3257">
      <c r="C3257" s="539" t="n">
        <v>44173</v>
      </c>
      <c r="D3257" t="n">
        <v>175.5</v>
      </c>
      <c r="E3257" t="n">
        <v>31.40999984741211</v>
      </c>
      <c r="F3257" t="n">
        <v>13.44834804534912</v>
      </c>
      <c r="G3257" t="n">
        <v>76.63336181640625</v>
      </c>
      <c r="H3257">
        <f>AVERAGE(D3058:D3257)</f>
        <v/>
      </c>
      <c r="I3257">
        <f>AVERAGE(E3058:E3257)</f>
        <v/>
      </c>
      <c r="J3257">
        <f>AVERAGE(F3058:F3257)</f>
        <v/>
      </c>
    </row>
    <row r="3258">
      <c r="C3258" s="539" t="n">
        <v>44174</v>
      </c>
      <c r="D3258" t="n">
        <v>172.5</v>
      </c>
      <c r="E3258" t="n">
        <v>31.34000015258789</v>
      </c>
      <c r="F3258" t="n">
        <v>13.47482299804688</v>
      </c>
      <c r="G3258" t="n">
        <v>76.63336181640625</v>
      </c>
      <c r="H3258">
        <f>AVERAGE(D3059:D3258)</f>
        <v/>
      </c>
      <c r="I3258">
        <f>AVERAGE(E3059:E3258)</f>
        <v/>
      </c>
      <c r="J3258">
        <f>AVERAGE(F3059:F3258)</f>
        <v/>
      </c>
    </row>
    <row r="3259">
      <c r="C3259" s="539" t="n">
        <v>44175</v>
      </c>
      <c r="D3259" t="n">
        <v>172.1699981689453</v>
      </c>
      <c r="E3259" t="n">
        <v>32.11000061035156</v>
      </c>
      <c r="F3259" t="n">
        <v>13.53659343719482</v>
      </c>
      <c r="G3259" t="n">
        <v>76.63336181640625</v>
      </c>
      <c r="H3259">
        <f>AVERAGE(D3060:D3259)</f>
        <v/>
      </c>
      <c r="I3259">
        <f>AVERAGE(E3060:E3259)</f>
        <v/>
      </c>
      <c r="J3259">
        <f>AVERAGE(F3060:F3259)</f>
        <v/>
      </c>
    </row>
    <row r="3260">
      <c r="C3260" s="539" t="n">
        <v>44176</v>
      </c>
      <c r="D3260" t="n">
        <v>172.4900054931641</v>
      </c>
      <c r="E3260" t="n">
        <v>31.94000053405762</v>
      </c>
      <c r="F3260" t="n">
        <v>13.66013240814209</v>
      </c>
      <c r="G3260" t="n">
        <v>76.6417236328125</v>
      </c>
      <c r="H3260">
        <f>AVERAGE(D3061:D3260)</f>
        <v/>
      </c>
      <c r="I3260">
        <f>AVERAGE(E3061:E3260)</f>
        <v/>
      </c>
      <c r="J3260">
        <f>AVERAGE(F3061:F3260)</f>
        <v/>
      </c>
    </row>
    <row r="3261">
      <c r="C3261" s="539" t="n">
        <v>44179</v>
      </c>
      <c r="D3261" t="n">
        <v>171.5399932861328</v>
      </c>
      <c r="E3261" t="n">
        <v>32.16999816894531</v>
      </c>
      <c r="F3261" t="n">
        <v>13.66013240814209</v>
      </c>
      <c r="G3261" t="n">
        <v>76.63336181640625</v>
      </c>
      <c r="H3261">
        <f>AVERAGE(D3062:D3261)</f>
        <v/>
      </c>
      <c r="I3261">
        <f>AVERAGE(E3062:E3261)</f>
        <v/>
      </c>
      <c r="J3261">
        <f>AVERAGE(F3062:F3261)</f>
        <v/>
      </c>
    </row>
    <row r="3262">
      <c r="C3262" s="539" t="n">
        <v>44180</v>
      </c>
      <c r="D3262" t="n">
        <v>173.9400024414062</v>
      </c>
      <c r="E3262" t="n">
        <v>32.54000091552734</v>
      </c>
      <c r="F3262" t="n">
        <v>13.68660736083984</v>
      </c>
      <c r="G3262" t="n">
        <v>76.63336181640625</v>
      </c>
      <c r="H3262">
        <f>AVERAGE(D3063:D3262)</f>
        <v/>
      </c>
      <c r="I3262">
        <f>AVERAGE(E3063:E3262)</f>
        <v/>
      </c>
      <c r="J3262">
        <f>AVERAGE(F3063:F3262)</f>
        <v/>
      </c>
    </row>
    <row r="3263">
      <c r="C3263" s="539" t="n">
        <v>44181</v>
      </c>
      <c r="D3263" t="n">
        <v>174.8999938964844</v>
      </c>
      <c r="E3263" t="n">
        <v>32.7400016784668</v>
      </c>
      <c r="F3263" t="n">
        <v>13.69543266296387</v>
      </c>
      <c r="G3263" t="n">
        <v>76.6417236328125</v>
      </c>
      <c r="H3263">
        <f>AVERAGE(D3064:D3263)</f>
        <v/>
      </c>
      <c r="I3263">
        <f>AVERAGE(E3064:E3263)</f>
        <v/>
      </c>
      <c r="J3263">
        <f>AVERAGE(F3064:F3263)</f>
        <v/>
      </c>
    </row>
    <row r="3264">
      <c r="C3264" s="539" t="n">
        <v>44182</v>
      </c>
      <c r="D3264" t="n">
        <v>176.7400054931641</v>
      </c>
      <c r="E3264" t="n">
        <v>33.15999984741211</v>
      </c>
      <c r="F3264" t="n">
        <v>13.77485084533691</v>
      </c>
      <c r="G3264" t="n">
        <v>76.6417236328125</v>
      </c>
      <c r="H3264">
        <f>AVERAGE(D3065:D3264)</f>
        <v/>
      </c>
      <c r="I3264">
        <f>AVERAGE(E3065:E3264)</f>
        <v/>
      </c>
      <c r="J3264">
        <f>AVERAGE(F3065:F3264)</f>
        <v/>
      </c>
    </row>
    <row r="3265">
      <c r="C3265" s="539" t="n">
        <v>44183</v>
      </c>
      <c r="D3265" t="n">
        <v>176.4400024414062</v>
      </c>
      <c r="E3265" t="n">
        <v>33.47999954223633</v>
      </c>
      <c r="F3265" t="n">
        <v>13.77485084533691</v>
      </c>
      <c r="G3265" t="n">
        <v>76.6417236328125</v>
      </c>
      <c r="H3265">
        <f>AVERAGE(D3066:D3265)</f>
        <v/>
      </c>
      <c r="I3265">
        <f>AVERAGE(E3066:E3265)</f>
        <v/>
      </c>
      <c r="J3265">
        <f>AVERAGE(F3066:F3265)</f>
        <v/>
      </c>
    </row>
    <row r="3266">
      <c r="C3266" s="539" t="n">
        <v>44186</v>
      </c>
      <c r="D3266" t="n">
        <v>175.8800048828125</v>
      </c>
      <c r="E3266" t="n">
        <v>32.63999938964844</v>
      </c>
      <c r="F3266" t="n">
        <v>13.83662223815918</v>
      </c>
      <c r="G3266" t="n">
        <v>76.6417236328125</v>
      </c>
      <c r="H3266">
        <f>AVERAGE(D3067:D3266)</f>
        <v/>
      </c>
      <c r="I3266">
        <f>AVERAGE(E3067:E3266)</f>
        <v/>
      </c>
      <c r="J3266">
        <f>AVERAGE(F3067:F3266)</f>
        <v/>
      </c>
    </row>
    <row r="3267">
      <c r="C3267" s="539" t="n">
        <v>44187</v>
      </c>
      <c r="D3267" t="n">
        <v>174.4900054931641</v>
      </c>
      <c r="E3267" t="n">
        <v>32.09000015258789</v>
      </c>
      <c r="F3267" t="n">
        <v>13.78367519378662</v>
      </c>
      <c r="G3267" t="n">
        <v>76.6417236328125</v>
      </c>
      <c r="H3267">
        <f>AVERAGE(D3068:D3267)</f>
        <v/>
      </c>
      <c r="I3267">
        <f>AVERAGE(E3068:E3267)</f>
        <v/>
      </c>
      <c r="J3267">
        <f>AVERAGE(F3068:F3267)</f>
        <v/>
      </c>
    </row>
    <row r="3268">
      <c r="C3268" s="539" t="n">
        <v>44188</v>
      </c>
      <c r="D3268" t="n">
        <v>175.6499938964844</v>
      </c>
      <c r="E3268" t="n">
        <v>32.75</v>
      </c>
      <c r="F3268" t="n">
        <v>13.92486476898193</v>
      </c>
      <c r="G3268" t="n">
        <v>76.63336181640625</v>
      </c>
      <c r="H3268">
        <f>AVERAGE(D3069:D3268)</f>
        <v/>
      </c>
      <c r="I3268">
        <f>AVERAGE(E3069:E3268)</f>
        <v/>
      </c>
      <c r="J3268">
        <f>AVERAGE(F3069:F3268)</f>
        <v/>
      </c>
    </row>
    <row r="3269">
      <c r="C3269" s="539" t="n">
        <v>44189</v>
      </c>
      <c r="D3269" t="n">
        <v>176.3500061035156</v>
      </c>
      <c r="E3269" t="n">
        <v>32.91999816894531</v>
      </c>
      <c r="F3269" t="n">
        <v>13.96898746490479</v>
      </c>
      <c r="G3269" t="n">
        <v>76.6417236328125</v>
      </c>
      <c r="H3269">
        <f>AVERAGE(D3070:D3269)</f>
        <v/>
      </c>
      <c r="I3269">
        <f>AVERAGE(E3070:E3269)</f>
        <v/>
      </c>
      <c r="J3269">
        <f>AVERAGE(F3070:F3269)</f>
        <v/>
      </c>
    </row>
    <row r="3270">
      <c r="C3270" s="539" t="n">
        <v>44193</v>
      </c>
      <c r="D3270" t="n">
        <v>175.7100067138672</v>
      </c>
      <c r="E3270" t="n">
        <v>32.59000015258789</v>
      </c>
      <c r="F3270" t="n">
        <v>13.91604137420654</v>
      </c>
      <c r="G3270" t="n">
        <v>76.6417236328125</v>
      </c>
      <c r="H3270">
        <f>AVERAGE(D3071:D3270)</f>
        <v/>
      </c>
      <c r="I3270">
        <f>AVERAGE(E3071:E3270)</f>
        <v/>
      </c>
      <c r="J3270">
        <f>AVERAGE(F3071:F3270)</f>
        <v/>
      </c>
    </row>
    <row r="3271">
      <c r="C3271" s="539" t="n">
        <v>44194</v>
      </c>
      <c r="D3271" t="n">
        <v>176.3500061035156</v>
      </c>
      <c r="E3271" t="n">
        <v>32.77999877929688</v>
      </c>
      <c r="F3271" t="n">
        <v>13.96016216278076</v>
      </c>
      <c r="G3271" t="n">
        <v>76.6417236328125</v>
      </c>
      <c r="H3271">
        <f>AVERAGE(D3072:D3271)</f>
        <v/>
      </c>
      <c r="I3271">
        <f>AVERAGE(E3072:E3271)</f>
        <v/>
      </c>
      <c r="J3271">
        <f>AVERAGE(F3072:F3271)</f>
        <v/>
      </c>
    </row>
    <row r="3272">
      <c r="C3272" s="539" t="n">
        <v>44195</v>
      </c>
      <c r="D3272" t="n">
        <v>177.6999969482422</v>
      </c>
      <c r="E3272" t="n">
        <v>32.90999984741211</v>
      </c>
      <c r="F3272" t="n">
        <v>14.10135269165039</v>
      </c>
      <c r="G3272" t="n">
        <v>76.63336181640625</v>
      </c>
      <c r="H3272">
        <f>AVERAGE(D3073:D3272)</f>
        <v/>
      </c>
      <c r="I3272">
        <f>AVERAGE(E3073:E3272)</f>
        <v/>
      </c>
      <c r="J3272">
        <f>AVERAGE(F3073:F3272)</f>
        <v/>
      </c>
    </row>
    <row r="3273">
      <c r="C3273" s="539" t="n">
        <v>44196</v>
      </c>
      <c r="D3273" t="n">
        <v>178.3600006103516</v>
      </c>
      <c r="E3273" t="n">
        <v>33.0099983215332</v>
      </c>
      <c r="F3273" t="n">
        <v>14.2425422668457</v>
      </c>
      <c r="G3273" t="n">
        <v>76.6417236328125</v>
      </c>
      <c r="H3273">
        <f>AVERAGE(D3074:D3273)</f>
        <v/>
      </c>
      <c r="I3273">
        <f>AVERAGE(E3074:E3273)</f>
        <v/>
      </c>
      <c r="J3273">
        <f>AVERAGE(F3074:F3273)</f>
        <v/>
      </c>
    </row>
    <row r="3274">
      <c r="C3274" s="539" t="n">
        <v>44200</v>
      </c>
      <c r="D3274" t="n">
        <v>182.3300018310547</v>
      </c>
      <c r="E3274" t="n">
        <v>32.38000106811523</v>
      </c>
      <c r="F3274" t="n">
        <v>14.2160701751709</v>
      </c>
      <c r="G3274" t="n">
        <v>76.6417236328125</v>
      </c>
      <c r="H3274">
        <f>AVERAGE(D3075:D3274)</f>
        <v/>
      </c>
      <c r="I3274">
        <f>AVERAGE(E3075:E3274)</f>
        <v/>
      </c>
      <c r="J3274">
        <f>AVERAGE(F3075:F3274)</f>
        <v/>
      </c>
    </row>
    <row r="3275">
      <c r="C3275" s="539" t="n">
        <v>44201</v>
      </c>
      <c r="D3275" t="n">
        <v>182.8699951171875</v>
      </c>
      <c r="E3275" t="n">
        <v>33.93999862670898</v>
      </c>
      <c r="F3275" t="n">
        <v>14.29548931121826</v>
      </c>
      <c r="G3275" t="n">
        <v>76.63336181640625</v>
      </c>
      <c r="H3275">
        <f>AVERAGE(D3076:D3275)</f>
        <v/>
      </c>
      <c r="I3275">
        <f>AVERAGE(E3076:E3275)</f>
        <v/>
      </c>
      <c r="J3275">
        <f>AVERAGE(F3076:F3275)</f>
        <v/>
      </c>
    </row>
    <row r="3276">
      <c r="C3276" s="539" t="n">
        <v>44202</v>
      </c>
      <c r="D3276" t="n">
        <v>179.8999938964844</v>
      </c>
      <c r="E3276" t="n">
        <v>34.11000061035156</v>
      </c>
      <c r="F3276" t="n">
        <v>14.233717918396</v>
      </c>
      <c r="G3276" t="n">
        <v>76.6417236328125</v>
      </c>
      <c r="H3276">
        <f>AVERAGE(D3077:D3276)</f>
        <v/>
      </c>
      <c r="I3276">
        <f>AVERAGE(E3077:E3276)</f>
        <v/>
      </c>
      <c r="J3276">
        <f>AVERAGE(F3077:F3276)</f>
        <v/>
      </c>
    </row>
    <row r="3277">
      <c r="C3277" s="539" t="n">
        <v>44203</v>
      </c>
      <c r="D3277" t="n">
        <v>179.4799957275391</v>
      </c>
      <c r="E3277" t="n">
        <v>34.52999877929688</v>
      </c>
      <c r="F3277" t="n">
        <v>14.22489452362061</v>
      </c>
      <c r="G3277" t="n">
        <v>76.6417236328125</v>
      </c>
      <c r="H3277">
        <f>AVERAGE(D3078:D3277)</f>
        <v/>
      </c>
      <c r="I3277">
        <f>AVERAGE(E3078:E3277)</f>
        <v/>
      </c>
      <c r="J3277">
        <f>AVERAGE(F3078:F3277)</f>
        <v/>
      </c>
    </row>
    <row r="3278">
      <c r="C3278" s="539" t="n">
        <v>44204</v>
      </c>
      <c r="D3278" t="n">
        <v>173.3399963378906</v>
      </c>
      <c r="E3278" t="n">
        <v>35.43000030517578</v>
      </c>
      <c r="F3278" t="n">
        <v>14.2425422668457</v>
      </c>
      <c r="G3278" t="n">
        <v>76.63336181640625</v>
      </c>
      <c r="H3278">
        <f>AVERAGE(D3079:D3278)</f>
        <v/>
      </c>
      <c r="I3278">
        <f>AVERAGE(E3079:E3278)</f>
        <v/>
      </c>
      <c r="J3278">
        <f>AVERAGE(F3079:F3278)</f>
        <v/>
      </c>
    </row>
    <row r="3279">
      <c r="C3279" s="539" t="n">
        <v>44207</v>
      </c>
      <c r="D3279" t="n">
        <v>173</v>
      </c>
      <c r="E3279" t="n">
        <v>35.2599983215332</v>
      </c>
      <c r="F3279" t="n">
        <v>14.13665103912354</v>
      </c>
      <c r="G3279" t="n">
        <v>76.6417236328125</v>
      </c>
      <c r="H3279">
        <f>AVERAGE(D3080:D3279)</f>
        <v/>
      </c>
      <c r="I3279">
        <f>AVERAGE(E3080:E3279)</f>
        <v/>
      </c>
      <c r="J3279">
        <f>AVERAGE(F3080:F3279)</f>
        <v/>
      </c>
    </row>
    <row r="3280">
      <c r="C3280" s="539" t="n">
        <v>44208</v>
      </c>
      <c r="D3280" t="n">
        <v>174.1199951171875</v>
      </c>
      <c r="E3280" t="n">
        <v>35.90000152587891</v>
      </c>
      <c r="F3280" t="n">
        <v>14.35726070404053</v>
      </c>
      <c r="G3280" t="n">
        <v>76.63336181640625</v>
      </c>
      <c r="H3280">
        <f>AVERAGE(D3081:D3280)</f>
        <v/>
      </c>
      <c r="I3280">
        <f>AVERAGE(E3081:E3280)</f>
        <v/>
      </c>
      <c r="J3280">
        <f>AVERAGE(F3081:F3280)</f>
        <v/>
      </c>
    </row>
    <row r="3281">
      <c r="C3281" s="539" t="n">
        <v>44209</v>
      </c>
      <c r="D3281" t="n">
        <v>173.3699951171875</v>
      </c>
      <c r="E3281" t="n">
        <v>35.79999923706055</v>
      </c>
      <c r="F3281" t="n">
        <v>14.41020679473877</v>
      </c>
      <c r="G3281" t="n">
        <v>76.63336181640625</v>
      </c>
      <c r="H3281">
        <f>AVERAGE(D3082:D3281)</f>
        <v/>
      </c>
      <c r="I3281">
        <f>AVERAGE(E3082:E3281)</f>
        <v/>
      </c>
      <c r="J3281">
        <f>AVERAGE(F3082:F3281)</f>
        <v/>
      </c>
    </row>
    <row r="3282">
      <c r="C3282" s="539" t="n">
        <v>44210</v>
      </c>
      <c r="D3282" t="n">
        <v>173.2799987792969</v>
      </c>
      <c r="E3282" t="n">
        <v>36.2400016784668</v>
      </c>
      <c r="F3282" t="n">
        <v>14.5690450668335</v>
      </c>
      <c r="G3282" t="n">
        <v>76.6417236328125</v>
      </c>
      <c r="H3282">
        <f>AVERAGE(D3083:D3282)</f>
        <v/>
      </c>
      <c r="I3282">
        <f>AVERAGE(E3083:E3282)</f>
        <v/>
      </c>
      <c r="J3282">
        <f>AVERAGE(F3083:F3282)</f>
        <v/>
      </c>
    </row>
    <row r="3283">
      <c r="C3283" s="539" t="n">
        <v>44211</v>
      </c>
      <c r="D3283" t="n">
        <v>171.1300048828125</v>
      </c>
      <c r="E3283" t="n">
        <v>35.34000015258789</v>
      </c>
      <c r="F3283" t="n">
        <v>14.61316680908203</v>
      </c>
      <c r="G3283" t="n">
        <v>76.6417236328125</v>
      </c>
      <c r="H3283">
        <f>AVERAGE(D3084:D3283)</f>
        <v/>
      </c>
      <c r="I3283">
        <f>AVERAGE(E3084:E3283)</f>
        <v/>
      </c>
      <c r="J3283">
        <f>AVERAGE(F3084:F3283)</f>
        <v/>
      </c>
    </row>
    <row r="3284">
      <c r="C3284" s="539" t="n">
        <v>44215</v>
      </c>
      <c r="D3284" t="n">
        <v>172.5800018310547</v>
      </c>
      <c r="E3284" t="n">
        <v>35.75</v>
      </c>
      <c r="F3284" t="n">
        <v>14.57787036895752</v>
      </c>
      <c r="G3284" t="n">
        <v>76.6417236328125</v>
      </c>
      <c r="H3284">
        <f>AVERAGE(D3085:D3284)</f>
        <v/>
      </c>
      <c r="I3284">
        <f>AVERAGE(E3085:E3284)</f>
        <v/>
      </c>
      <c r="J3284">
        <f>AVERAGE(F3085:F3284)</f>
        <v/>
      </c>
    </row>
    <row r="3285">
      <c r="C3285" s="539" t="n">
        <v>44216</v>
      </c>
      <c r="D3285" t="n">
        <v>175.3899993896484</v>
      </c>
      <c r="E3285" t="n">
        <v>35.79000091552734</v>
      </c>
      <c r="F3285" t="n">
        <v>14.50727558135986</v>
      </c>
      <c r="G3285" t="n">
        <v>76.6417236328125</v>
      </c>
      <c r="H3285">
        <f>AVERAGE(D3086:D3285)</f>
        <v/>
      </c>
      <c r="I3285">
        <f>AVERAGE(E3086:E3285)</f>
        <v/>
      </c>
      <c r="J3285">
        <f>AVERAGE(F3086:F3285)</f>
        <v/>
      </c>
    </row>
    <row r="3286">
      <c r="C3286" s="539" t="n">
        <v>44217</v>
      </c>
      <c r="D3286" t="n">
        <v>175.2799987792969</v>
      </c>
      <c r="E3286" t="n">
        <v>35.7599983215332</v>
      </c>
      <c r="F3286" t="n">
        <v>14.53374671936035</v>
      </c>
      <c r="G3286" t="n">
        <v>76.6417236328125</v>
      </c>
      <c r="H3286">
        <f>AVERAGE(D3087:D3286)</f>
        <v/>
      </c>
      <c r="I3286">
        <f>AVERAGE(E3087:E3286)</f>
        <v/>
      </c>
      <c r="J3286">
        <f>AVERAGE(F3087:F3286)</f>
        <v/>
      </c>
    </row>
    <row r="3287">
      <c r="C3287" s="539" t="n">
        <v>44218</v>
      </c>
      <c r="D3287" t="n">
        <v>173.8999938964844</v>
      </c>
      <c r="E3287" t="n">
        <v>35.22999954223633</v>
      </c>
      <c r="F3287" t="n">
        <v>14.30431270599365</v>
      </c>
      <c r="G3287" t="n">
        <v>76.63336181640625</v>
      </c>
      <c r="H3287">
        <f>AVERAGE(D3088:D3287)</f>
        <v/>
      </c>
      <c r="I3287">
        <f>AVERAGE(E3088:E3287)</f>
        <v/>
      </c>
      <c r="J3287">
        <f>AVERAGE(F3088:F3287)</f>
        <v/>
      </c>
    </row>
    <row r="3288">
      <c r="C3288" s="539" t="n">
        <v>44221</v>
      </c>
      <c r="D3288" t="n">
        <v>174.0500030517578</v>
      </c>
      <c r="E3288" t="n">
        <v>35.59000015258789</v>
      </c>
      <c r="F3288" t="n">
        <v>14.41020679473877</v>
      </c>
      <c r="G3288" t="n">
        <v>76.6417236328125</v>
      </c>
      <c r="H3288">
        <f>AVERAGE(D3089:D3288)</f>
        <v/>
      </c>
      <c r="I3288">
        <f>AVERAGE(E3089:E3288)</f>
        <v/>
      </c>
      <c r="J3288">
        <f>AVERAGE(F3089:F3288)</f>
        <v/>
      </c>
    </row>
    <row r="3289">
      <c r="C3289" s="539" t="n">
        <v>44222</v>
      </c>
      <c r="D3289" t="n">
        <v>173.6199951171875</v>
      </c>
      <c r="E3289" t="n">
        <v>35.45000076293945</v>
      </c>
      <c r="F3289" t="n">
        <v>14.55139636993408</v>
      </c>
      <c r="G3289" t="n">
        <v>76.63336181640625</v>
      </c>
      <c r="H3289">
        <f>AVERAGE(D3090:D3289)</f>
        <v/>
      </c>
      <c r="I3289">
        <f>AVERAGE(E3090:E3289)</f>
        <v/>
      </c>
      <c r="J3289">
        <f>AVERAGE(F3090:F3289)</f>
        <v/>
      </c>
    </row>
    <row r="3290">
      <c r="C3290" s="539" t="n">
        <v>44223</v>
      </c>
      <c r="D3290" t="n">
        <v>172.5200042724609</v>
      </c>
      <c r="E3290" t="n">
        <v>35.5</v>
      </c>
      <c r="F3290" t="n">
        <v>14.49845027923584</v>
      </c>
      <c r="G3290" t="n">
        <v>76.63336181640625</v>
      </c>
      <c r="H3290">
        <f>AVERAGE(D3091:D3290)</f>
        <v/>
      </c>
      <c r="I3290">
        <f>AVERAGE(E3091:E3290)</f>
        <v/>
      </c>
      <c r="J3290">
        <f>AVERAGE(F3091:F3290)</f>
        <v/>
      </c>
    </row>
    <row r="3291">
      <c r="C3291" s="539" t="n">
        <v>44224</v>
      </c>
      <c r="D3291" t="n">
        <v>172.6799926757812</v>
      </c>
      <c r="E3291" t="n">
        <v>35.25</v>
      </c>
      <c r="F3291" t="n">
        <v>14.38373184204102</v>
      </c>
      <c r="G3291" t="n">
        <v>76.6417236328125</v>
      </c>
      <c r="H3291">
        <f>AVERAGE(D3092:D3291)</f>
        <v/>
      </c>
      <c r="I3291">
        <f>AVERAGE(E3092:E3291)</f>
        <v/>
      </c>
      <c r="J3291">
        <f>AVERAGE(F3092:F3291)</f>
        <v/>
      </c>
    </row>
    <row r="3292">
      <c r="C3292" s="539" t="n">
        <v>44225</v>
      </c>
      <c r="D3292" t="n">
        <v>172.6100006103516</v>
      </c>
      <c r="E3292" t="n">
        <v>35.18000030517578</v>
      </c>
      <c r="F3292" t="n">
        <v>14.46315097808838</v>
      </c>
      <c r="G3292" t="n">
        <v>76.6417236328125</v>
      </c>
      <c r="H3292">
        <f>AVERAGE(D3093:D3292)</f>
        <v/>
      </c>
      <c r="I3292">
        <f>AVERAGE(E3093:E3292)</f>
        <v/>
      </c>
      <c r="J3292">
        <f>AVERAGE(F3093:F3292)</f>
        <v/>
      </c>
    </row>
    <row r="3293">
      <c r="C3293" s="539" t="n">
        <v>44228</v>
      </c>
      <c r="D3293" t="n">
        <v>174.2299957275391</v>
      </c>
      <c r="E3293" t="n">
        <v>36.11999893188477</v>
      </c>
      <c r="F3293" t="n">
        <v>14.51609802246094</v>
      </c>
      <c r="G3293" t="n">
        <v>76.6417236328125</v>
      </c>
      <c r="H3293">
        <f>AVERAGE(D3094:D3293)</f>
        <v/>
      </c>
      <c r="I3293">
        <f>AVERAGE(E3094:E3293)</f>
        <v/>
      </c>
      <c r="J3293">
        <f>AVERAGE(F3094:F3293)</f>
        <v/>
      </c>
    </row>
    <row r="3294">
      <c r="C3294" s="539" t="n">
        <v>44229</v>
      </c>
      <c r="D3294" t="n">
        <v>172.1100006103516</v>
      </c>
      <c r="E3294" t="n">
        <v>36.81999969482422</v>
      </c>
      <c r="F3294" t="n">
        <v>14.54257106781006</v>
      </c>
      <c r="G3294" t="n">
        <v>76.63336181640625</v>
      </c>
      <c r="H3294">
        <f>AVERAGE(D3095:D3294)</f>
        <v/>
      </c>
      <c r="I3294">
        <f>AVERAGE(E3095:E3294)</f>
        <v/>
      </c>
      <c r="J3294">
        <f>AVERAGE(F3095:F3294)</f>
        <v/>
      </c>
    </row>
    <row r="3295">
      <c r="C3295" s="539" t="n">
        <v>44230</v>
      </c>
      <c r="D3295" t="n">
        <v>171.8500061035156</v>
      </c>
      <c r="E3295" t="n">
        <v>37.43999862670898</v>
      </c>
      <c r="F3295" t="n">
        <v>14.56022071838379</v>
      </c>
      <c r="G3295" t="n">
        <v>76.63336181640625</v>
      </c>
      <c r="H3295">
        <f>AVERAGE(D3096:D3295)</f>
        <v/>
      </c>
      <c r="I3295">
        <f>AVERAGE(E3096:E3295)</f>
        <v/>
      </c>
      <c r="J3295">
        <f>AVERAGE(F3096:F3295)</f>
        <v/>
      </c>
    </row>
    <row r="3296">
      <c r="C3296" s="539" t="n">
        <v>44231</v>
      </c>
      <c r="D3296" t="n">
        <v>168.1499938964844</v>
      </c>
      <c r="E3296" t="n">
        <v>37.81000137329102</v>
      </c>
      <c r="F3296" t="n">
        <v>14.61316680908203</v>
      </c>
      <c r="G3296" t="n">
        <v>76.6417236328125</v>
      </c>
      <c r="H3296">
        <f>AVERAGE(D3097:D3296)</f>
        <v/>
      </c>
      <c r="I3296">
        <f>AVERAGE(E3097:E3296)</f>
        <v/>
      </c>
      <c r="J3296">
        <f>AVERAGE(F3097:F3296)</f>
        <v/>
      </c>
    </row>
    <row r="3297">
      <c r="C3297" s="539" t="n">
        <v>44232</v>
      </c>
      <c r="D3297" t="n">
        <v>169.8099975585938</v>
      </c>
      <c r="E3297" t="n">
        <v>38.18999862670898</v>
      </c>
      <c r="F3297" t="n">
        <v>14.71023559570312</v>
      </c>
      <c r="G3297" t="n">
        <v>76.6417236328125</v>
      </c>
      <c r="H3297">
        <f>AVERAGE(D3098:D3297)</f>
        <v/>
      </c>
      <c r="I3297">
        <f>AVERAGE(E3098:E3297)</f>
        <v/>
      </c>
      <c r="J3297">
        <f>AVERAGE(F3098:F3297)</f>
        <v/>
      </c>
    </row>
    <row r="3298">
      <c r="C3298" s="539" t="n">
        <v>44235</v>
      </c>
      <c r="D3298" t="n">
        <v>171.5200042724609</v>
      </c>
      <c r="E3298" t="n">
        <v>38.93999862670898</v>
      </c>
      <c r="F3298" t="n">
        <v>14.78082942962646</v>
      </c>
      <c r="G3298" t="n">
        <v>76.6417236328125</v>
      </c>
      <c r="H3298">
        <f>AVERAGE(D3099:D3298)</f>
        <v/>
      </c>
      <c r="I3298">
        <f>AVERAGE(E3099:E3298)</f>
        <v/>
      </c>
      <c r="J3298">
        <f>AVERAGE(F3099:F3298)</f>
        <v/>
      </c>
    </row>
    <row r="3299">
      <c r="C3299" s="539" t="n">
        <v>44236</v>
      </c>
      <c r="D3299" t="n">
        <v>172.0800018310547</v>
      </c>
      <c r="E3299" t="n">
        <v>39.16999816894531</v>
      </c>
      <c r="F3299" t="n">
        <v>14.78082942962646</v>
      </c>
      <c r="G3299" t="n">
        <v>76.6417236328125</v>
      </c>
      <c r="H3299">
        <f>AVERAGE(D3100:D3299)</f>
        <v/>
      </c>
      <c r="I3299">
        <f>AVERAGE(E3100:E3299)</f>
        <v/>
      </c>
      <c r="J3299">
        <f>AVERAGE(F3100:F3299)</f>
        <v/>
      </c>
    </row>
    <row r="3300">
      <c r="C3300" s="539" t="n">
        <v>44237</v>
      </c>
      <c r="D3300" t="n">
        <v>172.7100067138672</v>
      </c>
      <c r="E3300" t="n">
        <v>39.27999877929688</v>
      </c>
      <c r="F3300" t="n">
        <v>14.66611289978027</v>
      </c>
      <c r="G3300" t="n">
        <v>76.63336181640625</v>
      </c>
      <c r="H3300">
        <f>AVERAGE(D3101:D3300)</f>
        <v/>
      </c>
      <c r="I3300">
        <f>AVERAGE(E3101:E3300)</f>
        <v/>
      </c>
      <c r="J3300">
        <f>AVERAGE(F3101:F3300)</f>
        <v/>
      </c>
    </row>
    <row r="3301">
      <c r="C3301" s="539" t="n">
        <v>44238</v>
      </c>
      <c r="D3301" t="n">
        <v>171.2100067138672</v>
      </c>
      <c r="E3301" t="n">
        <v>38.97000122070312</v>
      </c>
      <c r="F3301" t="n">
        <v>14.7014102935791</v>
      </c>
      <c r="G3301" t="n">
        <v>76.6417236328125</v>
      </c>
      <c r="H3301">
        <f>AVERAGE(D3102:D3301)</f>
        <v/>
      </c>
      <c r="I3301">
        <f>AVERAGE(E3102:E3301)</f>
        <v/>
      </c>
      <c r="J3301">
        <f>AVERAGE(F3102:F3301)</f>
        <v/>
      </c>
    </row>
    <row r="3302">
      <c r="C3302" s="539" t="n">
        <v>44239</v>
      </c>
      <c r="D3302" t="n">
        <v>170.6900024414062</v>
      </c>
      <c r="E3302" t="n">
        <v>39.93999862670898</v>
      </c>
      <c r="F3302" t="n">
        <v>14.72788429260254</v>
      </c>
      <c r="G3302" t="n">
        <v>76.63336181640625</v>
      </c>
      <c r="H3302">
        <f>AVERAGE(D3103:D3302)</f>
        <v/>
      </c>
      <c r="I3302">
        <f>AVERAGE(E3103:E3302)</f>
        <v/>
      </c>
      <c r="J3302">
        <f>AVERAGE(F3103:F3302)</f>
        <v/>
      </c>
    </row>
    <row r="3303">
      <c r="C3303" s="539" t="n">
        <v>44243</v>
      </c>
      <c r="D3303" t="n">
        <v>168.2400054931641</v>
      </c>
      <c r="E3303" t="n">
        <v>40.45000076293945</v>
      </c>
      <c r="F3303" t="n">
        <v>14.96614074707031</v>
      </c>
      <c r="G3303" t="n">
        <v>76.6417236328125</v>
      </c>
      <c r="H3303">
        <f>AVERAGE(D3104:D3303)</f>
        <v/>
      </c>
      <c r="I3303">
        <f>AVERAGE(E3104:E3303)</f>
        <v/>
      </c>
      <c r="J3303">
        <f>AVERAGE(F3104:F3303)</f>
        <v/>
      </c>
    </row>
    <row r="3304">
      <c r="C3304" s="539" t="n">
        <v>44244</v>
      </c>
      <c r="D3304" t="n">
        <v>166.3300018310547</v>
      </c>
      <c r="E3304" t="n">
        <v>40.88999938964844</v>
      </c>
      <c r="F3304" t="n">
        <v>14.90436935424805</v>
      </c>
      <c r="G3304" t="n">
        <v>76.6417236328125</v>
      </c>
      <c r="H3304">
        <f>AVERAGE(D3105:D3304)</f>
        <v/>
      </c>
      <c r="I3304">
        <f>AVERAGE(E3105:E3304)</f>
        <v/>
      </c>
      <c r="J3304">
        <f>AVERAGE(F3105:F3304)</f>
        <v/>
      </c>
    </row>
    <row r="3305">
      <c r="C3305" s="539" t="n">
        <v>44245</v>
      </c>
      <c r="D3305" t="n">
        <v>166.3200073242188</v>
      </c>
      <c r="E3305" t="n">
        <v>40.27000045776367</v>
      </c>
      <c r="F3305" t="n">
        <v>14.95731735229492</v>
      </c>
      <c r="G3305" t="n">
        <v>76.63336181640625</v>
      </c>
      <c r="H3305">
        <f>AVERAGE(D3106:D3305)</f>
        <v/>
      </c>
      <c r="I3305">
        <f>AVERAGE(E3106:E3305)</f>
        <v/>
      </c>
      <c r="J3305">
        <f>AVERAGE(F3106:F3305)</f>
        <v/>
      </c>
    </row>
    <row r="3306">
      <c r="C3306" s="539" t="n">
        <v>44246</v>
      </c>
      <c r="D3306" t="n">
        <v>167.0099945068359</v>
      </c>
      <c r="E3306" t="n">
        <v>39.68000030517578</v>
      </c>
      <c r="F3306" t="n">
        <v>15.04555892944336</v>
      </c>
      <c r="G3306" t="n">
        <v>76.6417236328125</v>
      </c>
      <c r="H3306">
        <f>AVERAGE(D3107:D3306)</f>
        <v/>
      </c>
      <c r="I3306">
        <f>AVERAGE(E3107:E3306)</f>
        <v/>
      </c>
      <c r="J3306">
        <f>AVERAGE(F3107:F3306)</f>
        <v/>
      </c>
    </row>
    <row r="3307">
      <c r="C3307" s="539" t="n">
        <v>44249</v>
      </c>
      <c r="D3307" t="n">
        <v>169.5099945068359</v>
      </c>
      <c r="E3307" t="n">
        <v>41.27999877929688</v>
      </c>
      <c r="F3307" t="n">
        <v>15.25734710693359</v>
      </c>
      <c r="G3307" t="n">
        <v>76.63336181640625</v>
      </c>
      <c r="H3307">
        <f>AVERAGE(D3108:D3307)</f>
        <v/>
      </c>
      <c r="I3307">
        <f>AVERAGE(E3108:E3307)</f>
        <v/>
      </c>
      <c r="J3307">
        <f>AVERAGE(F3108:F3307)</f>
        <v/>
      </c>
    </row>
    <row r="3308">
      <c r="C3308" s="539" t="n">
        <v>44250</v>
      </c>
      <c r="D3308" t="n">
        <v>169.1199951171875</v>
      </c>
      <c r="E3308" t="n">
        <v>41.61999893188477</v>
      </c>
      <c r="F3308" t="n">
        <v>15.32794094085693</v>
      </c>
      <c r="G3308" t="n">
        <v>76.63336181640625</v>
      </c>
      <c r="H3308">
        <f>AVERAGE(D3109:D3308)</f>
        <v/>
      </c>
      <c r="I3308">
        <f>AVERAGE(E3109:E3308)</f>
        <v/>
      </c>
      <c r="J3308">
        <f>AVERAGE(F3109:F3308)</f>
        <v/>
      </c>
    </row>
    <row r="3309">
      <c r="C3309" s="539" t="n">
        <v>44251</v>
      </c>
      <c r="D3309" t="n">
        <v>169</v>
      </c>
      <c r="E3309" t="n">
        <v>42.5</v>
      </c>
      <c r="F3309" t="n">
        <v>15.5397253036499</v>
      </c>
      <c r="G3309" t="n">
        <v>76.62496948242188</v>
      </c>
      <c r="H3309">
        <f>AVERAGE(D3110:D3309)</f>
        <v/>
      </c>
      <c r="I3309">
        <f>AVERAGE(E3110:E3309)</f>
        <v/>
      </c>
      <c r="J3309">
        <f>AVERAGE(F3110:F3309)</f>
        <v/>
      </c>
    </row>
    <row r="3310">
      <c r="C3310" s="539" t="n">
        <v>44252</v>
      </c>
      <c r="D3310" t="n">
        <v>165.8200073242188</v>
      </c>
      <c r="E3310" t="n">
        <v>42.45999908447266</v>
      </c>
      <c r="F3310" t="n">
        <v>15.48678016662598</v>
      </c>
      <c r="G3310" t="n">
        <v>76.63336181640625</v>
      </c>
      <c r="H3310">
        <f>AVERAGE(D3111:D3310)</f>
        <v/>
      </c>
      <c r="I3310">
        <f>AVERAGE(E3111:E3310)</f>
        <v/>
      </c>
      <c r="J3310">
        <f>AVERAGE(F3111:F3310)</f>
        <v/>
      </c>
    </row>
    <row r="3311">
      <c r="C3311" s="539" t="n">
        <v>44253</v>
      </c>
      <c r="D3311" t="n">
        <v>161.8099975585938</v>
      </c>
      <c r="E3311" t="n">
        <v>41.31000137329102</v>
      </c>
      <c r="F3311" t="n">
        <v>15.26616859436035</v>
      </c>
      <c r="G3311" t="n">
        <v>76.63336181640625</v>
      </c>
      <c r="H3311">
        <f>AVERAGE(D3112:D3311)</f>
        <v/>
      </c>
      <c r="I3311">
        <f>AVERAGE(E3112:E3311)</f>
        <v/>
      </c>
      <c r="J3311">
        <f>AVERAGE(F3112:F3311)</f>
        <v/>
      </c>
    </row>
    <row r="3312">
      <c r="C3312" s="539" t="n">
        <v>44256</v>
      </c>
      <c r="D3312" t="n">
        <v>161.5299987792969</v>
      </c>
      <c r="E3312" t="n">
        <v>40.59999847412109</v>
      </c>
      <c r="F3312" t="n">
        <v>15.16910457611084</v>
      </c>
      <c r="G3312" t="n">
        <v>76.62496948242188</v>
      </c>
      <c r="H3312">
        <f>AVERAGE(D3113:D3312)</f>
        <v/>
      </c>
      <c r="I3312">
        <f>AVERAGE(E3113:E3312)</f>
        <v/>
      </c>
      <c r="J3312">
        <f>AVERAGE(F3113:F3312)</f>
        <v/>
      </c>
    </row>
    <row r="3313">
      <c r="C3313" s="539" t="n">
        <v>44257</v>
      </c>
      <c r="D3313" t="n">
        <v>162.4100036621094</v>
      </c>
      <c r="E3313" t="n">
        <v>40.06999969482422</v>
      </c>
      <c r="F3313" t="n">
        <v>15.23969745635986</v>
      </c>
      <c r="G3313" t="n">
        <v>76.62496948242188</v>
      </c>
      <c r="H3313">
        <f>AVERAGE(D3114:D3313)</f>
        <v/>
      </c>
      <c r="I3313">
        <f>AVERAGE(E3114:E3313)</f>
        <v/>
      </c>
      <c r="J3313">
        <f>AVERAGE(F3114:F3313)</f>
        <v/>
      </c>
    </row>
    <row r="3314">
      <c r="C3314" s="539" t="n">
        <v>44258</v>
      </c>
      <c r="D3314" t="n">
        <v>160.6199951171875</v>
      </c>
      <c r="E3314" t="n">
        <v>41.13999938964844</v>
      </c>
      <c r="F3314" t="n">
        <v>15.15145397186279</v>
      </c>
      <c r="G3314" t="n">
        <v>76.63336181640625</v>
      </c>
      <c r="H3314">
        <f>AVERAGE(D3115:D3314)</f>
        <v/>
      </c>
      <c r="I3314">
        <f>AVERAGE(E3115:E3314)</f>
        <v/>
      </c>
      <c r="J3314">
        <f>AVERAGE(F3115:F3314)</f>
        <v/>
      </c>
    </row>
    <row r="3315">
      <c r="C3315" s="539" t="n">
        <v>44259</v>
      </c>
      <c r="D3315" t="n">
        <v>159.0399932861328</v>
      </c>
      <c r="E3315" t="n">
        <v>43.06999969482422</v>
      </c>
      <c r="F3315" t="n">
        <v>15.10733222961426</v>
      </c>
      <c r="G3315" t="n">
        <v>76.63336181640625</v>
      </c>
      <c r="H3315">
        <f>AVERAGE(D3116:D3315)</f>
        <v/>
      </c>
      <c r="I3315">
        <f>AVERAGE(E3116:E3315)</f>
        <v/>
      </c>
      <c r="J3315">
        <f>AVERAGE(F3116:F3315)</f>
        <v/>
      </c>
    </row>
    <row r="3316">
      <c r="C3316" s="539" t="n">
        <v>44260</v>
      </c>
      <c r="D3316" t="n">
        <v>159.1399993896484</v>
      </c>
      <c r="E3316" t="n">
        <v>44.43999862670898</v>
      </c>
      <c r="F3316" t="n">
        <v>15.17792701721191</v>
      </c>
      <c r="G3316" t="n">
        <v>76.63336181640625</v>
      </c>
      <c r="H3316">
        <f>AVERAGE(D3117:D3316)</f>
        <v/>
      </c>
      <c r="I3316">
        <f>AVERAGE(E3117:E3316)</f>
        <v/>
      </c>
      <c r="J3316">
        <f>AVERAGE(F3117:F3316)</f>
        <v/>
      </c>
    </row>
    <row r="3317">
      <c r="C3317" s="539" t="n">
        <v>44263</v>
      </c>
      <c r="D3317" t="n">
        <v>157.4900054931641</v>
      </c>
      <c r="E3317" t="n">
        <v>43.5</v>
      </c>
      <c r="F3317" t="n">
        <v>15.15145397186279</v>
      </c>
      <c r="G3317" t="n">
        <v>76.62496948242188</v>
      </c>
      <c r="H3317">
        <f>AVERAGE(D3118:D3317)</f>
        <v/>
      </c>
      <c r="I3317">
        <f>AVERAGE(E3118:E3317)</f>
        <v/>
      </c>
      <c r="J3317">
        <f>AVERAGE(F3118:F3317)</f>
        <v/>
      </c>
    </row>
    <row r="3318">
      <c r="C3318" s="539" t="n">
        <v>44264</v>
      </c>
      <c r="D3318" t="n">
        <v>160.8399963378906</v>
      </c>
      <c r="E3318" t="n">
        <v>43.11000061035156</v>
      </c>
      <c r="F3318" t="n">
        <v>15.22204875946045</v>
      </c>
      <c r="G3318" t="n">
        <v>76.62496948242188</v>
      </c>
      <c r="H3318">
        <f>AVERAGE(D3119:D3318)</f>
        <v/>
      </c>
      <c r="I3318">
        <f>AVERAGE(E3119:E3318)</f>
        <v/>
      </c>
      <c r="J3318">
        <f>AVERAGE(F3119:F3318)</f>
        <v/>
      </c>
    </row>
    <row r="3319">
      <c r="C3319" s="539" t="n">
        <v>44265</v>
      </c>
      <c r="D3319" t="n">
        <v>161.6600036621094</v>
      </c>
      <c r="E3319" t="n">
        <v>43.7400016784668</v>
      </c>
      <c r="F3319" t="n">
        <v>15.16910457611084</v>
      </c>
      <c r="G3319" t="n">
        <v>76.62496948242188</v>
      </c>
      <c r="H3319">
        <f>AVERAGE(D3120:D3319)</f>
        <v/>
      </c>
      <c r="I3319">
        <f>AVERAGE(E3120:E3319)</f>
        <v/>
      </c>
      <c r="J3319">
        <f>AVERAGE(F3120:F3319)</f>
        <v/>
      </c>
    </row>
    <row r="3320">
      <c r="C3320" s="539" t="n">
        <v>44266</v>
      </c>
      <c r="D3320" t="n">
        <v>161.5200042724609</v>
      </c>
      <c r="E3320" t="n">
        <v>44.59999847412109</v>
      </c>
      <c r="F3320" t="n">
        <v>15.27499389648438</v>
      </c>
      <c r="G3320" t="n">
        <v>76.63336181640625</v>
      </c>
      <c r="H3320">
        <f>AVERAGE(D3121:D3320)</f>
        <v/>
      </c>
      <c r="I3320">
        <f>AVERAGE(E3121:E3320)</f>
        <v/>
      </c>
      <c r="J3320">
        <f>AVERAGE(F3121:F3320)</f>
        <v/>
      </c>
    </row>
    <row r="3321">
      <c r="C3321" s="539" t="n">
        <v>44267</v>
      </c>
      <c r="D3321" t="n">
        <v>161.4900054931641</v>
      </c>
      <c r="E3321" t="n">
        <v>44.34999847412109</v>
      </c>
      <c r="F3321" t="n">
        <v>15.26616859436035</v>
      </c>
      <c r="G3321" t="n">
        <v>76.62496948242188</v>
      </c>
      <c r="H3321">
        <f>AVERAGE(D3122:D3321)</f>
        <v/>
      </c>
      <c r="I3321">
        <f>AVERAGE(E3122:E3321)</f>
        <v/>
      </c>
      <c r="J3321">
        <f>AVERAGE(F3122:F3321)</f>
        <v/>
      </c>
    </row>
    <row r="3322">
      <c r="C3322" s="539" t="n">
        <v>44270</v>
      </c>
      <c r="D3322" t="n">
        <v>162.1999969482422</v>
      </c>
      <c r="E3322" t="n">
        <v>44.2599983215332</v>
      </c>
      <c r="F3322" t="n">
        <v>15.23969745635986</v>
      </c>
      <c r="G3322" t="n">
        <v>76.62496948242188</v>
      </c>
      <c r="H3322">
        <f>AVERAGE(D3123:D3322)</f>
        <v/>
      </c>
      <c r="I3322">
        <f>AVERAGE(E3123:E3322)</f>
        <v/>
      </c>
      <c r="J3322">
        <f>AVERAGE(F3123:F3322)</f>
        <v/>
      </c>
    </row>
    <row r="3323">
      <c r="C3323" s="539" t="n">
        <v>44271</v>
      </c>
      <c r="D3323" t="n">
        <v>162.3500061035156</v>
      </c>
      <c r="E3323" t="n">
        <v>43.83000183105469</v>
      </c>
      <c r="F3323" t="n">
        <v>15.31911849975586</v>
      </c>
      <c r="G3323" t="n">
        <v>76.62496948242188</v>
      </c>
      <c r="H3323">
        <f>AVERAGE(D3124:D3323)</f>
        <v/>
      </c>
      <c r="I3323">
        <f>AVERAGE(E3124:E3323)</f>
        <v/>
      </c>
      <c r="J3323">
        <f>AVERAGE(F3124:F3323)</f>
        <v/>
      </c>
    </row>
    <row r="3324">
      <c r="C3324" s="539" t="n">
        <v>44272</v>
      </c>
      <c r="D3324" t="n">
        <v>163.5099945068359</v>
      </c>
      <c r="E3324" t="n">
        <v>43.81999969482422</v>
      </c>
      <c r="F3324" t="n">
        <v>15.27499389648438</v>
      </c>
      <c r="G3324" t="n">
        <v>76.63336181640625</v>
      </c>
      <c r="H3324">
        <f>AVERAGE(D3125:D3324)</f>
        <v/>
      </c>
      <c r="I3324">
        <f>AVERAGE(E3125:E3324)</f>
        <v/>
      </c>
      <c r="J3324">
        <f>AVERAGE(F3125:F3324)</f>
        <v/>
      </c>
    </row>
    <row r="3325">
      <c r="C3325" s="539" t="n">
        <v>44273</v>
      </c>
      <c r="D3325" t="n">
        <v>162.5599975585938</v>
      </c>
      <c r="E3325" t="n">
        <v>40.47000122070312</v>
      </c>
      <c r="F3325" t="n">
        <v>14.94849300384521</v>
      </c>
      <c r="G3325" t="n">
        <v>76.62496948242188</v>
      </c>
      <c r="H3325">
        <f>AVERAGE(D3126:D3325)</f>
        <v/>
      </c>
      <c r="I3325">
        <f>AVERAGE(E3126:E3325)</f>
        <v/>
      </c>
      <c r="J3325">
        <f>AVERAGE(F3126:F3325)</f>
        <v/>
      </c>
    </row>
    <row r="3326">
      <c r="C3326" s="539" t="n">
        <v>44274</v>
      </c>
      <c r="D3326" t="n">
        <v>163.2400054931641</v>
      </c>
      <c r="E3326" t="n">
        <v>41.77000045776367</v>
      </c>
      <c r="F3326" t="n">
        <v>14.9308443069458</v>
      </c>
      <c r="G3326" t="n">
        <v>76.62496948242188</v>
      </c>
      <c r="H3326">
        <f>AVERAGE(D3127:D3326)</f>
        <v/>
      </c>
      <c r="I3326">
        <f>AVERAGE(E3127:E3326)</f>
        <v/>
      </c>
      <c r="J3326">
        <f>AVERAGE(F3127:F3326)</f>
        <v/>
      </c>
    </row>
    <row r="3327">
      <c r="C3327" s="539" t="n">
        <v>44277</v>
      </c>
      <c r="D3327" t="n">
        <v>163</v>
      </c>
      <c r="E3327" t="n">
        <v>41.70999908447266</v>
      </c>
      <c r="F3327" t="n">
        <v>14.93966960906982</v>
      </c>
      <c r="G3327" t="n">
        <v>76.62496948242188</v>
      </c>
      <c r="H3327">
        <f>AVERAGE(D3128:D3327)</f>
        <v/>
      </c>
      <c r="I3327">
        <f>AVERAGE(E3128:E3327)</f>
        <v/>
      </c>
      <c r="J3327">
        <f>AVERAGE(F3128:F3327)</f>
        <v/>
      </c>
    </row>
    <row r="3328">
      <c r="C3328" s="539" t="n">
        <v>44278</v>
      </c>
      <c r="D3328" t="n">
        <v>161.8099975585938</v>
      </c>
      <c r="E3328" t="n">
        <v>39.36999893188477</v>
      </c>
      <c r="F3328" t="n">
        <v>14.90436935424805</v>
      </c>
      <c r="G3328" t="n">
        <v>76.63336181640625</v>
      </c>
      <c r="H3328">
        <f>AVERAGE(D3129:D3328)</f>
        <v/>
      </c>
      <c r="I3328">
        <f>AVERAGE(E3129:E3328)</f>
        <v/>
      </c>
      <c r="J3328">
        <f>AVERAGE(F3129:F3328)</f>
        <v/>
      </c>
    </row>
    <row r="3329">
      <c r="C3329" s="539" t="n">
        <v>44279</v>
      </c>
      <c r="D3329" t="n">
        <v>162.3699951171875</v>
      </c>
      <c r="E3329" t="n">
        <v>41.45000076293945</v>
      </c>
      <c r="F3329" t="n">
        <v>14.87789821624756</v>
      </c>
      <c r="G3329" t="n">
        <v>76.62496948242188</v>
      </c>
      <c r="H3329">
        <f>AVERAGE(D3130:D3329)</f>
        <v/>
      </c>
      <c r="I3329">
        <f>AVERAGE(E3130:E3329)</f>
        <v/>
      </c>
      <c r="J3329">
        <f>AVERAGE(F3130:F3329)</f>
        <v/>
      </c>
    </row>
    <row r="3330">
      <c r="C3330" s="539" t="n">
        <v>44280</v>
      </c>
      <c r="D3330" t="n">
        <v>161.7799987792969</v>
      </c>
      <c r="E3330" t="n">
        <v>39.88999938964844</v>
      </c>
      <c r="F3330" t="n">
        <v>14.83377552032471</v>
      </c>
      <c r="G3330" t="n">
        <v>76.62496948242188</v>
      </c>
      <c r="H3330">
        <f>AVERAGE(D3131:D3330)</f>
        <v/>
      </c>
      <c r="I3330">
        <f>AVERAGE(E3131:E3330)</f>
        <v/>
      </c>
      <c r="J3330">
        <f>AVERAGE(F3131:F3330)</f>
        <v/>
      </c>
    </row>
    <row r="3331">
      <c r="C3331" s="539" t="n">
        <v>44281</v>
      </c>
      <c r="D3331" t="n">
        <v>162.2400054931641</v>
      </c>
      <c r="E3331" t="n">
        <v>41.52999877929688</v>
      </c>
      <c r="F3331" t="n">
        <v>14.9308443069458</v>
      </c>
      <c r="G3331" t="n">
        <v>76.62496948242188</v>
      </c>
      <c r="H3331">
        <f>AVERAGE(D3132:D3331)</f>
        <v/>
      </c>
      <c r="I3331">
        <f>AVERAGE(E3132:E3331)</f>
        <v/>
      </c>
      <c r="J3331">
        <f>AVERAGE(F3132:F3331)</f>
        <v/>
      </c>
    </row>
    <row r="3332">
      <c r="C3332" s="539" t="n">
        <v>44284</v>
      </c>
      <c r="D3332" t="n">
        <v>160.3099975585938</v>
      </c>
      <c r="E3332" t="n">
        <v>41.91999816894531</v>
      </c>
      <c r="F3332" t="n">
        <v>14.85142517089844</v>
      </c>
      <c r="G3332" t="n">
        <v>76.62496948242188</v>
      </c>
      <c r="H3332">
        <f>AVERAGE(D3133:D3332)</f>
        <v/>
      </c>
      <c r="I3332">
        <f>AVERAGE(E3133:E3332)</f>
        <v/>
      </c>
      <c r="J3332">
        <f>AVERAGE(F3133:F3332)</f>
        <v/>
      </c>
    </row>
    <row r="3333">
      <c r="C3333" s="539" t="n">
        <v>44285</v>
      </c>
      <c r="D3333" t="n">
        <v>157.5700073242188</v>
      </c>
      <c r="E3333" t="n">
        <v>41.16999816894531</v>
      </c>
      <c r="F3333" t="n">
        <v>14.66611289978027</v>
      </c>
      <c r="G3333" t="n">
        <v>76.63336181640625</v>
      </c>
      <c r="H3333">
        <f>AVERAGE(D3134:D3333)</f>
        <v/>
      </c>
      <c r="I3333">
        <f>AVERAGE(E3134:E3333)</f>
        <v/>
      </c>
      <c r="J3333">
        <f>AVERAGE(F3134:F3333)</f>
        <v/>
      </c>
    </row>
    <row r="3334">
      <c r="C3334" s="539" t="n">
        <v>44286</v>
      </c>
      <c r="D3334" t="n">
        <v>159.9600067138672</v>
      </c>
      <c r="E3334" t="n">
        <v>40.52999877929688</v>
      </c>
      <c r="F3334" t="n">
        <v>14.94849300384521</v>
      </c>
      <c r="G3334" t="n">
        <v>76.62496948242188</v>
      </c>
      <c r="H3334">
        <f>AVERAGE(D3135:D3334)</f>
        <v/>
      </c>
      <c r="I3334">
        <f>AVERAGE(E3135:E3334)</f>
        <v/>
      </c>
      <c r="J3334">
        <f>AVERAGE(F3135:F3334)</f>
        <v/>
      </c>
    </row>
    <row r="3335">
      <c r="C3335" s="539" t="n">
        <v>44287</v>
      </c>
      <c r="D3335" t="n">
        <v>161.9799957275391</v>
      </c>
      <c r="E3335" t="n">
        <v>41.84000015258789</v>
      </c>
      <c r="F3335" t="n">
        <v>14.92201900482178</v>
      </c>
      <c r="G3335" t="n">
        <v>76.63336181640625</v>
      </c>
      <c r="H3335">
        <f>AVERAGE(D3136:D3335)</f>
        <v/>
      </c>
      <c r="I3335">
        <f>AVERAGE(E3136:E3335)</f>
        <v/>
      </c>
      <c r="J3335">
        <f>AVERAGE(F3136:F3335)</f>
        <v/>
      </c>
    </row>
    <row r="3336">
      <c r="C3336" s="539" t="n">
        <v>44291</v>
      </c>
      <c r="D3336" t="n">
        <v>161.9199981689453</v>
      </c>
      <c r="E3336" t="n">
        <v>40.27999877929688</v>
      </c>
      <c r="F3336" t="n">
        <v>14.9308443069458</v>
      </c>
      <c r="G3336" t="n">
        <v>76.62496948242188</v>
      </c>
      <c r="H3336">
        <f>AVERAGE(D3137:D3336)</f>
        <v/>
      </c>
      <c r="I3336">
        <f>AVERAGE(E3137:E3336)</f>
        <v/>
      </c>
      <c r="J3336">
        <f>AVERAGE(F3137:F3336)</f>
        <v/>
      </c>
    </row>
    <row r="3337">
      <c r="C3337" s="539" t="n">
        <v>44292</v>
      </c>
      <c r="D3337" t="n">
        <v>163.2200012207031</v>
      </c>
      <c r="E3337" t="n">
        <v>40.70000076293945</v>
      </c>
      <c r="F3337" t="n">
        <v>15.0367374420166</v>
      </c>
      <c r="G3337" t="n">
        <v>76.61656188964844</v>
      </c>
      <c r="H3337">
        <f>AVERAGE(D3138:D3337)</f>
        <v/>
      </c>
      <c r="I3337">
        <f>AVERAGE(E3138:E3337)</f>
        <v/>
      </c>
      <c r="J3337">
        <f>AVERAGE(F3138:F3337)</f>
        <v/>
      </c>
    </row>
    <row r="3338">
      <c r="C3338" s="539" t="n">
        <v>44293</v>
      </c>
      <c r="D3338" t="n">
        <v>162.7599945068359</v>
      </c>
      <c r="E3338" t="n">
        <v>40.86000061035156</v>
      </c>
      <c r="F3338" t="n">
        <v>15.11615562438965</v>
      </c>
      <c r="G3338" t="n">
        <v>76.61656188964844</v>
      </c>
      <c r="H3338">
        <f>AVERAGE(D3139:D3338)</f>
        <v/>
      </c>
      <c r="I3338">
        <f>AVERAGE(E3139:E3338)</f>
        <v/>
      </c>
      <c r="J3338">
        <f>AVERAGE(F3139:F3338)</f>
        <v/>
      </c>
    </row>
    <row r="3339">
      <c r="C3339" s="539" t="n">
        <v>44294</v>
      </c>
      <c r="D3339" t="n">
        <v>164.5099945068359</v>
      </c>
      <c r="E3339" t="n">
        <v>40.81999969482422</v>
      </c>
      <c r="F3339" t="n">
        <v>15.25734710693359</v>
      </c>
      <c r="G3339" t="n">
        <v>76.62496948242188</v>
      </c>
      <c r="H3339">
        <f>AVERAGE(D3140:D3339)</f>
        <v/>
      </c>
      <c r="I3339">
        <f>AVERAGE(E3140:E3339)</f>
        <v/>
      </c>
      <c r="J3339">
        <f>AVERAGE(F3140:F3339)</f>
        <v/>
      </c>
    </row>
    <row r="3340">
      <c r="C3340" s="539" t="n">
        <v>44295</v>
      </c>
      <c r="D3340" t="n">
        <v>163.2700042724609</v>
      </c>
      <c r="E3340" t="n">
        <v>40.63999938964844</v>
      </c>
      <c r="F3340" t="n">
        <v>15.23969745635986</v>
      </c>
      <c r="G3340" t="n">
        <v>76.61656188964844</v>
      </c>
      <c r="H3340">
        <f>AVERAGE(D3141:D3340)</f>
        <v/>
      </c>
      <c r="I3340">
        <f>AVERAGE(E3141:E3340)</f>
        <v/>
      </c>
      <c r="J3340">
        <f>AVERAGE(F3141:F3340)</f>
        <v/>
      </c>
    </row>
    <row r="3341">
      <c r="C3341" s="539" t="n">
        <v>44298</v>
      </c>
      <c r="D3341" t="n">
        <v>162.2799987792969</v>
      </c>
      <c r="E3341" t="n">
        <v>40.90000152587891</v>
      </c>
      <c r="F3341" t="n">
        <v>15.13380336761475</v>
      </c>
      <c r="G3341" t="n">
        <v>76.61656188964844</v>
      </c>
      <c r="H3341">
        <f>AVERAGE(D3142:D3341)</f>
        <v/>
      </c>
      <c r="I3341">
        <f>AVERAGE(E3142:E3341)</f>
        <v/>
      </c>
      <c r="J3341">
        <f>AVERAGE(F3142:F3341)</f>
        <v/>
      </c>
    </row>
    <row r="3342">
      <c r="C3342" s="539" t="n">
        <v>44299</v>
      </c>
      <c r="D3342" t="n">
        <v>163.4299926757812</v>
      </c>
      <c r="E3342" t="n">
        <v>41.40000152587891</v>
      </c>
      <c r="F3342" t="n">
        <v>15.25734710693359</v>
      </c>
      <c r="G3342" t="n">
        <v>76.61656188964844</v>
      </c>
      <c r="H3342">
        <f>AVERAGE(D3143:D3342)</f>
        <v/>
      </c>
      <c r="I3342">
        <f>AVERAGE(E3143:E3342)</f>
        <v/>
      </c>
      <c r="J3342">
        <f>AVERAGE(F3143:F3342)</f>
        <v/>
      </c>
    </row>
    <row r="3343">
      <c r="C3343" s="539" t="n">
        <v>44300</v>
      </c>
      <c r="D3343" t="n">
        <v>162.7200012207031</v>
      </c>
      <c r="E3343" t="n">
        <v>43.04000091552734</v>
      </c>
      <c r="F3343" t="n">
        <v>15.43383407592773</v>
      </c>
      <c r="G3343" t="n">
        <v>76.61656188964844</v>
      </c>
      <c r="H3343">
        <f>AVERAGE(D3144:D3343)</f>
        <v/>
      </c>
      <c r="I3343">
        <f>AVERAGE(E3144:E3343)</f>
        <v/>
      </c>
      <c r="J3343">
        <f>AVERAGE(F3144:F3343)</f>
        <v/>
      </c>
    </row>
    <row r="3344">
      <c r="C3344" s="539" t="n">
        <v>44301</v>
      </c>
      <c r="D3344" t="n">
        <v>165.3500061035156</v>
      </c>
      <c r="E3344" t="n">
        <v>43.27000045776367</v>
      </c>
      <c r="F3344" t="n">
        <v>15.4691333770752</v>
      </c>
      <c r="G3344" t="n">
        <v>76.62496948242188</v>
      </c>
      <c r="H3344">
        <f>AVERAGE(D3145:D3344)</f>
        <v/>
      </c>
      <c r="I3344">
        <f>AVERAGE(E3145:E3344)</f>
        <v/>
      </c>
      <c r="J3344">
        <f>AVERAGE(F3145:F3344)</f>
        <v/>
      </c>
    </row>
    <row r="3345">
      <c r="C3345" s="539" t="n">
        <v>44302</v>
      </c>
      <c r="D3345" t="n">
        <v>166.3500061035156</v>
      </c>
      <c r="E3345" t="n">
        <v>43.18000030517578</v>
      </c>
      <c r="F3345" t="n">
        <v>15.43383407592773</v>
      </c>
      <c r="G3345" t="n">
        <v>76.62496948242188</v>
      </c>
      <c r="H3345">
        <f>AVERAGE(D3146:D3345)</f>
        <v/>
      </c>
      <c r="I3345">
        <f>AVERAGE(E3146:E3345)</f>
        <v/>
      </c>
      <c r="J3345">
        <f>AVERAGE(F3146:F3345)</f>
        <v/>
      </c>
    </row>
    <row r="3346">
      <c r="C3346" s="539" t="n">
        <v>44305</v>
      </c>
      <c r="D3346" t="n">
        <v>165.8899993896484</v>
      </c>
      <c r="E3346" t="n">
        <v>43.31999969482422</v>
      </c>
      <c r="F3346" t="n">
        <v>15.48678016662598</v>
      </c>
      <c r="G3346" t="n">
        <v>76.61656188964844</v>
      </c>
      <c r="H3346">
        <f>AVERAGE(D3147:D3346)</f>
        <v/>
      </c>
      <c r="I3346">
        <f>AVERAGE(E3147:E3346)</f>
        <v/>
      </c>
      <c r="J3346">
        <f>AVERAGE(F3147:F3346)</f>
        <v/>
      </c>
    </row>
    <row r="3347">
      <c r="C3347" s="539" t="n">
        <v>44306</v>
      </c>
      <c r="D3347" t="n">
        <v>166.4799957275391</v>
      </c>
      <c r="E3347" t="n">
        <v>42.7400016784668</v>
      </c>
      <c r="F3347" t="n">
        <v>15.67209243774414</v>
      </c>
      <c r="G3347" t="n">
        <v>76.61656188964844</v>
      </c>
      <c r="H3347">
        <f>AVERAGE(D3148:D3347)</f>
        <v/>
      </c>
      <c r="I3347">
        <f>AVERAGE(E3148:E3347)</f>
        <v/>
      </c>
      <c r="J3347">
        <f>AVERAGE(F3148:F3347)</f>
        <v/>
      </c>
    </row>
    <row r="3348">
      <c r="C3348" s="539" t="n">
        <v>44307</v>
      </c>
      <c r="D3348" t="n">
        <v>168.1300048828125</v>
      </c>
      <c r="E3348" t="n">
        <v>41.77000045776367</v>
      </c>
      <c r="F3348" t="n">
        <v>15.74268627166748</v>
      </c>
      <c r="G3348" t="n">
        <v>76.61656188964844</v>
      </c>
      <c r="H3348">
        <f>AVERAGE(D3149:D3348)</f>
        <v/>
      </c>
      <c r="I3348">
        <f>AVERAGE(E3149:E3348)</f>
        <v/>
      </c>
      <c r="J3348">
        <f>AVERAGE(F3149:F3348)</f>
        <v/>
      </c>
    </row>
    <row r="3349">
      <c r="C3349" s="539" t="n">
        <v>44308</v>
      </c>
      <c r="D3349" t="n">
        <v>167.0399932861328</v>
      </c>
      <c r="E3349" t="n">
        <v>42.09000015258789</v>
      </c>
      <c r="F3349" t="n">
        <v>15.93682098388672</v>
      </c>
      <c r="G3349" t="n">
        <v>76.62496948242188</v>
      </c>
      <c r="H3349">
        <f>AVERAGE(D3150:D3349)</f>
        <v/>
      </c>
      <c r="I3349">
        <f>AVERAGE(E3150:E3349)</f>
        <v/>
      </c>
      <c r="J3349">
        <f>AVERAGE(F3150:F3349)</f>
        <v/>
      </c>
    </row>
    <row r="3350">
      <c r="C3350" s="539" t="n">
        <v>44309</v>
      </c>
      <c r="D3350" t="n">
        <v>166.3999938964844</v>
      </c>
      <c r="E3350" t="n">
        <v>42.45999908447266</v>
      </c>
      <c r="F3350" t="n">
        <v>16.06918716430664</v>
      </c>
      <c r="G3350" t="n">
        <v>76.62496948242188</v>
      </c>
      <c r="H3350">
        <f>AVERAGE(D3151:D3350)</f>
        <v/>
      </c>
      <c r="I3350">
        <f>AVERAGE(E3151:E3350)</f>
        <v/>
      </c>
      <c r="J3350">
        <f>AVERAGE(F3151:F3350)</f>
        <v/>
      </c>
    </row>
    <row r="3351">
      <c r="C3351" s="539" t="n">
        <v>44312</v>
      </c>
      <c r="D3351" t="n">
        <v>166.8399963378906</v>
      </c>
      <c r="E3351" t="n">
        <v>42.33000183105469</v>
      </c>
      <c r="F3351" t="n">
        <v>16.39569091796875</v>
      </c>
      <c r="G3351" t="n">
        <v>76.61656188964844</v>
      </c>
      <c r="H3351">
        <f>AVERAGE(D3152:D3351)</f>
        <v/>
      </c>
      <c r="I3351">
        <f>AVERAGE(E3152:E3351)</f>
        <v/>
      </c>
      <c r="J3351">
        <f>AVERAGE(F3152:F3351)</f>
        <v/>
      </c>
    </row>
    <row r="3352">
      <c r="C3352" s="539" t="n">
        <v>44313</v>
      </c>
      <c r="D3352" t="n">
        <v>166.4199981689453</v>
      </c>
      <c r="E3352" t="n">
        <v>43.11000061035156</v>
      </c>
      <c r="F3352" t="n">
        <v>16.39569091796875</v>
      </c>
      <c r="G3352" t="n">
        <v>76.62496948242188</v>
      </c>
      <c r="H3352">
        <f>AVERAGE(D3153:D3352)</f>
        <v/>
      </c>
      <c r="I3352">
        <f>AVERAGE(E3153:E3352)</f>
        <v/>
      </c>
      <c r="J3352">
        <f>AVERAGE(F3153:F3352)</f>
        <v/>
      </c>
    </row>
    <row r="3353">
      <c r="C3353" s="539" t="n">
        <v>44314</v>
      </c>
      <c r="D3353" t="n">
        <v>166.9100036621094</v>
      </c>
      <c r="E3353" t="n">
        <v>43.52999877929688</v>
      </c>
      <c r="F3353" t="n">
        <v>16.21037864685059</v>
      </c>
      <c r="G3353" t="n">
        <v>76.61656188964844</v>
      </c>
      <c r="H3353">
        <f>AVERAGE(D3154:D3353)</f>
        <v/>
      </c>
      <c r="I3353">
        <f>AVERAGE(E3154:E3353)</f>
        <v/>
      </c>
      <c r="J3353">
        <f>AVERAGE(F3154:F3353)</f>
        <v/>
      </c>
    </row>
    <row r="3354">
      <c r="C3354" s="539" t="n">
        <v>44315</v>
      </c>
      <c r="D3354" t="n">
        <v>166.2200012207031</v>
      </c>
      <c r="E3354" t="n">
        <v>44.2599983215332</v>
      </c>
      <c r="F3354" t="n">
        <v>16.13978576660156</v>
      </c>
      <c r="G3354" t="n">
        <v>76.61656188964844</v>
      </c>
      <c r="H3354">
        <f>AVERAGE(D3155:D3354)</f>
        <v/>
      </c>
      <c r="I3354">
        <f>AVERAGE(E3155:E3354)</f>
        <v/>
      </c>
      <c r="J3354">
        <f>AVERAGE(F3155:F3354)</f>
        <v/>
      </c>
    </row>
    <row r="3355">
      <c r="C3355" s="539" t="n">
        <v>44316</v>
      </c>
      <c r="D3355" t="n">
        <v>165.6600036621094</v>
      </c>
      <c r="E3355" t="n">
        <v>43.27000045776367</v>
      </c>
      <c r="F3355" t="n">
        <v>16.23685073852539</v>
      </c>
      <c r="G3355" t="n">
        <v>76.62496948242188</v>
      </c>
      <c r="H3355">
        <f>AVERAGE(D3156:D3355)</f>
        <v/>
      </c>
      <c r="I3355">
        <f>AVERAGE(E3156:E3355)</f>
        <v/>
      </c>
      <c r="J3355">
        <f>AVERAGE(F3156:F3355)</f>
        <v/>
      </c>
    </row>
    <row r="3356">
      <c r="C3356" s="539" t="n">
        <v>44319</v>
      </c>
      <c r="D3356" t="n">
        <v>167.8099975585938</v>
      </c>
      <c r="E3356" t="n">
        <v>43.97999954223633</v>
      </c>
      <c r="F3356" t="n">
        <v>16.18390464782715</v>
      </c>
      <c r="G3356" t="n">
        <v>76.62496948242188</v>
      </c>
      <c r="H3356">
        <f>AVERAGE(D3157:D3356)</f>
        <v/>
      </c>
      <c r="I3356">
        <f>AVERAGE(E3157:E3356)</f>
        <v/>
      </c>
      <c r="J3356">
        <f>AVERAGE(F3157:F3356)</f>
        <v/>
      </c>
    </row>
    <row r="3357">
      <c r="C3357" s="539" t="n">
        <v>44320</v>
      </c>
      <c r="D3357" t="n">
        <v>166.5800018310547</v>
      </c>
      <c r="E3357" t="n">
        <v>44.86999893188477</v>
      </c>
      <c r="F3357" t="n">
        <v>16.3162727355957</v>
      </c>
      <c r="G3357" t="n">
        <v>76.61656188964844</v>
      </c>
      <c r="H3357">
        <f>AVERAGE(D3158:D3357)</f>
        <v/>
      </c>
      <c r="I3357">
        <f>AVERAGE(E3158:E3357)</f>
        <v/>
      </c>
      <c r="J3357">
        <f>AVERAGE(F3158:F3357)</f>
        <v/>
      </c>
    </row>
    <row r="3358">
      <c r="C3358" s="539" t="n">
        <v>44321</v>
      </c>
      <c r="D3358" t="n">
        <v>167.2700042724609</v>
      </c>
      <c r="E3358" t="n">
        <v>44.65999984741211</v>
      </c>
      <c r="F3358" t="n">
        <v>16.69572067260742</v>
      </c>
      <c r="G3358" t="n">
        <v>76.62496948242188</v>
      </c>
      <c r="H3358">
        <f>AVERAGE(D3159:D3358)</f>
        <v/>
      </c>
      <c r="I3358">
        <f>AVERAGE(E3159:E3358)</f>
        <v/>
      </c>
      <c r="J3358">
        <f>AVERAGE(F3159:F3358)</f>
        <v/>
      </c>
    </row>
    <row r="3359">
      <c r="C3359" s="539" t="n">
        <v>44322</v>
      </c>
      <c r="D3359" t="n">
        <v>170.0599975585938</v>
      </c>
      <c r="E3359" t="n">
        <v>44.40999984741211</v>
      </c>
      <c r="F3359" t="n">
        <v>16.95162582397461</v>
      </c>
      <c r="G3359" t="n">
        <v>76.62496948242188</v>
      </c>
      <c r="H3359">
        <f>AVERAGE(D3160:D3359)</f>
        <v/>
      </c>
      <c r="I3359">
        <f>AVERAGE(E3160:E3359)</f>
        <v/>
      </c>
      <c r="J3359">
        <f>AVERAGE(F3160:F3359)</f>
        <v/>
      </c>
    </row>
    <row r="3360">
      <c r="C3360" s="539" t="n">
        <v>44323</v>
      </c>
      <c r="D3360" t="n">
        <v>171.5899963378906</v>
      </c>
      <c r="E3360" t="n">
        <v>44.43000030517578</v>
      </c>
      <c r="F3360" t="n">
        <v>17.05751991271973</v>
      </c>
      <c r="G3360" t="n">
        <v>76.61656188964844</v>
      </c>
      <c r="H3360">
        <f>AVERAGE(D3161:D3360)</f>
        <v/>
      </c>
      <c r="I3360">
        <f>AVERAGE(E3161:E3360)</f>
        <v/>
      </c>
      <c r="J3360">
        <f>AVERAGE(F3161:F3360)</f>
        <v/>
      </c>
    </row>
    <row r="3361">
      <c r="C3361" s="539" t="n">
        <v>44326</v>
      </c>
      <c r="D3361" t="n">
        <v>172.1100006103516</v>
      </c>
      <c r="E3361" t="n">
        <v>44.47999954223633</v>
      </c>
      <c r="F3361" t="n">
        <v>16.74866485595703</v>
      </c>
      <c r="G3361" t="n">
        <v>76.61656188964844</v>
      </c>
      <c r="H3361">
        <f>AVERAGE(D3162:D3361)</f>
        <v/>
      </c>
      <c r="I3361">
        <f>AVERAGE(E3162:E3361)</f>
        <v/>
      </c>
      <c r="J3361">
        <f>AVERAGE(F3162:F3361)</f>
        <v/>
      </c>
    </row>
    <row r="3362">
      <c r="C3362" s="539" t="n">
        <v>44327</v>
      </c>
      <c r="D3362" t="n">
        <v>172.1399993896484</v>
      </c>
      <c r="E3362" t="n">
        <v>44.86999893188477</v>
      </c>
      <c r="F3362" t="n">
        <v>16.97809791564941</v>
      </c>
      <c r="G3362" t="n">
        <v>76.61656188964844</v>
      </c>
      <c r="H3362">
        <f>AVERAGE(D3163:D3362)</f>
        <v/>
      </c>
      <c r="I3362">
        <f>AVERAGE(E3163:E3362)</f>
        <v/>
      </c>
      <c r="J3362">
        <f>AVERAGE(F3163:F3362)</f>
        <v/>
      </c>
    </row>
    <row r="3363">
      <c r="C3363" s="539" t="n">
        <v>44328</v>
      </c>
      <c r="D3363" t="n">
        <v>170.4299926757812</v>
      </c>
      <c r="E3363" t="n">
        <v>45.22000122070312</v>
      </c>
      <c r="F3363" t="n">
        <v>16.81926155090332</v>
      </c>
      <c r="G3363" t="n">
        <v>76.60822296142578</v>
      </c>
      <c r="H3363">
        <f>AVERAGE(D3164:D3363)</f>
        <v/>
      </c>
      <c r="I3363">
        <f>AVERAGE(E3164:E3363)</f>
        <v/>
      </c>
      <c r="J3363">
        <f>AVERAGE(F3164:F3363)</f>
        <v/>
      </c>
    </row>
    <row r="3364">
      <c r="C3364" s="539" t="n">
        <v>44329</v>
      </c>
      <c r="D3364" t="n">
        <v>171.1300048828125</v>
      </c>
      <c r="E3364" t="n">
        <v>43.81000137329102</v>
      </c>
      <c r="F3364" t="n">
        <v>16.3515682220459</v>
      </c>
      <c r="G3364" t="n">
        <v>76.60822296142578</v>
      </c>
      <c r="H3364">
        <f>AVERAGE(D3165:D3364)</f>
        <v/>
      </c>
      <c r="I3364">
        <f>AVERAGE(E3165:E3364)</f>
        <v/>
      </c>
      <c r="J3364">
        <f>AVERAGE(F3165:F3364)</f>
        <v/>
      </c>
    </row>
    <row r="3365">
      <c r="C3365" s="539" t="n">
        <v>44330</v>
      </c>
      <c r="D3365" t="n">
        <v>172.6900024414062</v>
      </c>
      <c r="E3365" t="n">
        <v>44.70999908447266</v>
      </c>
      <c r="F3365" t="n">
        <v>16.2015552520752</v>
      </c>
      <c r="G3365" t="n">
        <v>76.60822296142578</v>
      </c>
      <c r="H3365">
        <f>AVERAGE(D3166:D3365)</f>
        <v/>
      </c>
      <c r="I3365">
        <f>AVERAGE(E3166:E3365)</f>
        <v/>
      </c>
      <c r="J3365">
        <f>AVERAGE(F3166:F3365)</f>
        <v/>
      </c>
    </row>
    <row r="3366">
      <c r="C3366" s="539" t="n">
        <v>44333</v>
      </c>
      <c r="D3366" t="n">
        <v>174.6999969482422</v>
      </c>
      <c r="E3366" t="n">
        <v>45.38999938964844</v>
      </c>
      <c r="F3366" t="n">
        <v>16.22802734375</v>
      </c>
      <c r="G3366" t="n">
        <v>76.61656188964844</v>
      </c>
      <c r="H3366">
        <f>AVERAGE(D3167:D3366)</f>
        <v/>
      </c>
      <c r="I3366">
        <f>AVERAGE(E3167:E3366)</f>
        <v/>
      </c>
      <c r="J3366">
        <f>AVERAGE(F3167:F3366)</f>
        <v/>
      </c>
    </row>
    <row r="3367">
      <c r="C3367" s="539" t="n">
        <v>44334</v>
      </c>
      <c r="D3367" t="n">
        <v>175.0399932861328</v>
      </c>
      <c r="E3367" t="n">
        <v>44.84000015258789</v>
      </c>
      <c r="F3367" t="n">
        <v>16.40451431274414</v>
      </c>
      <c r="G3367" t="n">
        <v>76.61656188964844</v>
      </c>
      <c r="H3367">
        <f>AVERAGE(D3168:D3367)</f>
        <v/>
      </c>
      <c r="I3367">
        <f>AVERAGE(E3168:E3367)</f>
        <v/>
      </c>
      <c r="J3367">
        <f>AVERAGE(F3168:F3367)</f>
        <v/>
      </c>
    </row>
    <row r="3368">
      <c r="C3368" s="539" t="n">
        <v>44335</v>
      </c>
      <c r="D3368" t="n">
        <v>175.1600036621094</v>
      </c>
      <c r="E3368" t="n">
        <v>43.43000030517578</v>
      </c>
      <c r="F3368" t="n">
        <v>16.24567794799805</v>
      </c>
      <c r="G3368" t="n">
        <v>76.60822296142578</v>
      </c>
      <c r="H3368">
        <f>AVERAGE(D3169:D3368)</f>
        <v/>
      </c>
      <c r="I3368">
        <f>AVERAGE(E3169:E3368)</f>
        <v/>
      </c>
      <c r="J3368">
        <f>AVERAGE(F3169:F3368)</f>
        <v/>
      </c>
    </row>
    <row r="3369">
      <c r="C3369" s="539" t="n">
        <v>44336</v>
      </c>
      <c r="D3369" t="n">
        <v>175.9600067138672</v>
      </c>
      <c r="E3369" t="n">
        <v>42.47999954223633</v>
      </c>
      <c r="F3369" t="n">
        <v>16.21920013427734</v>
      </c>
      <c r="G3369" t="n">
        <v>76.60822296142578</v>
      </c>
      <c r="H3369">
        <f>AVERAGE(D3170:D3369)</f>
        <v/>
      </c>
      <c r="I3369">
        <f>AVERAGE(E3170:E3369)</f>
        <v/>
      </c>
      <c r="J3369">
        <f>AVERAGE(F3170:F3369)</f>
        <v/>
      </c>
    </row>
    <row r="3370">
      <c r="C3370" s="539" t="n">
        <v>44337</v>
      </c>
      <c r="D3370" t="n">
        <v>176.0399932861328</v>
      </c>
      <c r="E3370" t="n">
        <v>43.70000076293945</v>
      </c>
      <c r="F3370" t="n">
        <v>16.22802734375</v>
      </c>
      <c r="G3370" t="n">
        <v>76.61656188964844</v>
      </c>
      <c r="H3370">
        <f>AVERAGE(D3171:D3370)</f>
        <v/>
      </c>
      <c r="I3370">
        <f>AVERAGE(E3171:E3370)</f>
        <v/>
      </c>
      <c r="J3370">
        <f>AVERAGE(F3171:F3370)</f>
        <v/>
      </c>
    </row>
    <row r="3371">
      <c r="C3371" s="539" t="n">
        <v>44340</v>
      </c>
      <c r="D3371" t="n">
        <v>176.3500061035156</v>
      </c>
      <c r="E3371" t="n">
        <v>45.02000045776367</v>
      </c>
      <c r="F3371" t="n">
        <v>16.13095855712891</v>
      </c>
      <c r="G3371" t="n">
        <v>76.60822296142578</v>
      </c>
      <c r="H3371">
        <f>AVERAGE(D3172:D3371)</f>
        <v/>
      </c>
      <c r="I3371">
        <f>AVERAGE(E3172:E3371)</f>
        <v/>
      </c>
      <c r="J3371">
        <f>AVERAGE(F3172:F3371)</f>
        <v/>
      </c>
    </row>
    <row r="3372">
      <c r="C3372" s="539" t="n">
        <v>44341</v>
      </c>
      <c r="D3372" t="n">
        <v>177.9499969482422</v>
      </c>
      <c r="E3372" t="n">
        <v>44.91999816894531</v>
      </c>
      <c r="F3372" t="n">
        <v>16.05154037475586</v>
      </c>
      <c r="G3372" t="n">
        <v>76.60822296142578</v>
      </c>
      <c r="H3372">
        <f>AVERAGE(D3173:D3372)</f>
        <v/>
      </c>
      <c r="I3372">
        <f>AVERAGE(E3173:E3372)</f>
        <v/>
      </c>
      <c r="J3372">
        <f>AVERAGE(F3173:F3372)</f>
        <v/>
      </c>
    </row>
    <row r="3373">
      <c r="C3373" s="539" t="n">
        <v>44342</v>
      </c>
      <c r="D3373" t="n">
        <v>177.6399993896484</v>
      </c>
      <c r="E3373" t="n">
        <v>45.20000076293945</v>
      </c>
      <c r="F3373" t="n">
        <v>16.07801246643066</v>
      </c>
      <c r="G3373" t="n">
        <v>76.60822296142578</v>
      </c>
      <c r="H3373">
        <f>AVERAGE(D3174:D3373)</f>
        <v/>
      </c>
      <c r="I3373">
        <f>AVERAGE(E3174:E3373)</f>
        <v/>
      </c>
      <c r="J3373">
        <f>AVERAGE(F3174:F3373)</f>
        <v/>
      </c>
    </row>
    <row r="3374">
      <c r="C3374" s="539" t="n">
        <v>44343</v>
      </c>
      <c r="D3374" t="n">
        <v>177.7100067138672</v>
      </c>
      <c r="E3374" t="n">
        <v>45.54999923706055</v>
      </c>
      <c r="F3374" t="n">
        <v>16.39569091796875</v>
      </c>
      <c r="G3374" t="n">
        <v>76.61656188964844</v>
      </c>
      <c r="H3374">
        <f>AVERAGE(D3175:D3374)</f>
        <v/>
      </c>
      <c r="I3374">
        <f>AVERAGE(E3175:E3374)</f>
        <v/>
      </c>
      <c r="J3374">
        <f>AVERAGE(F3175:F3374)</f>
        <v/>
      </c>
    </row>
    <row r="3375">
      <c r="C3375" s="539" t="n">
        <v>44344</v>
      </c>
      <c r="D3375" t="n">
        <v>178.3800048828125</v>
      </c>
      <c r="E3375" t="n">
        <v>45.41999816894531</v>
      </c>
      <c r="F3375" t="n">
        <v>16.40451431274414</v>
      </c>
      <c r="G3375" t="n">
        <v>76.61656188964844</v>
      </c>
      <c r="H3375">
        <f>AVERAGE(D3176:D3375)</f>
        <v/>
      </c>
      <c r="I3375">
        <f>AVERAGE(E3176:E3375)</f>
        <v/>
      </c>
      <c r="J3375">
        <f>AVERAGE(F3176:F3375)</f>
        <v/>
      </c>
    </row>
    <row r="3376">
      <c r="C3376" s="539" t="n">
        <v>44348</v>
      </c>
      <c r="D3376" t="n">
        <v>177.8999938964844</v>
      </c>
      <c r="E3376" t="n">
        <v>46.33000183105469</v>
      </c>
      <c r="F3376" t="n">
        <v>16.66924667358398</v>
      </c>
      <c r="G3376" t="n">
        <v>76.60822296142578</v>
      </c>
      <c r="H3376">
        <f>AVERAGE(D3177:D3376)</f>
        <v/>
      </c>
      <c r="I3376">
        <f>AVERAGE(E3177:E3376)</f>
        <v/>
      </c>
      <c r="J3376">
        <f>AVERAGE(F3177:F3376)</f>
        <v/>
      </c>
    </row>
    <row r="3377">
      <c r="C3377" s="539" t="n">
        <v>44349</v>
      </c>
      <c r="D3377" t="n">
        <v>178.7700042724609</v>
      </c>
      <c r="E3377" t="n">
        <v>46.90000152587891</v>
      </c>
      <c r="F3377" t="n">
        <v>16.69572067260742</v>
      </c>
      <c r="G3377" t="n">
        <v>76.60822296142578</v>
      </c>
      <c r="H3377">
        <f>AVERAGE(D3178:D3377)</f>
        <v/>
      </c>
      <c r="I3377">
        <f>AVERAGE(E3178:E3377)</f>
        <v/>
      </c>
      <c r="J3377">
        <f>AVERAGE(F3178:F3377)</f>
        <v/>
      </c>
    </row>
    <row r="3378">
      <c r="C3378" s="539" t="n">
        <v>44350</v>
      </c>
      <c r="D3378" t="n">
        <v>175.2700042724609</v>
      </c>
      <c r="E3378" t="n">
        <v>46.97000122070312</v>
      </c>
      <c r="F3378" t="n">
        <v>16.4751091003418</v>
      </c>
      <c r="G3378" t="n">
        <v>76.60822296142578</v>
      </c>
      <c r="H3378">
        <f>AVERAGE(D3179:D3378)</f>
        <v/>
      </c>
      <c r="I3378">
        <f>AVERAGE(E3179:E3378)</f>
        <v/>
      </c>
      <c r="J3378">
        <f>AVERAGE(F3179:F3378)</f>
        <v/>
      </c>
    </row>
    <row r="3379">
      <c r="C3379" s="539" t="n">
        <v>44351</v>
      </c>
      <c r="D3379" t="n">
        <v>177.1600036621094</v>
      </c>
      <c r="E3379" t="n">
        <v>47.2599983215332</v>
      </c>
      <c r="F3379" t="n">
        <v>16.77513694763184</v>
      </c>
      <c r="G3379" t="n">
        <v>76.61656188964844</v>
      </c>
      <c r="H3379">
        <f>AVERAGE(D3180:D3379)</f>
        <v/>
      </c>
      <c r="I3379">
        <f>AVERAGE(E3180:E3379)</f>
        <v/>
      </c>
      <c r="J3379">
        <f>AVERAGE(F3180:F3379)</f>
        <v/>
      </c>
    </row>
    <row r="3380">
      <c r="C3380" s="539" t="n">
        <v>44354</v>
      </c>
      <c r="D3380" t="n">
        <v>177.8699951171875</v>
      </c>
      <c r="E3380" t="n">
        <v>47.27000045776367</v>
      </c>
      <c r="F3380" t="n">
        <v>16.76631546020508</v>
      </c>
      <c r="G3380" t="n">
        <v>76.59983062744141</v>
      </c>
      <c r="H3380">
        <f>AVERAGE(D3181:D3380)</f>
        <v/>
      </c>
      <c r="I3380">
        <f>AVERAGE(E3181:E3380)</f>
        <v/>
      </c>
      <c r="J3380">
        <f>AVERAGE(F3181:F3380)</f>
        <v/>
      </c>
    </row>
    <row r="3381">
      <c r="C3381" s="539" t="n">
        <v>44355</v>
      </c>
      <c r="D3381" t="n">
        <v>177.3200073242188</v>
      </c>
      <c r="E3381" t="n">
        <v>47.88000106811523</v>
      </c>
      <c r="F3381" t="n">
        <v>16.8369083404541</v>
      </c>
      <c r="G3381" t="n">
        <v>76.59983062744141</v>
      </c>
      <c r="H3381">
        <f>AVERAGE(D3182:D3381)</f>
        <v/>
      </c>
      <c r="I3381">
        <f>AVERAGE(E3182:E3381)</f>
        <v/>
      </c>
      <c r="J3381">
        <f>AVERAGE(F3182:F3381)</f>
        <v/>
      </c>
    </row>
    <row r="3382">
      <c r="C3382" s="539" t="n">
        <v>44356</v>
      </c>
      <c r="D3382" t="n">
        <v>176.9799957275391</v>
      </c>
      <c r="E3382" t="n">
        <v>47.58000183105469</v>
      </c>
      <c r="F3382" t="n">
        <v>16.79278564453125</v>
      </c>
      <c r="G3382" t="n">
        <v>76.59983062744141</v>
      </c>
      <c r="H3382">
        <f>AVERAGE(D3183:D3382)</f>
        <v/>
      </c>
      <c r="I3382">
        <f>AVERAGE(E3183:E3382)</f>
        <v/>
      </c>
      <c r="J3382">
        <f>AVERAGE(F3183:F3382)</f>
        <v/>
      </c>
    </row>
    <row r="3383">
      <c r="C3383" s="539" t="n">
        <v>44357</v>
      </c>
      <c r="D3383" t="n">
        <v>177.7400054931641</v>
      </c>
      <c r="E3383" t="n">
        <v>47.83000183105469</v>
      </c>
      <c r="F3383" t="n">
        <v>16.88985633850098</v>
      </c>
      <c r="G3383" t="n">
        <v>76.59983062744141</v>
      </c>
      <c r="H3383">
        <f>AVERAGE(D3184:D3383)</f>
        <v/>
      </c>
      <c r="I3383">
        <f>AVERAGE(E3184:E3383)</f>
        <v/>
      </c>
      <c r="J3383">
        <f>AVERAGE(F3184:F3383)</f>
        <v/>
      </c>
    </row>
    <row r="3384">
      <c r="C3384" s="539" t="n">
        <v>44358</v>
      </c>
      <c r="D3384" t="n">
        <v>175.7400054931641</v>
      </c>
      <c r="E3384" t="n">
        <v>48.06999969482422</v>
      </c>
      <c r="F3384" t="n">
        <v>16.80161285400391</v>
      </c>
      <c r="G3384" t="n">
        <v>76.60822296142578</v>
      </c>
      <c r="H3384">
        <f>AVERAGE(D3185:D3384)</f>
        <v/>
      </c>
      <c r="I3384">
        <f>AVERAGE(E3185:E3384)</f>
        <v/>
      </c>
      <c r="J3384">
        <f>AVERAGE(F3185:F3384)</f>
        <v/>
      </c>
    </row>
    <row r="3385">
      <c r="C3385" s="539" t="n">
        <v>44361</v>
      </c>
      <c r="D3385" t="n">
        <v>174.7100067138672</v>
      </c>
      <c r="E3385" t="n">
        <v>48.31999969482422</v>
      </c>
      <c r="F3385" t="n">
        <v>16.48393440246582</v>
      </c>
      <c r="G3385" t="n">
        <v>76.59983062744141</v>
      </c>
      <c r="H3385">
        <f>AVERAGE(D3186:D3385)</f>
        <v/>
      </c>
      <c r="I3385">
        <f>AVERAGE(E3186:E3385)</f>
        <v/>
      </c>
      <c r="J3385">
        <f>AVERAGE(F3186:F3385)</f>
        <v/>
      </c>
    </row>
    <row r="3386">
      <c r="C3386" s="539" t="n">
        <v>44362</v>
      </c>
      <c r="D3386" t="n">
        <v>174.0500030517578</v>
      </c>
      <c r="E3386" t="n">
        <v>48.97999954223633</v>
      </c>
      <c r="F3386" t="n">
        <v>16.34274291992188</v>
      </c>
      <c r="G3386" t="n">
        <v>76.59983062744141</v>
      </c>
      <c r="H3386">
        <f>AVERAGE(D3187:D3386)</f>
        <v/>
      </c>
      <c r="I3386">
        <f>AVERAGE(E3187:E3386)</f>
        <v/>
      </c>
      <c r="J3386">
        <f>AVERAGE(F3187:F3386)</f>
        <v/>
      </c>
    </row>
    <row r="3387">
      <c r="C3387" s="539" t="n">
        <v>44363</v>
      </c>
      <c r="D3387" t="n">
        <v>171.1100006103516</v>
      </c>
      <c r="E3387" t="n">
        <v>48.75</v>
      </c>
      <c r="F3387" t="n">
        <v>16.22802734375</v>
      </c>
      <c r="G3387" t="n">
        <v>76.60822296142578</v>
      </c>
      <c r="H3387">
        <f>AVERAGE(D3188:D3387)</f>
        <v/>
      </c>
      <c r="I3387">
        <f>AVERAGE(E3188:E3387)</f>
        <v/>
      </c>
      <c r="J3387">
        <f>AVERAGE(F3188:F3387)</f>
        <v/>
      </c>
    </row>
    <row r="3388">
      <c r="C3388" s="539" t="n">
        <v>44364</v>
      </c>
      <c r="D3388" t="n">
        <v>165.8500061035156</v>
      </c>
      <c r="E3388" t="n">
        <v>48.04000091552734</v>
      </c>
      <c r="F3388" t="n">
        <v>15.60149765014648</v>
      </c>
      <c r="G3388" t="n">
        <v>76.59983062744141</v>
      </c>
      <c r="H3388">
        <f>AVERAGE(D3189:D3388)</f>
        <v/>
      </c>
      <c r="I3388">
        <f>AVERAGE(E3189:E3388)</f>
        <v/>
      </c>
      <c r="J3388">
        <f>AVERAGE(F3189:F3388)</f>
        <v/>
      </c>
    </row>
    <row r="3389">
      <c r="C3389" s="539" t="n">
        <v>44365</v>
      </c>
      <c r="D3389" t="n">
        <v>164.9299926757812</v>
      </c>
      <c r="E3389" t="n">
        <v>48.36000061035156</v>
      </c>
      <c r="F3389" t="n">
        <v>15.90152549743652</v>
      </c>
      <c r="G3389" t="n">
        <v>76.60822296142578</v>
      </c>
      <c r="H3389">
        <f>AVERAGE(D3190:D3389)</f>
        <v/>
      </c>
      <c r="I3389">
        <f>AVERAGE(E3190:E3389)</f>
        <v/>
      </c>
      <c r="J3389">
        <f>AVERAGE(F3190:F3389)</f>
        <v/>
      </c>
    </row>
    <row r="3390">
      <c r="C3390" s="539" t="n">
        <v>44368</v>
      </c>
      <c r="D3390" t="n">
        <v>166.9499969482422</v>
      </c>
      <c r="E3390" t="n">
        <v>49.36000061035156</v>
      </c>
      <c r="F3390" t="n">
        <v>15.94564533233643</v>
      </c>
      <c r="G3390" t="n">
        <v>76.59983062744141</v>
      </c>
      <c r="H3390">
        <f>AVERAGE(D3191:D3390)</f>
        <v/>
      </c>
      <c r="I3390">
        <f>AVERAGE(E3191:E3390)</f>
        <v/>
      </c>
      <c r="J3390">
        <f>AVERAGE(F3191:F3390)</f>
        <v/>
      </c>
    </row>
    <row r="3391">
      <c r="C3391" s="539" t="n">
        <v>44369</v>
      </c>
      <c r="D3391" t="n">
        <v>166.25</v>
      </c>
      <c r="E3391" t="n">
        <v>49.41999816894531</v>
      </c>
      <c r="F3391" t="n">
        <v>15.78680801391602</v>
      </c>
      <c r="G3391" t="n">
        <v>76.59983062744141</v>
      </c>
      <c r="H3391">
        <f>AVERAGE(D3192:D3391)</f>
        <v/>
      </c>
      <c r="I3391">
        <f>AVERAGE(E3192:E3391)</f>
        <v/>
      </c>
      <c r="J3391">
        <f>AVERAGE(F3192:F3391)</f>
        <v/>
      </c>
    </row>
    <row r="3392">
      <c r="C3392" s="539" t="n">
        <v>44370</v>
      </c>
      <c r="D3392" t="n">
        <v>166.1399993896484</v>
      </c>
      <c r="E3392" t="n">
        <v>49.72000122070312</v>
      </c>
      <c r="F3392" t="n">
        <v>15.79563236236572</v>
      </c>
      <c r="G3392" t="n">
        <v>76.59983062744141</v>
      </c>
      <c r="H3392">
        <f>AVERAGE(D3193:D3392)</f>
        <v/>
      </c>
      <c r="I3392">
        <f>AVERAGE(E3193:E3392)</f>
        <v/>
      </c>
      <c r="J3392">
        <f>AVERAGE(F3193:F3392)</f>
        <v/>
      </c>
    </row>
    <row r="3393">
      <c r="C3393" s="539" t="n">
        <v>44371</v>
      </c>
      <c r="D3393" t="n">
        <v>166.0399932861328</v>
      </c>
      <c r="E3393" t="n">
        <v>49.84000015258789</v>
      </c>
      <c r="F3393" t="n">
        <v>15.74268627166748</v>
      </c>
      <c r="G3393" t="n">
        <v>76.60822296142578</v>
      </c>
      <c r="H3393">
        <f>AVERAGE(D3194:D3393)</f>
        <v/>
      </c>
      <c r="I3393">
        <f>AVERAGE(E3194:E3393)</f>
        <v/>
      </c>
      <c r="J3393">
        <f>AVERAGE(F3194:F3393)</f>
        <v/>
      </c>
    </row>
    <row r="3394">
      <c r="C3394" s="539" t="n">
        <v>44372</v>
      </c>
      <c r="D3394" t="n">
        <v>166.5899963378906</v>
      </c>
      <c r="E3394" t="n">
        <v>50.25</v>
      </c>
      <c r="F3394" t="n">
        <v>15.73386192321777</v>
      </c>
      <c r="G3394" t="n">
        <v>76.60822296142578</v>
      </c>
      <c r="H3394">
        <f>AVERAGE(D3195:D3394)</f>
        <v/>
      </c>
      <c r="I3394">
        <f>AVERAGE(E3195:E3394)</f>
        <v/>
      </c>
      <c r="J3394">
        <f>AVERAGE(F3195:F3394)</f>
        <v/>
      </c>
    </row>
    <row r="3395">
      <c r="C3395" s="539" t="n">
        <v>44375</v>
      </c>
      <c r="D3395" t="n">
        <v>166.5800018310547</v>
      </c>
      <c r="E3395" t="n">
        <v>49.54000091552734</v>
      </c>
      <c r="F3395" t="n">
        <v>16.06918716430664</v>
      </c>
      <c r="G3395" t="n">
        <v>76.59983062744141</v>
      </c>
      <c r="H3395">
        <f>AVERAGE(D3196:D3395)</f>
        <v/>
      </c>
      <c r="I3395">
        <f>AVERAGE(E3196:E3395)</f>
        <v/>
      </c>
      <c r="J3395">
        <f>AVERAGE(F3196:F3395)</f>
        <v/>
      </c>
    </row>
    <row r="3396">
      <c r="C3396" s="539" t="n">
        <v>44376</v>
      </c>
      <c r="D3396" t="n">
        <v>164.8300018310547</v>
      </c>
      <c r="E3396" t="n">
        <v>49.88999938964844</v>
      </c>
      <c r="F3396" t="n">
        <v>16.00741958618164</v>
      </c>
      <c r="G3396" t="n">
        <v>76.59983062744141</v>
      </c>
      <c r="H3396">
        <f>AVERAGE(D3197:D3396)</f>
        <v/>
      </c>
      <c r="I3396">
        <f>AVERAGE(E3197:E3396)</f>
        <v/>
      </c>
      <c r="J3396">
        <f>AVERAGE(F3197:F3396)</f>
        <v/>
      </c>
    </row>
    <row r="3397">
      <c r="C3397" s="539" t="n">
        <v>44377</v>
      </c>
      <c r="D3397" t="n">
        <v>165.6300048828125</v>
      </c>
      <c r="E3397" t="n">
        <v>49.88000106811523</v>
      </c>
      <c r="F3397" t="n">
        <v>16.43981170654297</v>
      </c>
      <c r="G3397" t="n">
        <v>76.59983062744141</v>
      </c>
      <c r="H3397">
        <f>AVERAGE(D3198:D3397)</f>
        <v/>
      </c>
      <c r="I3397">
        <f>AVERAGE(E3198:E3397)</f>
        <v/>
      </c>
      <c r="J3397">
        <f>AVERAGE(F3198:F3397)</f>
        <v/>
      </c>
    </row>
    <row r="3398">
      <c r="C3398" s="539" t="n">
        <v>44378</v>
      </c>
      <c r="D3398" t="n">
        <v>166.1999969482422</v>
      </c>
      <c r="E3398" t="n">
        <v>50.61999893188477</v>
      </c>
      <c r="F3398" t="n">
        <v>16.29862213134766</v>
      </c>
      <c r="G3398" t="n">
        <v>76.60822296142578</v>
      </c>
      <c r="H3398">
        <f>AVERAGE(D3199:D3398)</f>
        <v/>
      </c>
      <c r="I3398">
        <f>AVERAGE(E3199:E3398)</f>
        <v/>
      </c>
      <c r="J3398">
        <f>AVERAGE(F3199:F3398)</f>
        <v/>
      </c>
    </row>
    <row r="3399">
      <c r="C3399" s="539" t="n">
        <v>44379</v>
      </c>
      <c r="D3399" t="n">
        <v>167.2899932861328</v>
      </c>
      <c r="E3399" t="n">
        <v>50.93000030517578</v>
      </c>
      <c r="F3399" t="n">
        <v>16.19272994995117</v>
      </c>
      <c r="G3399" t="n">
        <v>76.59983062744141</v>
      </c>
      <c r="H3399">
        <f>AVERAGE(D3200:D3399)</f>
        <v/>
      </c>
      <c r="I3399">
        <f>AVERAGE(E3200:E3399)</f>
        <v/>
      </c>
      <c r="J3399">
        <f>AVERAGE(F3200:F3399)</f>
        <v/>
      </c>
    </row>
    <row r="3400">
      <c r="C3400" s="539" t="n">
        <v>44383</v>
      </c>
      <c r="D3400" t="n">
        <v>168.1199951171875</v>
      </c>
      <c r="E3400" t="n">
        <v>49.90000152587891</v>
      </c>
      <c r="F3400" t="n">
        <v>15.73386192321777</v>
      </c>
      <c r="G3400" t="n">
        <v>76.59145355224609</v>
      </c>
      <c r="H3400">
        <f>AVERAGE(D3201:D3400)</f>
        <v/>
      </c>
      <c r="I3400">
        <f>AVERAGE(E3201:E3400)</f>
        <v/>
      </c>
      <c r="J3400">
        <f>AVERAGE(F3201:F3400)</f>
        <v/>
      </c>
    </row>
    <row r="3401">
      <c r="C3401" s="539" t="n">
        <v>44384</v>
      </c>
      <c r="D3401" t="n">
        <v>168.7599945068359</v>
      </c>
      <c r="E3401" t="n">
        <v>48.65999984741211</v>
      </c>
      <c r="F3401" t="n">
        <v>15.70738983154297</v>
      </c>
      <c r="G3401" t="n">
        <v>76.59145355224609</v>
      </c>
      <c r="H3401">
        <f>AVERAGE(D3202:D3401)</f>
        <v/>
      </c>
      <c r="I3401">
        <f>AVERAGE(E3202:E3401)</f>
        <v/>
      </c>
      <c r="J3401">
        <f>AVERAGE(F3202:F3401)</f>
        <v/>
      </c>
    </row>
    <row r="3402">
      <c r="C3402" s="539" t="n">
        <v>44385</v>
      </c>
      <c r="D3402" t="n">
        <v>168.6499938964844</v>
      </c>
      <c r="E3402" t="n">
        <v>49.52000045776367</v>
      </c>
      <c r="F3402" t="n">
        <v>15.59267139434814</v>
      </c>
      <c r="G3402" t="n">
        <v>76.59983062744141</v>
      </c>
      <c r="H3402">
        <f>AVERAGE(D3203:D3402)</f>
        <v/>
      </c>
      <c r="I3402">
        <f>AVERAGE(E3203:E3402)</f>
        <v/>
      </c>
      <c r="J3402">
        <f>AVERAGE(F3203:F3402)</f>
        <v/>
      </c>
    </row>
    <row r="3403">
      <c r="C3403" s="539" t="n">
        <v>44386</v>
      </c>
      <c r="D3403" t="n">
        <v>169.2100067138672</v>
      </c>
      <c r="E3403" t="n">
        <v>50.40999984741211</v>
      </c>
      <c r="F3403" t="n">
        <v>15.62796878814697</v>
      </c>
      <c r="G3403" t="n">
        <v>76.59983062744141</v>
      </c>
      <c r="H3403">
        <f>AVERAGE(D3204:D3403)</f>
        <v/>
      </c>
      <c r="I3403">
        <f>AVERAGE(E3204:E3403)</f>
        <v/>
      </c>
      <c r="J3403">
        <f>AVERAGE(F3204:F3403)</f>
        <v/>
      </c>
    </row>
    <row r="3404">
      <c r="C3404" s="539" t="n">
        <v>44389</v>
      </c>
      <c r="D3404" t="n">
        <v>169</v>
      </c>
      <c r="E3404" t="n">
        <v>50.31000137329102</v>
      </c>
      <c r="F3404" t="n">
        <v>15.89270114898682</v>
      </c>
      <c r="G3404" t="n">
        <v>76.59983062744141</v>
      </c>
      <c r="H3404">
        <f>AVERAGE(D3205:D3404)</f>
        <v/>
      </c>
      <c r="I3404">
        <f>AVERAGE(E3205:E3404)</f>
        <v/>
      </c>
      <c r="J3404">
        <f>AVERAGE(F3205:F3404)</f>
        <v/>
      </c>
    </row>
    <row r="3405">
      <c r="C3405" s="539" t="n">
        <v>44390</v>
      </c>
      <c r="D3405" t="n">
        <v>169.2200012207031</v>
      </c>
      <c r="E3405" t="n">
        <v>51.15000152587891</v>
      </c>
      <c r="F3405" t="n">
        <v>15.93682098388672</v>
      </c>
      <c r="G3405" t="n">
        <v>76.59983062744141</v>
      </c>
      <c r="H3405">
        <f>AVERAGE(D3206:D3405)</f>
        <v/>
      </c>
      <c r="I3405">
        <f>AVERAGE(E3206:E3405)</f>
        <v/>
      </c>
      <c r="J3405">
        <f>AVERAGE(F3206:F3405)</f>
        <v/>
      </c>
    </row>
    <row r="3406">
      <c r="C3406" s="539" t="n">
        <v>44391</v>
      </c>
      <c r="D3406" t="n">
        <v>171.0399932861328</v>
      </c>
      <c r="E3406" t="n">
        <v>49.70000076293945</v>
      </c>
      <c r="F3406" t="n">
        <v>16.11331367492676</v>
      </c>
      <c r="G3406" t="n">
        <v>76.59145355224609</v>
      </c>
      <c r="H3406">
        <f>AVERAGE(D3207:D3406)</f>
        <v/>
      </c>
      <c r="I3406">
        <f>AVERAGE(E3207:E3406)</f>
        <v/>
      </c>
      <c r="J3406">
        <f>AVERAGE(F3207:F3406)</f>
        <v/>
      </c>
    </row>
    <row r="3407">
      <c r="C3407" s="539" t="n">
        <v>44392</v>
      </c>
      <c r="D3407" t="n">
        <v>171.0700073242188</v>
      </c>
      <c r="E3407" t="n">
        <v>49.04000091552734</v>
      </c>
      <c r="F3407" t="n">
        <v>16.16625595092773</v>
      </c>
      <c r="G3407" t="n">
        <v>76.59983062744141</v>
      </c>
      <c r="H3407">
        <f>AVERAGE(D3208:D3407)</f>
        <v/>
      </c>
      <c r="I3407">
        <f>AVERAGE(E3208:E3407)</f>
        <v/>
      </c>
      <c r="J3407">
        <f>AVERAGE(F3208:F3407)</f>
        <v/>
      </c>
    </row>
    <row r="3408">
      <c r="C3408" s="539" t="n">
        <v>44393</v>
      </c>
      <c r="D3408" t="n">
        <v>169.4100036621094</v>
      </c>
      <c r="E3408" t="n">
        <v>49.13999938964844</v>
      </c>
      <c r="F3408" t="n">
        <v>16.21037864685059</v>
      </c>
      <c r="G3408" t="n">
        <v>76.59983062744141</v>
      </c>
      <c r="H3408">
        <f>AVERAGE(D3209:D3408)</f>
        <v/>
      </c>
      <c r="I3408">
        <f>AVERAGE(E3209:E3408)</f>
        <v/>
      </c>
      <c r="J3408">
        <f>AVERAGE(F3209:F3408)</f>
        <v/>
      </c>
    </row>
    <row r="3409">
      <c r="C3409" s="539" t="n">
        <v>44396</v>
      </c>
      <c r="D3409" t="n">
        <v>169.6100006103516</v>
      </c>
      <c r="E3409" t="n">
        <v>45.84000015258789</v>
      </c>
      <c r="F3409" t="n">
        <v>16.01624298095703</v>
      </c>
      <c r="G3409" t="n">
        <v>76.59145355224609</v>
      </c>
      <c r="H3409">
        <f>AVERAGE(D3210:D3409)</f>
        <v/>
      </c>
      <c r="I3409">
        <f>AVERAGE(E3210:E3409)</f>
        <v/>
      </c>
      <c r="J3409">
        <f>AVERAGE(F3210:F3409)</f>
        <v/>
      </c>
    </row>
    <row r="3410">
      <c r="C3410" s="539" t="n">
        <v>44397</v>
      </c>
      <c r="D3410" t="n">
        <v>169.3899993896484</v>
      </c>
      <c r="E3410" t="n">
        <v>46.5099983215332</v>
      </c>
      <c r="F3410" t="n">
        <v>16.28979873657227</v>
      </c>
      <c r="G3410" t="n">
        <v>76.59145355224609</v>
      </c>
      <c r="H3410">
        <f>AVERAGE(D3211:D3410)</f>
        <v/>
      </c>
      <c r="I3410">
        <f>AVERAGE(E3211:E3410)</f>
        <v/>
      </c>
      <c r="J3410">
        <f>AVERAGE(F3211:F3410)</f>
        <v/>
      </c>
    </row>
    <row r="3411">
      <c r="C3411" s="539" t="n">
        <v>44398</v>
      </c>
      <c r="D3411" t="n">
        <v>168.7599945068359</v>
      </c>
      <c r="E3411" t="n">
        <v>48.27000045776367</v>
      </c>
      <c r="F3411" t="n">
        <v>16.53687858581543</v>
      </c>
      <c r="G3411" t="n">
        <v>76.59145355224609</v>
      </c>
      <c r="H3411">
        <f>AVERAGE(D3212:D3411)</f>
        <v/>
      </c>
      <c r="I3411">
        <f>AVERAGE(E3212:E3411)</f>
        <v/>
      </c>
      <c r="J3411">
        <f>AVERAGE(F3212:F3411)</f>
        <v/>
      </c>
    </row>
    <row r="3412">
      <c r="C3412" s="539" t="n">
        <v>44399</v>
      </c>
      <c r="D3412" t="n">
        <v>169.0899963378906</v>
      </c>
      <c r="E3412" t="n">
        <v>49.16999816894531</v>
      </c>
      <c r="F3412" t="n">
        <v>16.69572067260742</v>
      </c>
      <c r="G3412" t="n">
        <v>76.59983062744141</v>
      </c>
      <c r="H3412">
        <f>AVERAGE(D3213:D3412)</f>
        <v/>
      </c>
      <c r="I3412">
        <f>AVERAGE(E3213:E3412)</f>
        <v/>
      </c>
      <c r="J3412">
        <f>AVERAGE(F3213:F3412)</f>
        <v/>
      </c>
    </row>
    <row r="3413">
      <c r="C3413" s="539" t="n">
        <v>44400</v>
      </c>
      <c r="D3413" t="n">
        <v>168.5599975585938</v>
      </c>
      <c r="E3413" t="n">
        <v>49.47000122070312</v>
      </c>
      <c r="F3413" t="n">
        <v>16.61630058288574</v>
      </c>
      <c r="G3413" t="n">
        <v>76.59145355224609</v>
      </c>
      <c r="H3413">
        <f>AVERAGE(D3214:D3413)</f>
        <v/>
      </c>
      <c r="I3413">
        <f>AVERAGE(E3214:E3413)</f>
        <v/>
      </c>
      <c r="J3413">
        <f>AVERAGE(F3214:F3413)</f>
        <v/>
      </c>
    </row>
    <row r="3414">
      <c r="C3414" s="539" t="n">
        <v>44403</v>
      </c>
      <c r="D3414" t="n">
        <v>168.1600036621094</v>
      </c>
      <c r="E3414" t="n">
        <v>49.66999816894531</v>
      </c>
      <c r="F3414" t="n">
        <v>17.00457382202148</v>
      </c>
      <c r="G3414" t="n">
        <v>76.59983062744141</v>
      </c>
      <c r="H3414">
        <f>AVERAGE(D3215:D3414)</f>
        <v/>
      </c>
      <c r="I3414">
        <f>AVERAGE(E3215:E3414)</f>
        <v/>
      </c>
      <c r="J3414">
        <f>AVERAGE(F3215:F3414)</f>
        <v/>
      </c>
    </row>
    <row r="3415">
      <c r="C3415" s="539" t="n">
        <v>44404</v>
      </c>
      <c r="D3415" t="n">
        <v>168.4400024414062</v>
      </c>
      <c r="E3415" t="n">
        <v>49.47000122070312</v>
      </c>
      <c r="F3415" t="n">
        <v>16.90750694274902</v>
      </c>
      <c r="G3415" t="n">
        <v>76.59145355224609</v>
      </c>
      <c r="H3415">
        <f>AVERAGE(D3216:D3415)</f>
        <v/>
      </c>
      <c r="I3415">
        <f>AVERAGE(E3216:E3415)</f>
        <v/>
      </c>
      <c r="J3415">
        <f>AVERAGE(F3216:F3415)</f>
        <v/>
      </c>
    </row>
    <row r="3416">
      <c r="C3416" s="539" t="n">
        <v>44405</v>
      </c>
      <c r="D3416" t="n">
        <v>169.2899932861328</v>
      </c>
      <c r="E3416" t="n">
        <v>49.72000122070312</v>
      </c>
      <c r="F3416" t="n">
        <v>16.9339771270752</v>
      </c>
      <c r="G3416" t="n">
        <v>76.59145355224609</v>
      </c>
      <c r="H3416">
        <f>AVERAGE(D3217:D3416)</f>
        <v/>
      </c>
      <c r="I3416">
        <f>AVERAGE(E3217:E3416)</f>
        <v/>
      </c>
      <c r="J3416">
        <f>AVERAGE(F3217:F3416)</f>
        <v/>
      </c>
    </row>
    <row r="3417">
      <c r="C3417" s="539" t="n">
        <v>44406</v>
      </c>
      <c r="D3417" t="n">
        <v>171.1699981689453</v>
      </c>
      <c r="E3417" t="n">
        <v>50.63999938964844</v>
      </c>
      <c r="F3417" t="n">
        <v>16.8722095489502</v>
      </c>
      <c r="G3417" t="n">
        <v>76.59983062744141</v>
      </c>
      <c r="H3417">
        <f>AVERAGE(D3218:D3417)</f>
        <v/>
      </c>
      <c r="I3417">
        <f>AVERAGE(E3218:E3417)</f>
        <v/>
      </c>
      <c r="J3417">
        <f>AVERAGE(F3218:F3417)</f>
        <v/>
      </c>
    </row>
    <row r="3418">
      <c r="C3418" s="539" t="n">
        <v>44407</v>
      </c>
      <c r="D3418" t="n">
        <v>169.8200073242188</v>
      </c>
      <c r="E3418" t="n">
        <v>50.65999984741211</v>
      </c>
      <c r="F3418" t="n">
        <v>16.45746231079102</v>
      </c>
      <c r="G3418" t="n">
        <v>76.59145355224609</v>
      </c>
      <c r="H3418">
        <f>AVERAGE(D3219:D3418)</f>
        <v/>
      </c>
      <c r="I3418">
        <f>AVERAGE(E3219:E3418)</f>
        <v/>
      </c>
      <c r="J3418">
        <f>AVERAGE(F3219:F3418)</f>
        <v/>
      </c>
    </row>
    <row r="3419">
      <c r="C3419" s="539" t="n">
        <v>44410</v>
      </c>
      <c r="D3419" t="n">
        <v>169.6100006103516</v>
      </c>
      <c r="E3419" t="n">
        <v>49.18000030517578</v>
      </c>
      <c r="F3419" t="n">
        <v>16.48393440246582</v>
      </c>
      <c r="G3419" t="n">
        <v>76.59145355224609</v>
      </c>
      <c r="H3419">
        <f>AVERAGE(D3220:D3419)</f>
        <v/>
      </c>
      <c r="I3419">
        <f>AVERAGE(E3220:E3419)</f>
        <v/>
      </c>
      <c r="J3419">
        <f>AVERAGE(F3220:F3419)</f>
        <v/>
      </c>
    </row>
    <row r="3420">
      <c r="C3420" s="539" t="n">
        <v>44411</v>
      </c>
      <c r="D3420" t="n">
        <v>169.4900054931641</v>
      </c>
      <c r="E3420" t="n">
        <v>48.84999847412109</v>
      </c>
      <c r="F3420" t="n">
        <v>16.54570579528809</v>
      </c>
      <c r="G3420" t="n">
        <v>76.59145355224609</v>
      </c>
      <c r="H3420">
        <f>AVERAGE(D3221:D3420)</f>
        <v/>
      </c>
      <c r="I3420">
        <f>AVERAGE(E3221:E3420)</f>
        <v/>
      </c>
      <c r="J3420">
        <f>AVERAGE(F3221:F3420)</f>
        <v/>
      </c>
    </row>
    <row r="3421">
      <c r="C3421" s="539" t="n">
        <v>44412</v>
      </c>
      <c r="D3421" t="n">
        <v>169.5299987792969</v>
      </c>
      <c r="E3421" t="n">
        <v>47.20000076293945</v>
      </c>
      <c r="F3421" t="n">
        <v>16.46628761291504</v>
      </c>
      <c r="G3421" t="n">
        <v>76.59145355224609</v>
      </c>
      <c r="H3421">
        <f>AVERAGE(D3222:D3421)</f>
        <v/>
      </c>
      <c r="I3421">
        <f>AVERAGE(E3222:E3421)</f>
        <v/>
      </c>
      <c r="J3421">
        <f>AVERAGE(F3222:F3421)</f>
        <v/>
      </c>
    </row>
    <row r="3422">
      <c r="C3422" s="539" t="n">
        <v>44413</v>
      </c>
      <c r="D3422" t="n">
        <v>168.8600006103516</v>
      </c>
      <c r="E3422" t="n">
        <v>48.09999847412109</v>
      </c>
      <c r="F3422" t="n">
        <v>16.55452919006348</v>
      </c>
      <c r="G3422" t="n">
        <v>76.59145355224609</v>
      </c>
      <c r="H3422">
        <f>AVERAGE(D3223:D3422)</f>
        <v/>
      </c>
      <c r="I3422">
        <f>AVERAGE(E3223:E3422)</f>
        <v/>
      </c>
      <c r="J3422">
        <f>AVERAGE(F3223:F3422)</f>
        <v/>
      </c>
    </row>
    <row r="3423">
      <c r="C3423" s="539" t="n">
        <v>44414</v>
      </c>
      <c r="D3423" t="n">
        <v>164.6399993896484</v>
      </c>
      <c r="E3423" t="n">
        <v>47.56999969482422</v>
      </c>
      <c r="F3423" t="n">
        <v>16.66041946411133</v>
      </c>
      <c r="G3423" t="n">
        <v>76.59983062744141</v>
      </c>
      <c r="H3423">
        <f>AVERAGE(D3224:D3423)</f>
        <v/>
      </c>
      <c r="I3423">
        <f>AVERAGE(E3224:E3423)</f>
        <v/>
      </c>
      <c r="J3423">
        <f>AVERAGE(F3224:F3423)</f>
        <v/>
      </c>
    </row>
    <row r="3424">
      <c r="C3424" s="539" t="n">
        <v>44417</v>
      </c>
      <c r="D3424" t="n">
        <v>161.7200012207031</v>
      </c>
      <c r="E3424" t="n">
        <v>46.59999847412109</v>
      </c>
      <c r="F3424" t="n">
        <v>16.55452919006348</v>
      </c>
      <c r="G3424" t="n">
        <v>76.59983062744141</v>
      </c>
      <c r="H3424">
        <f>AVERAGE(D3225:D3424)</f>
        <v/>
      </c>
      <c r="I3424">
        <f>AVERAGE(E3225:E3424)</f>
        <v/>
      </c>
      <c r="J3424">
        <f>AVERAGE(F3225:F3424)</f>
        <v/>
      </c>
    </row>
    <row r="3425">
      <c r="C3425" s="539" t="n">
        <v>44418</v>
      </c>
      <c r="D3425" t="n">
        <v>161.7700042724609</v>
      </c>
      <c r="E3425" t="n">
        <v>47.68000030517578</v>
      </c>
      <c r="F3425" t="n">
        <v>16.80161285400391</v>
      </c>
      <c r="G3425" t="n">
        <v>76.59145355224609</v>
      </c>
      <c r="H3425">
        <f>AVERAGE(D3226:D3425)</f>
        <v/>
      </c>
      <c r="I3425">
        <f>AVERAGE(E3226:E3425)</f>
        <v/>
      </c>
      <c r="J3425">
        <f>AVERAGE(F3226:F3425)</f>
        <v/>
      </c>
    </row>
    <row r="3426">
      <c r="C3426" s="539" t="n">
        <v>44419</v>
      </c>
      <c r="D3426" t="n">
        <v>164</v>
      </c>
      <c r="E3426" t="n">
        <v>48.29999923706055</v>
      </c>
      <c r="F3426" t="n">
        <v>16.8722095489502</v>
      </c>
      <c r="G3426" t="n">
        <v>76.59145355224609</v>
      </c>
      <c r="H3426">
        <f>AVERAGE(D3227:D3426)</f>
        <v/>
      </c>
      <c r="I3426">
        <f>AVERAGE(E3227:E3426)</f>
        <v/>
      </c>
      <c r="J3426">
        <f>AVERAGE(F3227:F3426)</f>
        <v/>
      </c>
    </row>
    <row r="3427">
      <c r="C3427" s="539" t="n">
        <v>44420</v>
      </c>
      <c r="D3427" t="n">
        <v>164.0399932861328</v>
      </c>
      <c r="E3427" t="n">
        <v>48.09999847412109</v>
      </c>
      <c r="F3427" t="n">
        <v>17.01339721679688</v>
      </c>
      <c r="G3427" t="n">
        <v>76.59145355224609</v>
      </c>
      <c r="H3427">
        <f>AVERAGE(D3228:D3427)</f>
        <v/>
      </c>
      <c r="I3427">
        <f>AVERAGE(E3228:E3427)</f>
        <v/>
      </c>
      <c r="J3427">
        <f>AVERAGE(F3228:F3427)</f>
        <v/>
      </c>
    </row>
    <row r="3428">
      <c r="C3428" s="539" t="n">
        <v>44421</v>
      </c>
      <c r="D3428" t="n">
        <v>166.3899993896484</v>
      </c>
      <c r="E3428" t="n">
        <v>47.43000030517578</v>
      </c>
      <c r="F3428" t="n">
        <v>17.05751991271973</v>
      </c>
      <c r="G3428" t="n">
        <v>76.59983062744141</v>
      </c>
      <c r="H3428">
        <f>AVERAGE(D3229:D3428)</f>
        <v/>
      </c>
      <c r="I3428">
        <f>AVERAGE(E3229:E3428)</f>
        <v/>
      </c>
      <c r="J3428">
        <f>AVERAGE(F3229:F3428)</f>
        <v/>
      </c>
    </row>
    <row r="3429">
      <c r="C3429" s="539" t="n">
        <v>44424</v>
      </c>
      <c r="D3429" t="n">
        <v>167.2200012207031</v>
      </c>
      <c r="E3429" t="n">
        <v>47.04000091552734</v>
      </c>
      <c r="F3429" t="n">
        <v>17.12811279296875</v>
      </c>
      <c r="G3429" t="n">
        <v>76.58308410644531</v>
      </c>
      <c r="H3429">
        <f>AVERAGE(D3230:D3429)</f>
        <v/>
      </c>
      <c r="I3429">
        <f>AVERAGE(E3230:E3429)</f>
        <v/>
      </c>
      <c r="J3429">
        <f>AVERAGE(F3230:F3429)</f>
        <v/>
      </c>
    </row>
    <row r="3430">
      <c r="C3430" s="539" t="n">
        <v>44425</v>
      </c>
      <c r="D3430" t="n">
        <v>166.9700012207031</v>
      </c>
      <c r="E3430" t="n">
        <v>46.58000183105469</v>
      </c>
      <c r="F3430" t="n">
        <v>17.0222225189209</v>
      </c>
      <c r="G3430" t="n">
        <v>76.58308410644531</v>
      </c>
      <c r="H3430">
        <f>AVERAGE(D3231:D3430)</f>
        <v/>
      </c>
      <c r="I3430">
        <f>AVERAGE(E3231:E3430)</f>
        <v/>
      </c>
      <c r="J3430">
        <f>AVERAGE(F3231:F3430)</f>
        <v/>
      </c>
    </row>
    <row r="3431">
      <c r="C3431" s="539" t="n">
        <v>44426</v>
      </c>
      <c r="D3431" t="n">
        <v>167.1000061035156</v>
      </c>
      <c r="E3431" t="n">
        <v>45.40000152587891</v>
      </c>
      <c r="F3431" t="n">
        <v>17.03104400634766</v>
      </c>
      <c r="G3431" t="n">
        <v>76.58308410644531</v>
      </c>
      <c r="H3431">
        <f>AVERAGE(D3232:D3431)</f>
        <v/>
      </c>
      <c r="I3431">
        <f>AVERAGE(E3232:E3431)</f>
        <v/>
      </c>
      <c r="J3431">
        <f>AVERAGE(F3232:F3431)</f>
        <v/>
      </c>
    </row>
    <row r="3432">
      <c r="C3432" s="539" t="n">
        <v>44427</v>
      </c>
      <c r="D3432" t="n">
        <v>166.6100006103516</v>
      </c>
      <c r="E3432" t="n">
        <v>44.77000045776367</v>
      </c>
      <c r="F3432" t="n">
        <v>16.79278564453125</v>
      </c>
      <c r="G3432" t="n">
        <v>76.59983062744141</v>
      </c>
      <c r="H3432">
        <f>AVERAGE(D3233:D3432)</f>
        <v/>
      </c>
      <c r="I3432">
        <f>AVERAGE(E3233:E3432)</f>
        <v/>
      </c>
      <c r="J3432">
        <f>AVERAGE(F3233:F3432)</f>
        <v/>
      </c>
    </row>
    <row r="3433">
      <c r="C3433" s="539" t="n">
        <v>44428</v>
      </c>
      <c r="D3433" t="n">
        <v>166.6999969482422</v>
      </c>
      <c r="E3433" t="n">
        <v>43.43000030517578</v>
      </c>
      <c r="F3433" t="n">
        <v>16.6251220703125</v>
      </c>
      <c r="G3433" t="n">
        <v>76.59983062744141</v>
      </c>
      <c r="H3433">
        <f>AVERAGE(D3234:D3433)</f>
        <v/>
      </c>
      <c r="I3433">
        <f>AVERAGE(E3234:E3433)</f>
        <v/>
      </c>
      <c r="J3433">
        <f>AVERAGE(F3234:F3433)</f>
        <v/>
      </c>
    </row>
    <row r="3434">
      <c r="C3434" s="539" t="n">
        <v>44431</v>
      </c>
      <c r="D3434" t="n">
        <v>168.7299957275391</v>
      </c>
      <c r="E3434" t="n">
        <v>45.84999847412109</v>
      </c>
      <c r="F3434" t="n">
        <v>16.72219276428223</v>
      </c>
      <c r="G3434" t="n">
        <v>76.58308410644531</v>
      </c>
      <c r="H3434">
        <f>AVERAGE(D3235:D3434)</f>
        <v/>
      </c>
      <c r="I3434">
        <f>AVERAGE(E3235:E3434)</f>
        <v/>
      </c>
      <c r="J3434">
        <f>AVERAGE(F3235:F3434)</f>
        <v/>
      </c>
    </row>
    <row r="3435">
      <c r="C3435" s="539" t="n">
        <v>44432</v>
      </c>
      <c r="D3435" t="n">
        <v>168.6499938964844</v>
      </c>
      <c r="E3435" t="n">
        <v>47.36999893188477</v>
      </c>
      <c r="F3435" t="n">
        <v>16.89867973327637</v>
      </c>
      <c r="G3435" t="n">
        <v>76.58308410644531</v>
      </c>
      <c r="H3435">
        <f>AVERAGE(D3236:D3435)</f>
        <v/>
      </c>
      <c r="I3435">
        <f>AVERAGE(E3236:E3435)</f>
        <v/>
      </c>
      <c r="J3435">
        <f>AVERAGE(F3236:F3435)</f>
        <v/>
      </c>
    </row>
    <row r="3436">
      <c r="C3436" s="539" t="n">
        <v>44433</v>
      </c>
      <c r="D3436" t="n">
        <v>167.4799957275391</v>
      </c>
      <c r="E3436" t="n">
        <v>47.81000137329102</v>
      </c>
      <c r="F3436" t="n">
        <v>16.97809791564941</v>
      </c>
      <c r="G3436" t="n">
        <v>76.58308410644531</v>
      </c>
      <c r="H3436">
        <f>AVERAGE(D3237:D3436)</f>
        <v/>
      </c>
      <c r="I3436">
        <f>AVERAGE(E3237:E3436)</f>
        <v/>
      </c>
      <c r="J3436">
        <f>AVERAGE(F3237:F3436)</f>
        <v/>
      </c>
    </row>
    <row r="3437">
      <c r="C3437" s="539" t="n">
        <v>44434</v>
      </c>
      <c r="D3437" t="n">
        <v>167.6699981689453</v>
      </c>
      <c r="E3437" t="n">
        <v>47.47999954223633</v>
      </c>
      <c r="F3437" t="n">
        <v>16.91632843017578</v>
      </c>
      <c r="G3437" t="n">
        <v>76.59145355224609</v>
      </c>
      <c r="H3437">
        <f>AVERAGE(D3238:D3437)</f>
        <v/>
      </c>
      <c r="I3437">
        <f>AVERAGE(E3238:E3437)</f>
        <v/>
      </c>
      <c r="J3437">
        <f>AVERAGE(F3238:F3437)</f>
        <v/>
      </c>
    </row>
    <row r="3438">
      <c r="C3438" s="539" t="n">
        <v>44435</v>
      </c>
      <c r="D3438" t="n">
        <v>170.1900024414062</v>
      </c>
      <c r="E3438" t="n">
        <v>48.15000152587891</v>
      </c>
      <c r="F3438" t="n">
        <v>17.0486946105957</v>
      </c>
      <c r="G3438" t="n">
        <v>76.59145355224609</v>
      </c>
      <c r="H3438">
        <f>AVERAGE(D3239:D3438)</f>
        <v/>
      </c>
      <c r="I3438">
        <f>AVERAGE(E3239:E3438)</f>
        <v/>
      </c>
      <c r="J3438">
        <f>AVERAGE(F3239:F3438)</f>
        <v/>
      </c>
    </row>
    <row r="3439">
      <c r="C3439" s="539" t="n">
        <v>44438</v>
      </c>
      <c r="D3439" t="n">
        <v>169.3500061035156</v>
      </c>
      <c r="E3439" t="n">
        <v>48.40000152587891</v>
      </c>
      <c r="F3439" t="n">
        <v>17.11046409606934</v>
      </c>
      <c r="G3439" t="n">
        <v>76.59145355224609</v>
      </c>
      <c r="H3439">
        <f>AVERAGE(D3240:D3439)</f>
        <v/>
      </c>
      <c r="I3439">
        <f>AVERAGE(E3240:E3439)</f>
        <v/>
      </c>
      <c r="J3439">
        <f>AVERAGE(F3240:F3439)</f>
        <v/>
      </c>
    </row>
    <row r="3440">
      <c r="C3440" s="539" t="n">
        <v>44439</v>
      </c>
      <c r="D3440" t="n">
        <v>169.6900024414062</v>
      </c>
      <c r="E3440" t="n">
        <v>48.04000091552734</v>
      </c>
      <c r="F3440" t="n">
        <v>16.88102912902832</v>
      </c>
      <c r="G3440" t="n">
        <v>76.58308410644531</v>
      </c>
      <c r="H3440">
        <f>AVERAGE(D3241:D3440)</f>
        <v/>
      </c>
      <c r="I3440">
        <f>AVERAGE(E3241:E3440)</f>
        <v/>
      </c>
      <c r="J3440">
        <f>AVERAGE(F3241:F3440)</f>
        <v/>
      </c>
    </row>
    <row r="3441">
      <c r="C3441" s="539" t="n">
        <v>44440</v>
      </c>
      <c r="D3441" t="n">
        <v>169.6999969482422</v>
      </c>
      <c r="E3441" t="n">
        <v>47.93000030517578</v>
      </c>
      <c r="F3441" t="n">
        <v>16.81926155090332</v>
      </c>
      <c r="G3441" t="n">
        <v>76.58308410644531</v>
      </c>
      <c r="H3441">
        <f>AVERAGE(D3242:D3441)</f>
        <v/>
      </c>
      <c r="I3441">
        <f>AVERAGE(E3242:E3441)</f>
        <v/>
      </c>
      <c r="J3441">
        <f>AVERAGE(F3242:F3441)</f>
        <v/>
      </c>
    </row>
    <row r="3442">
      <c r="C3442" s="539" t="n">
        <v>44441</v>
      </c>
      <c r="D3442" t="n">
        <v>169.25</v>
      </c>
      <c r="E3442" t="n">
        <v>48.95000076293945</v>
      </c>
      <c r="F3442" t="n">
        <v>16.8369083404541</v>
      </c>
      <c r="G3442" t="n">
        <v>76.59983062744141</v>
      </c>
      <c r="H3442">
        <f>AVERAGE(D3243:D3442)</f>
        <v/>
      </c>
      <c r="I3442">
        <f>AVERAGE(E3243:E3442)</f>
        <v/>
      </c>
      <c r="J3442">
        <f>AVERAGE(F3243:F3442)</f>
        <v/>
      </c>
    </row>
    <row r="3443">
      <c r="C3443" s="539" t="n">
        <v>44442</v>
      </c>
      <c r="D3443" t="n">
        <v>171.0599975585938</v>
      </c>
      <c r="E3443" t="n">
        <v>48.65999984741211</v>
      </c>
      <c r="F3443" t="n">
        <v>16.82808494567871</v>
      </c>
      <c r="G3443" t="n">
        <v>76.58308410644531</v>
      </c>
      <c r="H3443">
        <f>AVERAGE(D3244:D3443)</f>
        <v/>
      </c>
      <c r="I3443">
        <f>AVERAGE(E3244:E3443)</f>
        <v/>
      </c>
      <c r="J3443">
        <f>AVERAGE(F3244:F3443)</f>
        <v/>
      </c>
    </row>
    <row r="3444">
      <c r="C3444" s="539" t="n">
        <v>44446</v>
      </c>
      <c r="D3444" t="n">
        <v>167.7100067138672</v>
      </c>
      <c r="E3444" t="n">
        <v>48.04000091552734</v>
      </c>
      <c r="F3444" t="n">
        <v>16.72219276428223</v>
      </c>
      <c r="G3444" t="n">
        <v>76.58308410644531</v>
      </c>
      <c r="H3444">
        <f>AVERAGE(D3245:D3444)</f>
        <v/>
      </c>
      <c r="I3444">
        <f>AVERAGE(E3245:E3444)</f>
        <v/>
      </c>
      <c r="J3444">
        <f>AVERAGE(F3245:F3444)</f>
        <v/>
      </c>
    </row>
    <row r="3445">
      <c r="C3445" s="539" t="n">
        <v>44447</v>
      </c>
      <c r="D3445" t="n">
        <v>167.2899932861328</v>
      </c>
      <c r="E3445" t="n">
        <v>48.59000015258789</v>
      </c>
      <c r="F3445" t="n">
        <v>16.61630058288574</v>
      </c>
      <c r="G3445" t="n">
        <v>76.58308410644531</v>
      </c>
      <c r="H3445">
        <f>AVERAGE(D3246:D3445)</f>
        <v/>
      </c>
      <c r="I3445">
        <f>AVERAGE(E3246:E3445)</f>
        <v/>
      </c>
      <c r="J3445">
        <f>AVERAGE(F3246:F3445)</f>
        <v/>
      </c>
    </row>
    <row r="3446">
      <c r="C3446" s="539" t="n">
        <v>44448</v>
      </c>
      <c r="D3446" t="n">
        <v>168.0299987792969</v>
      </c>
      <c r="E3446" t="n">
        <v>47.75</v>
      </c>
      <c r="F3446" t="n">
        <v>16.4751091003418</v>
      </c>
      <c r="G3446" t="n">
        <v>76.58308410644531</v>
      </c>
      <c r="H3446">
        <f>AVERAGE(D3247:D3446)</f>
        <v/>
      </c>
      <c r="I3446">
        <f>AVERAGE(E3247:E3446)</f>
        <v/>
      </c>
      <c r="J3446">
        <f>AVERAGE(F3247:F3446)</f>
        <v/>
      </c>
    </row>
    <row r="3447">
      <c r="C3447" s="539" t="n">
        <v>44449</v>
      </c>
      <c r="D3447" t="n">
        <v>167.1799926757812</v>
      </c>
      <c r="E3447" t="n">
        <v>48.79999923706055</v>
      </c>
      <c r="F3447" t="n">
        <v>16.40451431274414</v>
      </c>
      <c r="G3447" t="n">
        <v>76.59145355224609</v>
      </c>
      <c r="H3447">
        <f>AVERAGE(D3248:D3447)</f>
        <v/>
      </c>
      <c r="I3447">
        <f>AVERAGE(E3248:E3447)</f>
        <v/>
      </c>
      <c r="J3447">
        <f>AVERAGE(F3248:F3447)</f>
        <v/>
      </c>
    </row>
    <row r="3448">
      <c r="C3448" s="539" t="n">
        <v>44452</v>
      </c>
      <c r="D3448" t="n">
        <v>167.7400054931641</v>
      </c>
      <c r="E3448" t="n">
        <v>49.47999954223633</v>
      </c>
      <c r="F3448" t="n">
        <v>16.36039352416992</v>
      </c>
      <c r="G3448" t="n">
        <v>76.59145355224609</v>
      </c>
      <c r="H3448">
        <f>AVERAGE(D3249:D3448)</f>
        <v/>
      </c>
      <c r="I3448">
        <f>AVERAGE(E3249:E3448)</f>
        <v/>
      </c>
      <c r="J3448">
        <f>AVERAGE(F3249:F3448)</f>
        <v/>
      </c>
    </row>
    <row r="3449">
      <c r="C3449" s="539" t="n">
        <v>44453</v>
      </c>
      <c r="D3449" t="n">
        <v>168.8200073242188</v>
      </c>
      <c r="E3449" t="n">
        <v>49.31000137329102</v>
      </c>
      <c r="F3449" t="n">
        <v>16.38686370849609</v>
      </c>
      <c r="G3449" t="n">
        <v>76.58308410644531</v>
      </c>
      <c r="H3449">
        <f>AVERAGE(D3250:D3449)</f>
        <v/>
      </c>
      <c r="I3449">
        <f>AVERAGE(E3250:E3449)</f>
        <v/>
      </c>
      <c r="J3449">
        <f>AVERAGE(F3250:F3449)</f>
        <v/>
      </c>
    </row>
    <row r="3450">
      <c r="C3450" s="539" t="n">
        <v>44454</v>
      </c>
      <c r="D3450" t="n">
        <v>167.8300018310547</v>
      </c>
      <c r="E3450" t="n">
        <v>50.68999862670898</v>
      </c>
      <c r="F3450" t="n">
        <v>16.55452919006348</v>
      </c>
      <c r="G3450" t="n">
        <v>76.58308410644531</v>
      </c>
      <c r="H3450">
        <f>AVERAGE(D3251:D3450)</f>
        <v/>
      </c>
      <c r="I3450">
        <f>AVERAGE(E3251:E3450)</f>
        <v/>
      </c>
      <c r="J3450">
        <f>AVERAGE(F3251:F3450)</f>
        <v/>
      </c>
    </row>
    <row r="3451">
      <c r="C3451" s="539" t="n">
        <v>44455</v>
      </c>
      <c r="D3451" t="n">
        <v>164.0299987792969</v>
      </c>
      <c r="E3451" t="n">
        <v>50.70000076293945</v>
      </c>
      <c r="F3451" t="n">
        <v>16.54570579528809</v>
      </c>
      <c r="G3451" t="n">
        <v>76.59145355224609</v>
      </c>
      <c r="H3451">
        <f>AVERAGE(D3252:D3451)</f>
        <v/>
      </c>
      <c r="I3451">
        <f>AVERAGE(E3252:E3451)</f>
        <v/>
      </c>
      <c r="J3451">
        <f>AVERAGE(F3252:F3451)</f>
        <v/>
      </c>
    </row>
    <row r="3452">
      <c r="C3452" s="539" t="n">
        <v>44456</v>
      </c>
      <c r="D3452" t="n">
        <v>163.7700042724609</v>
      </c>
      <c r="E3452" t="n">
        <v>50.31999969482422</v>
      </c>
      <c r="F3452" t="n">
        <v>16.4133415222168</v>
      </c>
      <c r="G3452" t="n">
        <v>76.58308410644531</v>
      </c>
      <c r="H3452">
        <f>AVERAGE(D3253:D3452)</f>
        <v/>
      </c>
      <c r="I3452">
        <f>AVERAGE(E3253:E3452)</f>
        <v/>
      </c>
      <c r="J3452">
        <f>AVERAGE(F3253:F3452)</f>
        <v/>
      </c>
    </row>
    <row r="3453">
      <c r="C3453" s="539" t="n">
        <v>44459</v>
      </c>
      <c r="D3453" t="n">
        <v>164.9400024414062</v>
      </c>
      <c r="E3453" t="n">
        <v>49.59999847412109</v>
      </c>
      <c r="F3453" t="n">
        <v>16.2544994354248</v>
      </c>
      <c r="G3453" t="n">
        <v>76.59145355224609</v>
      </c>
      <c r="H3453">
        <f>AVERAGE(D3254:D3453)</f>
        <v/>
      </c>
      <c r="I3453">
        <f>AVERAGE(E3254:E3453)</f>
        <v/>
      </c>
      <c r="J3453">
        <f>AVERAGE(F3254:F3453)</f>
        <v/>
      </c>
    </row>
    <row r="3454">
      <c r="C3454" s="539" t="n">
        <v>44460</v>
      </c>
      <c r="D3454" t="n">
        <v>166.0399932861328</v>
      </c>
      <c r="E3454" t="n">
        <v>49.58000183105469</v>
      </c>
      <c r="F3454" t="n">
        <v>16.23685073852539</v>
      </c>
      <c r="G3454" t="n">
        <v>76.58308410644531</v>
      </c>
      <c r="H3454">
        <f>AVERAGE(D3255:D3454)</f>
        <v/>
      </c>
      <c r="I3454">
        <f>AVERAGE(E3255:E3454)</f>
        <v/>
      </c>
      <c r="J3454">
        <f>AVERAGE(F3255:F3454)</f>
        <v/>
      </c>
    </row>
    <row r="3455">
      <c r="C3455" s="539" t="n">
        <v>44461</v>
      </c>
      <c r="D3455" t="n">
        <v>165.4199981689453</v>
      </c>
      <c r="E3455" t="n">
        <v>50.47999954223633</v>
      </c>
      <c r="F3455" t="n">
        <v>16.38686370849609</v>
      </c>
      <c r="G3455" t="n">
        <v>76.58308410644531</v>
      </c>
      <c r="H3455">
        <f>AVERAGE(D3256:D3455)</f>
        <v/>
      </c>
      <c r="I3455">
        <f>AVERAGE(E3256:E3455)</f>
        <v/>
      </c>
      <c r="J3455">
        <f>AVERAGE(F3256:F3455)</f>
        <v/>
      </c>
    </row>
    <row r="3456">
      <c r="C3456" s="539" t="n">
        <v>44462</v>
      </c>
      <c r="D3456" t="n">
        <v>163.5099945068359</v>
      </c>
      <c r="E3456" t="n">
        <v>51.38000106811523</v>
      </c>
      <c r="F3456" t="n">
        <v>16.5898265838623</v>
      </c>
      <c r="G3456" t="n">
        <v>76.59145355224609</v>
      </c>
      <c r="H3456">
        <f>AVERAGE(D3257:D3456)</f>
        <v/>
      </c>
      <c r="I3456">
        <f>AVERAGE(E3257:E3456)</f>
        <v/>
      </c>
      <c r="J3456">
        <f>AVERAGE(F3257:F3456)</f>
        <v/>
      </c>
    </row>
    <row r="3457">
      <c r="C3457" s="539" t="n">
        <v>44463</v>
      </c>
      <c r="D3457" t="n">
        <v>163.3000030517578</v>
      </c>
      <c r="E3457" t="n">
        <v>51.81999969482422</v>
      </c>
      <c r="F3457" t="n">
        <v>16.5898265838623</v>
      </c>
      <c r="G3457" t="n">
        <v>76.58308410644531</v>
      </c>
      <c r="H3457">
        <f>AVERAGE(D3258:D3457)</f>
        <v/>
      </c>
      <c r="I3457">
        <f>AVERAGE(E3258:E3457)</f>
        <v/>
      </c>
      <c r="J3457">
        <f>AVERAGE(F3258:F3457)</f>
        <v/>
      </c>
    </row>
    <row r="3458">
      <c r="C3458" s="539" t="n">
        <v>44466</v>
      </c>
      <c r="D3458" t="n">
        <v>163.6399993896484</v>
      </c>
      <c r="E3458" t="n">
        <v>52.90999984741211</v>
      </c>
      <c r="F3458" t="n">
        <v>16.71336936950684</v>
      </c>
      <c r="G3458" t="n">
        <v>76.58308410644531</v>
      </c>
      <c r="H3458">
        <f>AVERAGE(D3259:D3458)</f>
        <v/>
      </c>
      <c r="I3458">
        <f>AVERAGE(E3259:E3458)</f>
        <v/>
      </c>
      <c r="J3458">
        <f>AVERAGE(F3259:F3458)</f>
        <v/>
      </c>
    </row>
    <row r="3459">
      <c r="C3459" s="539" t="n">
        <v>44467</v>
      </c>
      <c r="D3459" t="n">
        <v>162.0500030517578</v>
      </c>
      <c r="E3459" t="n">
        <v>52.40000152587891</v>
      </c>
      <c r="F3459" t="n">
        <v>16.76631546020508</v>
      </c>
      <c r="G3459" t="n">
        <v>76.58308410644531</v>
      </c>
      <c r="H3459">
        <f>AVERAGE(D3260:D3459)</f>
        <v/>
      </c>
      <c r="I3459">
        <f>AVERAGE(E3260:E3459)</f>
        <v/>
      </c>
      <c r="J3459">
        <f>AVERAGE(F3260:F3459)</f>
        <v/>
      </c>
    </row>
    <row r="3460">
      <c r="C3460" s="539" t="n">
        <v>44468</v>
      </c>
      <c r="D3460" t="n">
        <v>161.3200073242188</v>
      </c>
      <c r="E3460" t="n">
        <v>52.31999969482422</v>
      </c>
      <c r="F3460" t="n">
        <v>16.76631546020508</v>
      </c>
      <c r="G3460" t="n">
        <v>76.59145355224609</v>
      </c>
      <c r="H3460">
        <f>AVERAGE(D3261:D3460)</f>
        <v/>
      </c>
      <c r="I3460">
        <f>AVERAGE(E3261:E3460)</f>
        <v/>
      </c>
      <c r="J3460">
        <f>AVERAGE(F3261:F3460)</f>
        <v/>
      </c>
    </row>
    <row r="3461">
      <c r="C3461" s="539" t="n">
        <v>44469</v>
      </c>
      <c r="D3461" t="n">
        <v>164.2200012207031</v>
      </c>
      <c r="E3461" t="n">
        <v>52.56000137329102</v>
      </c>
      <c r="F3461" t="n">
        <v>16.8722095489502</v>
      </c>
      <c r="G3461" t="n">
        <v>76.59145355224609</v>
      </c>
      <c r="H3461">
        <f>AVERAGE(D3262:D3461)</f>
        <v/>
      </c>
      <c r="I3461">
        <f>AVERAGE(E3262:E3461)</f>
        <v/>
      </c>
      <c r="J3461">
        <f>AVERAGE(F3262:F3461)</f>
        <v/>
      </c>
    </row>
    <row r="3462">
      <c r="C3462" s="539" t="n">
        <v>44470</v>
      </c>
      <c r="D3462" t="n">
        <v>164.5899963378906</v>
      </c>
      <c r="E3462" t="n">
        <v>53.2599983215332</v>
      </c>
      <c r="F3462" t="n">
        <v>17.11928939819336</v>
      </c>
      <c r="G3462" t="n">
        <v>76.59145355224609</v>
      </c>
      <c r="H3462">
        <f>AVERAGE(D3263:D3462)</f>
        <v/>
      </c>
      <c r="I3462">
        <f>AVERAGE(E3263:E3462)</f>
        <v/>
      </c>
      <c r="J3462">
        <f>AVERAGE(F3263:F3462)</f>
        <v/>
      </c>
    </row>
    <row r="3463">
      <c r="C3463" s="539" t="n">
        <v>44473</v>
      </c>
      <c r="D3463" t="n">
        <v>165.3600006103516</v>
      </c>
      <c r="E3463" t="n">
        <v>54.4900016784668</v>
      </c>
      <c r="F3463" t="n">
        <v>17.08399200439453</v>
      </c>
      <c r="G3463" t="n">
        <v>76.57471466064453</v>
      </c>
      <c r="H3463">
        <f>AVERAGE(D3264:D3463)</f>
        <v/>
      </c>
      <c r="I3463">
        <f>AVERAGE(E3264:E3463)</f>
        <v/>
      </c>
      <c r="J3463">
        <f>AVERAGE(F3264:F3463)</f>
        <v/>
      </c>
    </row>
    <row r="3464">
      <c r="C3464" s="539" t="n">
        <v>44474</v>
      </c>
      <c r="D3464" t="n">
        <v>164.5899963378906</v>
      </c>
      <c r="E3464" t="n">
        <v>55.63000106811523</v>
      </c>
      <c r="F3464" t="n">
        <v>16.97809791564941</v>
      </c>
      <c r="G3464" t="n">
        <v>76.58308410644531</v>
      </c>
      <c r="H3464">
        <f>AVERAGE(D3265:D3464)</f>
        <v/>
      </c>
      <c r="I3464">
        <f>AVERAGE(E3265:E3464)</f>
        <v/>
      </c>
      <c r="J3464">
        <f>AVERAGE(F3265:F3464)</f>
        <v/>
      </c>
    </row>
    <row r="3465">
      <c r="C3465" s="539" t="n">
        <v>44475</v>
      </c>
      <c r="D3465" t="n">
        <v>165.0299987792969</v>
      </c>
      <c r="E3465" t="n">
        <v>54.15999984741211</v>
      </c>
      <c r="F3465" t="n">
        <v>16.95162582397461</v>
      </c>
      <c r="G3465" t="n">
        <v>76.58308410644531</v>
      </c>
      <c r="H3465">
        <f>AVERAGE(D3266:D3465)</f>
        <v/>
      </c>
      <c r="I3465">
        <f>AVERAGE(E3266:E3465)</f>
        <v/>
      </c>
      <c r="J3465">
        <f>AVERAGE(F3266:F3465)</f>
        <v/>
      </c>
    </row>
    <row r="3466">
      <c r="C3466" s="539" t="n">
        <v>44476</v>
      </c>
      <c r="D3466" t="n">
        <v>164.1600036621094</v>
      </c>
      <c r="E3466" t="n">
        <v>55.36000061035156</v>
      </c>
      <c r="F3466" t="n">
        <v>17.08399200439453</v>
      </c>
      <c r="G3466" t="n">
        <v>76.58308410644531</v>
      </c>
      <c r="H3466">
        <f>AVERAGE(D3267:D3466)</f>
        <v/>
      </c>
      <c r="I3466">
        <f>AVERAGE(E3267:E3466)</f>
        <v/>
      </c>
      <c r="J3466">
        <f>AVERAGE(F3267:F3466)</f>
        <v/>
      </c>
    </row>
    <row r="3467">
      <c r="C3467" s="539" t="n">
        <v>44477</v>
      </c>
      <c r="D3467" t="n">
        <v>164.2299957275391</v>
      </c>
      <c r="E3467" t="n">
        <v>55.47000122070312</v>
      </c>
      <c r="F3467" t="n">
        <v>17.12811279296875</v>
      </c>
      <c r="G3467" t="n">
        <v>76.58308410644531</v>
      </c>
      <c r="H3467">
        <f>AVERAGE(D3268:D3467)</f>
        <v/>
      </c>
      <c r="I3467">
        <f>AVERAGE(E3268:E3467)</f>
        <v/>
      </c>
      <c r="J3467">
        <f>AVERAGE(F3268:F3467)</f>
        <v/>
      </c>
    </row>
    <row r="3468">
      <c r="C3468" s="539" t="n">
        <v>44480</v>
      </c>
      <c r="D3468" t="n">
        <v>163.9199981689453</v>
      </c>
      <c r="E3468" t="n">
        <v>56.18000030517578</v>
      </c>
      <c r="F3468" t="n">
        <v>17.07516860961914</v>
      </c>
      <c r="G3468" t="n">
        <v>76.58308410644531</v>
      </c>
      <c r="H3468">
        <f>AVERAGE(D3269:D3468)</f>
        <v/>
      </c>
      <c r="I3468">
        <f>AVERAGE(E3269:E3468)</f>
        <v/>
      </c>
      <c r="J3468">
        <f>AVERAGE(F3269:F3468)</f>
        <v/>
      </c>
    </row>
    <row r="3469">
      <c r="C3469" s="539" t="n">
        <v>44481</v>
      </c>
      <c r="D3469" t="n">
        <v>164.6600036621094</v>
      </c>
      <c r="E3469" t="n">
        <v>56.11000061035156</v>
      </c>
      <c r="F3469" t="n">
        <v>17.07516860961914</v>
      </c>
      <c r="G3469" t="n">
        <v>76.58308410644531</v>
      </c>
      <c r="H3469">
        <f>AVERAGE(D3270:D3469)</f>
        <v/>
      </c>
      <c r="I3469">
        <f>AVERAGE(E3270:E3469)</f>
        <v/>
      </c>
      <c r="J3469">
        <f>AVERAGE(F3270:F3469)</f>
        <v/>
      </c>
    </row>
    <row r="3470">
      <c r="C3470" s="539" t="n">
        <v>44482</v>
      </c>
      <c r="D3470" t="n">
        <v>167.5899963378906</v>
      </c>
      <c r="E3470" t="n">
        <v>56.15999984741211</v>
      </c>
      <c r="F3470" t="n">
        <v>16.81043434143066</v>
      </c>
      <c r="G3470" t="n">
        <v>76.58308410644531</v>
      </c>
      <c r="H3470">
        <f>AVERAGE(D3271:D3470)</f>
        <v/>
      </c>
      <c r="I3470">
        <f>AVERAGE(E3271:E3470)</f>
        <v/>
      </c>
      <c r="J3470">
        <f>AVERAGE(F3271:F3470)</f>
        <v/>
      </c>
    </row>
    <row r="3471">
      <c r="C3471" s="539" t="n">
        <v>44483</v>
      </c>
      <c r="D3471" t="n">
        <v>168</v>
      </c>
      <c r="E3471" t="n">
        <v>56.81000137329102</v>
      </c>
      <c r="F3471" t="n">
        <v>16.8722095489502</v>
      </c>
      <c r="G3471" t="n">
        <v>76.57471466064453</v>
      </c>
      <c r="H3471">
        <f>AVERAGE(D3272:D3471)</f>
        <v/>
      </c>
      <c r="I3471">
        <f>AVERAGE(E3272:E3471)</f>
        <v/>
      </c>
      <c r="J3471">
        <f>AVERAGE(F3272:F3471)</f>
        <v/>
      </c>
    </row>
    <row r="3472">
      <c r="C3472" s="539" t="n">
        <v>44484</v>
      </c>
      <c r="D3472" t="n">
        <v>165.3300018310547</v>
      </c>
      <c r="E3472" t="n">
        <v>57.15000152587891</v>
      </c>
      <c r="F3472" t="n">
        <v>16.94280052185059</v>
      </c>
      <c r="G3472" t="n">
        <v>76.58308410644531</v>
      </c>
      <c r="H3472">
        <f>AVERAGE(D3273:D3472)</f>
        <v/>
      </c>
      <c r="I3472">
        <f>AVERAGE(E3273:E3472)</f>
        <v/>
      </c>
      <c r="J3472">
        <f>AVERAGE(F3273:F3472)</f>
        <v/>
      </c>
    </row>
    <row r="3473">
      <c r="C3473" s="539" t="n">
        <v>44487</v>
      </c>
      <c r="D3473" t="n">
        <v>164.9199981689453</v>
      </c>
      <c r="E3473" t="n">
        <v>56.95999908447266</v>
      </c>
      <c r="F3473" t="n">
        <v>16.91632843017578</v>
      </c>
      <c r="G3473" t="n">
        <v>76.57471466064453</v>
      </c>
      <c r="H3473">
        <f>AVERAGE(D3274:D3473)</f>
        <v/>
      </c>
      <c r="I3473">
        <f>AVERAGE(E3274:E3473)</f>
        <v/>
      </c>
      <c r="J3473">
        <f>AVERAGE(F3274:F3473)</f>
        <v/>
      </c>
    </row>
    <row r="3474">
      <c r="C3474" s="539" t="n">
        <v>44488</v>
      </c>
      <c r="D3474" t="n">
        <v>165.4499969482422</v>
      </c>
      <c r="E3474" t="n">
        <v>57.41999816894531</v>
      </c>
      <c r="F3474" t="n">
        <v>16.8722095489502</v>
      </c>
      <c r="G3474" t="n">
        <v>76.57471466064453</v>
      </c>
      <c r="H3474">
        <f>AVERAGE(D3275:D3474)</f>
        <v/>
      </c>
      <c r="I3474">
        <f>AVERAGE(E3275:E3474)</f>
        <v/>
      </c>
      <c r="J3474">
        <f>AVERAGE(F3275:F3474)</f>
        <v/>
      </c>
    </row>
    <row r="3475">
      <c r="C3475" s="539" t="n">
        <v>44489</v>
      </c>
      <c r="D3475" t="n">
        <v>166.8999938964844</v>
      </c>
      <c r="E3475" t="n">
        <v>58.11999893188477</v>
      </c>
      <c r="F3475" t="n">
        <v>16.9251537322998</v>
      </c>
      <c r="G3475" t="n">
        <v>76.57471466064453</v>
      </c>
      <c r="H3475">
        <f>AVERAGE(D3276:D3475)</f>
        <v/>
      </c>
      <c r="I3475">
        <f>AVERAGE(E3276:E3475)</f>
        <v/>
      </c>
      <c r="J3475">
        <f>AVERAGE(F3276:F3475)</f>
        <v/>
      </c>
    </row>
    <row r="3476">
      <c r="C3476" s="539" t="n">
        <v>44490</v>
      </c>
      <c r="D3476" t="n">
        <v>166.75</v>
      </c>
      <c r="E3476" t="n">
        <v>57.40999984741211</v>
      </c>
      <c r="F3476" t="n">
        <v>16.75749015808105</v>
      </c>
      <c r="G3476" t="n">
        <v>76.57471466064453</v>
      </c>
      <c r="H3476">
        <f>AVERAGE(D3277:D3476)</f>
        <v/>
      </c>
      <c r="I3476">
        <f>AVERAGE(E3277:E3476)</f>
        <v/>
      </c>
      <c r="J3476">
        <f>AVERAGE(F3277:F3476)</f>
        <v/>
      </c>
    </row>
    <row r="3477">
      <c r="C3477" s="539" t="n">
        <v>44491</v>
      </c>
      <c r="D3477" t="n">
        <v>167.7700042724609</v>
      </c>
      <c r="E3477" t="n">
        <v>58.02999877929688</v>
      </c>
      <c r="F3477" t="n">
        <v>16.74866485595703</v>
      </c>
      <c r="G3477" t="n">
        <v>76.57471466064453</v>
      </c>
      <c r="H3477">
        <f>AVERAGE(D3278:D3477)</f>
        <v/>
      </c>
      <c r="I3477">
        <f>AVERAGE(E3278:E3477)</f>
        <v/>
      </c>
      <c r="J3477">
        <f>AVERAGE(F3278:F3477)</f>
        <v/>
      </c>
    </row>
    <row r="3478">
      <c r="C3478" s="539" t="n">
        <v>44494</v>
      </c>
      <c r="D3478" t="n">
        <v>168.9299926757812</v>
      </c>
      <c r="E3478" t="n">
        <v>57.83000183105469</v>
      </c>
      <c r="F3478" t="n">
        <v>16.88985633850098</v>
      </c>
      <c r="G3478" t="n">
        <v>76.58308410644531</v>
      </c>
      <c r="H3478">
        <f>AVERAGE(D3279:D3478)</f>
        <v/>
      </c>
      <c r="I3478">
        <f>AVERAGE(E3279:E3478)</f>
        <v/>
      </c>
      <c r="J3478">
        <f>AVERAGE(F3279:F3478)</f>
        <v/>
      </c>
    </row>
    <row r="3479">
      <c r="C3479" s="539" t="n">
        <v>44495</v>
      </c>
      <c r="D3479" t="n">
        <v>167.6799926757812</v>
      </c>
      <c r="E3479" t="n">
        <v>58.45000076293945</v>
      </c>
      <c r="F3479" t="n">
        <v>16.98692321777344</v>
      </c>
      <c r="G3479" t="n">
        <v>76.56635284423828</v>
      </c>
      <c r="H3479">
        <f>AVERAGE(D3280:D3479)</f>
        <v/>
      </c>
      <c r="I3479">
        <f>AVERAGE(E3280:E3479)</f>
        <v/>
      </c>
      <c r="J3479">
        <f>AVERAGE(F3280:F3479)</f>
        <v/>
      </c>
    </row>
    <row r="3480">
      <c r="C3480" s="539" t="n">
        <v>44496</v>
      </c>
      <c r="D3480" t="n">
        <v>168.1199951171875</v>
      </c>
      <c r="E3480" t="n">
        <v>56.90000152587891</v>
      </c>
      <c r="F3480" t="n">
        <v>16.95162582397461</v>
      </c>
      <c r="G3480" t="n">
        <v>76.56635284423828</v>
      </c>
      <c r="H3480">
        <f>AVERAGE(D3281:D3480)</f>
        <v/>
      </c>
      <c r="I3480">
        <f>AVERAGE(E3281:E3480)</f>
        <v/>
      </c>
      <c r="J3480">
        <f>AVERAGE(F3281:F3480)</f>
        <v/>
      </c>
    </row>
    <row r="3481">
      <c r="C3481" s="539" t="n">
        <v>44497</v>
      </c>
      <c r="D3481" t="n">
        <v>168.0800018310547</v>
      </c>
      <c r="E3481" t="n">
        <v>57.40000152587891</v>
      </c>
      <c r="F3481" t="n">
        <v>17.03104400634766</v>
      </c>
      <c r="G3481" t="n">
        <v>76.58308410644531</v>
      </c>
      <c r="H3481">
        <f>AVERAGE(D3282:D3481)</f>
        <v/>
      </c>
      <c r="I3481">
        <f>AVERAGE(E3282:E3481)</f>
        <v/>
      </c>
      <c r="J3481">
        <f>AVERAGE(F3282:F3481)</f>
        <v/>
      </c>
    </row>
    <row r="3482">
      <c r="C3482" s="539" t="n">
        <v>44498</v>
      </c>
      <c r="D3482" t="n">
        <v>166.6499938964844</v>
      </c>
      <c r="E3482" t="n">
        <v>57.15000152587891</v>
      </c>
      <c r="F3482" t="n">
        <v>17.0222225189209</v>
      </c>
      <c r="G3482" t="n">
        <v>76.58308410644531</v>
      </c>
      <c r="H3482">
        <f>AVERAGE(D3283:D3482)</f>
        <v/>
      </c>
      <c r="I3482">
        <f>AVERAGE(E3283:E3482)</f>
        <v/>
      </c>
      <c r="J3482">
        <f>AVERAGE(F3283:F3482)</f>
        <v/>
      </c>
    </row>
    <row r="3483">
      <c r="C3483" s="539" t="n">
        <v>44501</v>
      </c>
      <c r="D3483" t="n">
        <v>167.5200042724609</v>
      </c>
      <c r="E3483" t="n">
        <v>57.52999877929688</v>
      </c>
      <c r="F3483" t="n">
        <v>17.22518348693848</v>
      </c>
      <c r="G3483" t="n">
        <v>76.58308410644531</v>
      </c>
      <c r="H3483">
        <f>AVERAGE(D3284:D3483)</f>
        <v/>
      </c>
      <c r="I3483">
        <f>AVERAGE(E3284:E3483)</f>
        <v/>
      </c>
      <c r="J3483">
        <f>AVERAGE(F3284:F3483)</f>
        <v/>
      </c>
    </row>
    <row r="3484">
      <c r="C3484" s="539" t="n">
        <v>44502</v>
      </c>
      <c r="D3484" t="n">
        <v>167.1600036621094</v>
      </c>
      <c r="E3484" t="n">
        <v>57.52999877929688</v>
      </c>
      <c r="F3484" t="n">
        <v>17.16341209411621</v>
      </c>
      <c r="G3484" t="n">
        <v>76.56635284423828</v>
      </c>
      <c r="H3484">
        <f>AVERAGE(D3285:D3484)</f>
        <v/>
      </c>
      <c r="I3484">
        <f>AVERAGE(E3285:E3484)</f>
        <v/>
      </c>
      <c r="J3484">
        <f>AVERAGE(F3285:F3484)</f>
        <v/>
      </c>
    </row>
    <row r="3485">
      <c r="C3485" s="539" t="n">
        <v>44503</v>
      </c>
      <c r="D3485" t="n">
        <v>165.7700042724609</v>
      </c>
      <c r="E3485" t="n">
        <v>55.34000015258789</v>
      </c>
      <c r="F3485" t="n">
        <v>17.14576148986816</v>
      </c>
      <c r="G3485" t="n">
        <v>76.56635284423828</v>
      </c>
      <c r="H3485">
        <f>AVERAGE(D3286:D3485)</f>
        <v/>
      </c>
      <c r="I3485">
        <f>AVERAGE(E3286:E3485)</f>
        <v/>
      </c>
      <c r="J3485">
        <f>AVERAGE(F3286:F3485)</f>
        <v/>
      </c>
    </row>
    <row r="3486">
      <c r="C3486" s="539" t="n">
        <v>44504</v>
      </c>
      <c r="D3486" t="n">
        <v>167.6499938964844</v>
      </c>
      <c r="E3486" t="n">
        <v>54.91999816894531</v>
      </c>
      <c r="F3486" t="n">
        <v>17.09281730651855</v>
      </c>
      <c r="G3486" t="n">
        <v>76.57471466064453</v>
      </c>
      <c r="H3486">
        <f>AVERAGE(D3287:D3486)</f>
        <v/>
      </c>
      <c r="I3486">
        <f>AVERAGE(E3287:E3486)</f>
        <v/>
      </c>
      <c r="J3486">
        <f>AVERAGE(F3287:F3486)</f>
        <v/>
      </c>
    </row>
    <row r="3487">
      <c r="C3487" s="539" t="n">
        <v>44505</v>
      </c>
      <c r="D3487" t="n">
        <v>169.8399963378906</v>
      </c>
      <c r="E3487" t="n">
        <v>56.54999923706055</v>
      </c>
      <c r="F3487" t="n">
        <v>17.00457382202148</v>
      </c>
      <c r="G3487" t="n">
        <v>76.57471466064453</v>
      </c>
      <c r="H3487">
        <f>AVERAGE(D3288:D3487)</f>
        <v/>
      </c>
      <c r="I3487">
        <f>AVERAGE(E3288:E3487)</f>
        <v/>
      </c>
      <c r="J3487">
        <f>AVERAGE(F3288:F3487)</f>
        <v/>
      </c>
    </row>
    <row r="3488">
      <c r="C3488" s="539" t="n">
        <v>44508</v>
      </c>
      <c r="D3488" t="n">
        <v>170.4499969482422</v>
      </c>
      <c r="E3488" t="n">
        <v>57.09000015258789</v>
      </c>
      <c r="F3488" t="n">
        <v>16.96044921875</v>
      </c>
      <c r="G3488" t="n">
        <v>76.58308410644531</v>
      </c>
      <c r="H3488">
        <f>AVERAGE(D3289:D3488)</f>
        <v/>
      </c>
      <c r="I3488">
        <f>AVERAGE(E3289:E3488)</f>
        <v/>
      </c>
      <c r="J3488">
        <f>AVERAGE(F3289:F3488)</f>
        <v/>
      </c>
    </row>
    <row r="3489">
      <c r="C3489" s="539" t="n">
        <v>44509</v>
      </c>
      <c r="D3489" t="n">
        <v>171.2899932861328</v>
      </c>
      <c r="E3489" t="n">
        <v>57.97000122070312</v>
      </c>
      <c r="F3489" t="n">
        <v>17.08399200439453</v>
      </c>
      <c r="G3489" t="n">
        <v>76.56635284423828</v>
      </c>
      <c r="H3489">
        <f>AVERAGE(D3290:D3489)</f>
        <v/>
      </c>
      <c r="I3489">
        <f>AVERAGE(E3290:E3489)</f>
        <v/>
      </c>
      <c r="J3489">
        <f>AVERAGE(F3290:F3489)</f>
        <v/>
      </c>
    </row>
    <row r="3490">
      <c r="C3490" s="539" t="n">
        <v>44510</v>
      </c>
      <c r="D3490" t="n">
        <v>173.1499938964844</v>
      </c>
      <c r="E3490" t="n">
        <v>56.31999969482422</v>
      </c>
      <c r="F3490" t="n">
        <v>17.19870758056641</v>
      </c>
      <c r="G3490" t="n">
        <v>76.56635284423828</v>
      </c>
      <c r="H3490">
        <f>AVERAGE(D3291:D3490)</f>
        <v/>
      </c>
      <c r="I3490">
        <f>AVERAGE(E3291:E3490)</f>
        <v/>
      </c>
      <c r="J3490">
        <f>AVERAGE(F3291:F3490)</f>
        <v/>
      </c>
    </row>
    <row r="3491">
      <c r="C3491" s="539" t="n">
        <v>44511</v>
      </c>
      <c r="D3491" t="n">
        <v>174.1199951171875</v>
      </c>
      <c r="E3491" t="n">
        <v>56.22000122070312</v>
      </c>
      <c r="F3491" t="n">
        <v>17.29577827453613</v>
      </c>
      <c r="G3491" t="n">
        <v>76.57471466064453</v>
      </c>
      <c r="H3491">
        <f>AVERAGE(D3292:D3491)</f>
        <v/>
      </c>
      <c r="I3491">
        <f>AVERAGE(E3292:E3491)</f>
        <v/>
      </c>
      <c r="J3491">
        <f>AVERAGE(F3292:F3491)</f>
        <v/>
      </c>
    </row>
    <row r="3492">
      <c r="C3492" s="539" t="n">
        <v>44512</v>
      </c>
      <c r="D3492" t="n">
        <v>174.4499969482422</v>
      </c>
      <c r="E3492" t="n">
        <v>55.97999954223633</v>
      </c>
      <c r="F3492" t="n">
        <v>17.42814254760742</v>
      </c>
      <c r="G3492" t="n">
        <v>76.57471466064453</v>
      </c>
      <c r="H3492">
        <f>AVERAGE(D3293:D3492)</f>
        <v/>
      </c>
      <c r="I3492">
        <f>AVERAGE(E3293:E3492)</f>
        <v/>
      </c>
      <c r="J3492">
        <f>AVERAGE(F3293:F3492)</f>
        <v/>
      </c>
    </row>
    <row r="3493">
      <c r="C3493" s="539" t="n">
        <v>44515</v>
      </c>
      <c r="D3493" t="n">
        <v>174.1799926757812</v>
      </c>
      <c r="E3493" t="n">
        <v>56.06999969482422</v>
      </c>
      <c r="F3493" t="n">
        <v>17.52521133422852</v>
      </c>
      <c r="G3493" t="n">
        <v>76.57471466064453</v>
      </c>
      <c r="H3493">
        <f>AVERAGE(D3294:D3493)</f>
        <v/>
      </c>
      <c r="I3493">
        <f>AVERAGE(E3294:E3493)</f>
        <v/>
      </c>
      <c r="J3493">
        <f>AVERAGE(F3294:F3493)</f>
        <v/>
      </c>
    </row>
    <row r="3494">
      <c r="C3494" s="539" t="n">
        <v>44516</v>
      </c>
      <c r="D3494" t="n">
        <v>172.9199981689453</v>
      </c>
      <c r="E3494" t="n">
        <v>56.20000076293945</v>
      </c>
      <c r="F3494" t="n">
        <v>17.53403472900391</v>
      </c>
      <c r="G3494" t="n">
        <v>76.56635284423828</v>
      </c>
      <c r="H3494">
        <f>AVERAGE(D3295:D3494)</f>
        <v/>
      </c>
      <c r="I3494">
        <f>AVERAGE(E3295:E3494)</f>
        <v/>
      </c>
      <c r="J3494">
        <f>AVERAGE(F3295:F3494)</f>
        <v/>
      </c>
    </row>
    <row r="3495">
      <c r="C3495" s="539" t="n">
        <v>44517</v>
      </c>
      <c r="D3495" t="n">
        <v>174.5</v>
      </c>
      <c r="E3495" t="n">
        <v>55</v>
      </c>
      <c r="F3495" t="n">
        <v>17.74582099914551</v>
      </c>
      <c r="G3495" t="n">
        <v>76.56635284423828</v>
      </c>
      <c r="H3495">
        <f>AVERAGE(D3296:D3495)</f>
        <v/>
      </c>
      <c r="I3495">
        <f>AVERAGE(E3296:E3495)</f>
        <v/>
      </c>
      <c r="J3495">
        <f>AVERAGE(F3296:F3495)</f>
        <v/>
      </c>
    </row>
    <row r="3496">
      <c r="C3496" s="539" t="n">
        <v>44518</v>
      </c>
      <c r="D3496" t="n">
        <v>173.9400024414062</v>
      </c>
      <c r="E3496" t="n">
        <v>55.54999923706055</v>
      </c>
      <c r="F3496" t="n">
        <v>17.66640090942383</v>
      </c>
      <c r="G3496" t="n">
        <v>76.57471466064453</v>
      </c>
      <c r="H3496">
        <f>AVERAGE(D3297:D3496)</f>
        <v/>
      </c>
      <c r="I3496">
        <f>AVERAGE(E3297:E3496)</f>
        <v/>
      </c>
      <c r="J3496">
        <f>AVERAGE(F3297:F3496)</f>
        <v/>
      </c>
    </row>
    <row r="3497">
      <c r="C3497" s="539" t="n">
        <v>44519</v>
      </c>
      <c r="D3497" t="n">
        <v>172.6100006103516</v>
      </c>
      <c r="E3497" t="n">
        <v>53.77999877929688</v>
      </c>
      <c r="F3497" t="n">
        <v>17.71052169799805</v>
      </c>
      <c r="G3497" t="n">
        <v>76.57471466064453</v>
      </c>
      <c r="H3497">
        <f>AVERAGE(D3298:D3497)</f>
        <v/>
      </c>
      <c r="I3497">
        <f>AVERAGE(E3298:E3497)</f>
        <v/>
      </c>
      <c r="J3497">
        <f>AVERAGE(F3298:F3497)</f>
        <v/>
      </c>
    </row>
    <row r="3498">
      <c r="C3498" s="539" t="n">
        <v>44522</v>
      </c>
      <c r="D3498" t="n">
        <v>168.7400054931641</v>
      </c>
      <c r="E3498" t="n">
        <v>54.45000076293945</v>
      </c>
      <c r="F3498" t="n">
        <v>17.78994178771973</v>
      </c>
      <c r="G3498" t="n">
        <v>76.57471466064453</v>
      </c>
      <c r="H3498">
        <f>AVERAGE(D3299:D3498)</f>
        <v/>
      </c>
      <c r="I3498">
        <f>AVERAGE(E3299:E3498)</f>
        <v/>
      </c>
      <c r="J3498">
        <f>AVERAGE(F3299:F3498)</f>
        <v/>
      </c>
    </row>
    <row r="3499">
      <c r="C3499" s="539" t="n">
        <v>44523</v>
      </c>
      <c r="D3499" t="n">
        <v>167.2799987792969</v>
      </c>
      <c r="E3499" t="n">
        <v>56.20000076293945</v>
      </c>
      <c r="F3499" t="n">
        <v>17.92230796813965</v>
      </c>
      <c r="G3499" t="n">
        <v>76.56635284423828</v>
      </c>
      <c r="H3499">
        <f>AVERAGE(D3300:D3499)</f>
        <v/>
      </c>
      <c r="I3499">
        <f>AVERAGE(E3300:E3499)</f>
        <v/>
      </c>
      <c r="J3499">
        <f>AVERAGE(F3300:F3499)</f>
        <v/>
      </c>
    </row>
    <row r="3500">
      <c r="C3500" s="539" t="n">
        <v>44524</v>
      </c>
      <c r="D3500" t="n">
        <v>167.1199951171875</v>
      </c>
      <c r="E3500" t="n">
        <v>55.88000106811523</v>
      </c>
      <c r="F3500" t="n">
        <v>17.8781852722168</v>
      </c>
      <c r="G3500" t="n">
        <v>76.57471466064453</v>
      </c>
      <c r="H3500">
        <f>AVERAGE(D3301:D3500)</f>
        <v/>
      </c>
      <c r="I3500">
        <f>AVERAGE(E3301:E3500)</f>
        <v/>
      </c>
      <c r="J3500">
        <f>AVERAGE(F3301:F3500)</f>
        <v/>
      </c>
    </row>
    <row r="3501">
      <c r="C3501" s="539" t="n">
        <v>44526</v>
      </c>
      <c r="D3501" t="n">
        <v>166.8500061035156</v>
      </c>
      <c r="E3501" t="n">
        <v>49.63000106811523</v>
      </c>
      <c r="F3501" t="n">
        <v>17.62227821350098</v>
      </c>
      <c r="G3501" t="n">
        <v>76.56635284423828</v>
      </c>
      <c r="H3501">
        <f>AVERAGE(D3302:D3501)</f>
        <v/>
      </c>
      <c r="I3501">
        <f>AVERAGE(E3302:E3501)</f>
        <v/>
      </c>
      <c r="J3501">
        <f>AVERAGE(F3302:F3501)</f>
        <v/>
      </c>
    </row>
    <row r="3502">
      <c r="C3502" s="539" t="n">
        <v>44529</v>
      </c>
      <c r="D3502" t="n">
        <v>166.6199951171875</v>
      </c>
      <c r="E3502" t="n">
        <v>50.16999816894531</v>
      </c>
      <c r="F3502" t="n">
        <v>17.4193172454834</v>
      </c>
      <c r="G3502" t="n">
        <v>76.57471466064453</v>
      </c>
      <c r="H3502">
        <f>AVERAGE(D3303:D3502)</f>
        <v/>
      </c>
      <c r="I3502">
        <f>AVERAGE(E3303:E3502)</f>
        <v/>
      </c>
      <c r="J3502">
        <f>AVERAGE(F3303:F3502)</f>
        <v/>
      </c>
    </row>
    <row r="3503">
      <c r="C3503" s="539" t="n">
        <v>44530</v>
      </c>
      <c r="D3503" t="n">
        <v>165.5</v>
      </c>
      <c r="E3503" t="n">
        <v>47.90999984741211</v>
      </c>
      <c r="F3503" t="n">
        <v>17.08399200439453</v>
      </c>
      <c r="G3503" t="n">
        <v>76.56635284423828</v>
      </c>
      <c r="H3503">
        <f>AVERAGE(D3304:D3503)</f>
        <v/>
      </c>
      <c r="I3503">
        <f>AVERAGE(E3304:E3503)</f>
        <v/>
      </c>
      <c r="J3503">
        <f>AVERAGE(F3304:F3503)</f>
        <v/>
      </c>
    </row>
    <row r="3504">
      <c r="C3504" s="539" t="n">
        <v>44531</v>
      </c>
      <c r="D3504" t="n">
        <v>166.1600036621094</v>
      </c>
      <c r="E3504" t="n">
        <v>47.04000091552734</v>
      </c>
      <c r="F3504" t="n">
        <v>17.05751991271973</v>
      </c>
      <c r="G3504" t="n">
        <v>76.57471466064453</v>
      </c>
      <c r="H3504">
        <f>AVERAGE(D3305:D3504)</f>
        <v/>
      </c>
      <c r="I3504">
        <f>AVERAGE(E3305:E3504)</f>
        <v/>
      </c>
      <c r="J3504">
        <f>AVERAGE(F3305:F3504)</f>
        <v/>
      </c>
    </row>
    <row r="3505">
      <c r="C3505" s="539" t="n">
        <v>44532</v>
      </c>
      <c r="D3505" t="n">
        <v>165.2400054931641</v>
      </c>
      <c r="E3505" t="n">
        <v>48.29000091552734</v>
      </c>
      <c r="F3505" t="n">
        <v>17.34872245788574</v>
      </c>
      <c r="G3505" t="n">
        <v>76.57471466064453</v>
      </c>
      <c r="H3505">
        <f>AVERAGE(D3306:D3505)</f>
        <v/>
      </c>
      <c r="I3505">
        <f>AVERAGE(E3306:E3505)</f>
        <v/>
      </c>
      <c r="J3505">
        <f>AVERAGE(F3306:F3505)</f>
        <v/>
      </c>
    </row>
    <row r="3506">
      <c r="C3506" s="539" t="n">
        <v>44533</v>
      </c>
      <c r="D3506" t="n">
        <v>166.6300048828125</v>
      </c>
      <c r="E3506" t="n">
        <v>48</v>
      </c>
      <c r="F3506" t="n">
        <v>17.4193172454834</v>
      </c>
      <c r="G3506" t="n">
        <v>76.56635284423828</v>
      </c>
      <c r="H3506">
        <f>AVERAGE(D3307:D3506)</f>
        <v/>
      </c>
      <c r="I3506">
        <f>AVERAGE(E3307:E3506)</f>
        <v/>
      </c>
      <c r="J3506">
        <f>AVERAGE(F3307:F3506)</f>
        <v/>
      </c>
    </row>
    <row r="3507">
      <c r="C3507" s="539" t="n">
        <v>44536</v>
      </c>
      <c r="D3507" t="n">
        <v>166.2200012207031</v>
      </c>
      <c r="E3507" t="n">
        <v>50.5099983215332</v>
      </c>
      <c r="F3507" t="n">
        <v>17.47226333618164</v>
      </c>
      <c r="G3507" t="n">
        <v>76.56635284423828</v>
      </c>
      <c r="H3507">
        <f>AVERAGE(D3308:D3507)</f>
        <v/>
      </c>
      <c r="I3507">
        <f>AVERAGE(E3308:E3507)</f>
        <v/>
      </c>
      <c r="J3507">
        <f>AVERAGE(F3308:F3507)</f>
        <v/>
      </c>
    </row>
    <row r="3508">
      <c r="C3508" s="539" t="n">
        <v>44537</v>
      </c>
      <c r="D3508" t="n">
        <v>166.8099975585938</v>
      </c>
      <c r="E3508" t="n">
        <v>51.59000015258789</v>
      </c>
      <c r="F3508" t="n">
        <v>17.45461654663086</v>
      </c>
      <c r="G3508" t="n">
        <v>76.56635284423828</v>
      </c>
      <c r="H3508">
        <f>AVERAGE(D3309:D3508)</f>
        <v/>
      </c>
      <c r="I3508">
        <f>AVERAGE(E3309:E3508)</f>
        <v/>
      </c>
      <c r="J3508">
        <f>AVERAGE(F3309:F3508)</f>
        <v/>
      </c>
    </row>
    <row r="3509">
      <c r="C3509" s="539" t="n">
        <v>44538</v>
      </c>
      <c r="D3509" t="n">
        <v>166.8999938964844</v>
      </c>
      <c r="E3509" t="n">
        <v>52.41999816894531</v>
      </c>
      <c r="F3509" t="n">
        <v>17.46344184875488</v>
      </c>
      <c r="G3509" t="n">
        <v>76.57471466064453</v>
      </c>
      <c r="H3509">
        <f>AVERAGE(D3310:D3509)</f>
        <v/>
      </c>
      <c r="I3509">
        <f>AVERAGE(E3310:E3509)</f>
        <v/>
      </c>
      <c r="J3509">
        <f>AVERAGE(F3310:F3509)</f>
        <v/>
      </c>
    </row>
    <row r="3510">
      <c r="C3510" s="539" t="n">
        <v>44539</v>
      </c>
      <c r="D3510" t="n">
        <v>165.8800048828125</v>
      </c>
      <c r="E3510" t="n">
        <v>51.02000045776367</v>
      </c>
      <c r="F3510" t="n">
        <v>17.36637115478516</v>
      </c>
      <c r="G3510" t="n">
        <v>76.56635284423828</v>
      </c>
      <c r="H3510">
        <f>AVERAGE(D3311:D3510)</f>
        <v/>
      </c>
      <c r="I3510">
        <f>AVERAGE(E3311:E3510)</f>
        <v/>
      </c>
      <c r="J3510">
        <f>AVERAGE(F3311:F3510)</f>
        <v/>
      </c>
    </row>
    <row r="3511">
      <c r="C3511" s="539" t="n">
        <v>44540</v>
      </c>
      <c r="D3511" t="n">
        <v>166.5800018310547</v>
      </c>
      <c r="E3511" t="n">
        <v>52.02999877929688</v>
      </c>
      <c r="F3511" t="n">
        <v>17.40166854858398</v>
      </c>
      <c r="G3511" t="n">
        <v>76.57471466064453</v>
      </c>
      <c r="H3511">
        <f>AVERAGE(D3312:D3511)</f>
        <v/>
      </c>
      <c r="I3511">
        <f>AVERAGE(E3312:E3511)</f>
        <v/>
      </c>
      <c r="J3511">
        <f>AVERAGE(F3312:F3511)</f>
        <v/>
      </c>
    </row>
    <row r="3512">
      <c r="C3512" s="539" t="n">
        <v>44543</v>
      </c>
      <c r="D3512" t="n">
        <v>167</v>
      </c>
      <c r="E3512" t="n">
        <v>51.43999862670898</v>
      </c>
      <c r="F3512" t="n">
        <v>17.44579315185547</v>
      </c>
      <c r="G3512" t="n">
        <v>76.57471466064453</v>
      </c>
      <c r="H3512">
        <f>AVERAGE(D3313:D3512)</f>
        <v/>
      </c>
      <c r="I3512">
        <f>AVERAGE(E3313:E3512)</f>
        <v/>
      </c>
      <c r="J3512">
        <f>AVERAGE(F3313:F3512)</f>
        <v/>
      </c>
    </row>
    <row r="3513">
      <c r="C3513" s="539" t="n">
        <v>44544</v>
      </c>
      <c r="D3513" t="n">
        <v>165.4400024414062</v>
      </c>
      <c r="E3513" t="n">
        <v>50.91999816894531</v>
      </c>
      <c r="F3513" t="n">
        <v>17.44579315185547</v>
      </c>
      <c r="G3513" t="n">
        <v>76.57471466064453</v>
      </c>
      <c r="H3513">
        <f>AVERAGE(D3314:D3513)</f>
        <v/>
      </c>
      <c r="I3513">
        <f>AVERAGE(E3314:E3513)</f>
        <v/>
      </c>
      <c r="J3513">
        <f>AVERAGE(F3314:F3513)</f>
        <v/>
      </c>
    </row>
    <row r="3514">
      <c r="C3514" s="539" t="n">
        <v>44545</v>
      </c>
      <c r="D3514" t="n">
        <v>166.1499938964844</v>
      </c>
      <c r="E3514" t="n">
        <v>51.61999893188477</v>
      </c>
      <c r="F3514" t="n">
        <v>17.36637115478516</v>
      </c>
      <c r="G3514" t="n">
        <v>76.57471466064453</v>
      </c>
      <c r="H3514">
        <f>AVERAGE(D3315:D3514)</f>
        <v/>
      </c>
      <c r="I3514">
        <f>AVERAGE(E3315:E3514)</f>
        <v/>
      </c>
      <c r="J3514">
        <f>AVERAGE(F3315:F3514)</f>
        <v/>
      </c>
    </row>
    <row r="3515">
      <c r="C3515" s="539" t="n">
        <v>44546</v>
      </c>
      <c r="D3515" t="n">
        <v>168.1600036621094</v>
      </c>
      <c r="E3515" t="n">
        <v>51.86999893188477</v>
      </c>
      <c r="F3515" t="n">
        <v>17.4193172454834</v>
      </c>
      <c r="G3515" t="n">
        <v>76.56635284423828</v>
      </c>
      <c r="H3515">
        <f>AVERAGE(D3316:D3515)</f>
        <v/>
      </c>
      <c r="I3515">
        <f>AVERAGE(E3316:E3515)</f>
        <v/>
      </c>
      <c r="J3515">
        <f>AVERAGE(F3316:F3515)</f>
        <v/>
      </c>
    </row>
    <row r="3516">
      <c r="C3516" s="539" t="n">
        <v>44547</v>
      </c>
      <c r="D3516" t="n">
        <v>167.8000030517578</v>
      </c>
      <c r="E3516" t="n">
        <v>50.77999877929688</v>
      </c>
      <c r="F3516" t="n">
        <v>17.27812957763672</v>
      </c>
      <c r="G3516" t="n">
        <v>76.57471466064453</v>
      </c>
      <c r="H3516">
        <f>AVERAGE(D3317:D3516)</f>
        <v/>
      </c>
      <c r="I3516">
        <f>AVERAGE(E3317:E3516)</f>
        <v/>
      </c>
      <c r="J3516">
        <f>AVERAGE(F3317:F3516)</f>
        <v/>
      </c>
    </row>
    <row r="3517">
      <c r="C3517" s="539" t="n">
        <v>44550</v>
      </c>
      <c r="D3517" t="n">
        <v>167.0899963378906</v>
      </c>
      <c r="E3517" t="n">
        <v>49.90000152587891</v>
      </c>
      <c r="F3517" t="n">
        <v>17.07516860961914</v>
      </c>
      <c r="G3517" t="n">
        <v>76.56635284423828</v>
      </c>
      <c r="H3517">
        <f>AVERAGE(D3318:D3517)</f>
        <v/>
      </c>
      <c r="I3517">
        <f>AVERAGE(E3318:E3517)</f>
        <v/>
      </c>
      <c r="J3517">
        <f>AVERAGE(F3318:F3517)</f>
        <v/>
      </c>
    </row>
    <row r="3518">
      <c r="C3518" s="539" t="n">
        <v>44551</v>
      </c>
      <c r="D3518" t="n">
        <v>167.0200042724609</v>
      </c>
      <c r="E3518" t="n">
        <v>51.56999969482422</v>
      </c>
      <c r="F3518" t="n">
        <v>17.35754776000977</v>
      </c>
      <c r="G3518" t="n">
        <v>76.55796051025391</v>
      </c>
      <c r="H3518">
        <f>AVERAGE(D3319:D3518)</f>
        <v/>
      </c>
      <c r="I3518">
        <f>AVERAGE(E3319:E3518)</f>
        <v/>
      </c>
      <c r="J3518">
        <f>AVERAGE(F3319:F3518)</f>
        <v/>
      </c>
    </row>
    <row r="3519">
      <c r="C3519" s="539" t="n">
        <v>44552</v>
      </c>
      <c r="D3519" t="n">
        <v>168.5899963378906</v>
      </c>
      <c r="E3519" t="n">
        <v>52.47999954223633</v>
      </c>
      <c r="F3519" t="n">
        <v>17.56050682067871</v>
      </c>
      <c r="G3519" t="n">
        <v>76.55796051025391</v>
      </c>
      <c r="H3519">
        <f>AVERAGE(D3320:D3519)</f>
        <v/>
      </c>
      <c r="I3519">
        <f>AVERAGE(E3320:E3519)</f>
        <v/>
      </c>
      <c r="J3519">
        <f>AVERAGE(F3320:F3519)</f>
        <v/>
      </c>
    </row>
    <row r="3520">
      <c r="C3520" s="539" t="n">
        <v>44553</v>
      </c>
      <c r="D3520" t="n">
        <v>168.9700012207031</v>
      </c>
      <c r="E3520" t="n">
        <v>53.13000106811523</v>
      </c>
      <c r="F3520" t="n">
        <v>17.58698272705078</v>
      </c>
      <c r="G3520" t="n">
        <v>76.55796051025391</v>
      </c>
      <c r="H3520">
        <f>AVERAGE(D3321:D3520)</f>
        <v/>
      </c>
      <c r="I3520">
        <f>AVERAGE(E3321:E3520)</f>
        <v/>
      </c>
      <c r="J3520">
        <f>AVERAGE(F3321:F3520)</f>
        <v/>
      </c>
    </row>
    <row r="3521">
      <c r="C3521" s="539" t="n">
        <v>44557</v>
      </c>
      <c r="D3521" t="n">
        <v>169.3699951171875</v>
      </c>
      <c r="E3521" t="n">
        <v>54.52000045776367</v>
      </c>
      <c r="F3521" t="n">
        <v>17.60462951660156</v>
      </c>
      <c r="G3521" t="n">
        <v>76.56635284423828</v>
      </c>
      <c r="H3521">
        <f>AVERAGE(D3322:D3521)</f>
        <v/>
      </c>
      <c r="I3521">
        <f>AVERAGE(E3322:E3521)</f>
        <v/>
      </c>
      <c r="J3521">
        <f>AVERAGE(F3322:F3521)</f>
        <v/>
      </c>
    </row>
    <row r="3522">
      <c r="C3522" s="539" t="n">
        <v>44558</v>
      </c>
      <c r="D3522" t="n">
        <v>168.6399993896484</v>
      </c>
      <c r="E3522" t="n">
        <v>54.66999816894531</v>
      </c>
      <c r="F3522" t="n">
        <v>17.44579315185547</v>
      </c>
      <c r="G3522" t="n">
        <v>76.55796051025391</v>
      </c>
      <c r="H3522">
        <f>AVERAGE(D3323:D3522)</f>
        <v/>
      </c>
      <c r="I3522">
        <f>AVERAGE(E3323:E3522)</f>
        <v/>
      </c>
      <c r="J3522">
        <f>AVERAGE(F3323:F3522)</f>
        <v/>
      </c>
    </row>
    <row r="3523">
      <c r="C3523" s="539" t="n">
        <v>44559</v>
      </c>
      <c r="D3523" t="n">
        <v>168.5899963378906</v>
      </c>
      <c r="E3523" t="n">
        <v>55.08000183105469</v>
      </c>
      <c r="F3523" t="n">
        <v>17.61345481872559</v>
      </c>
      <c r="G3523" t="n">
        <v>76.55796051025391</v>
      </c>
      <c r="H3523">
        <f>AVERAGE(D3324:D3523)</f>
        <v/>
      </c>
      <c r="I3523">
        <f>AVERAGE(E3324:E3523)</f>
        <v/>
      </c>
      <c r="J3523">
        <f>AVERAGE(F3324:F3523)</f>
        <v/>
      </c>
    </row>
    <row r="3524">
      <c r="C3524" s="539" t="n">
        <v>44560</v>
      </c>
      <c r="D3524" t="n">
        <v>169.8000030517578</v>
      </c>
      <c r="E3524" t="n">
        <v>55.09999847412109</v>
      </c>
      <c r="F3524" t="n">
        <v>17.48991394042969</v>
      </c>
      <c r="G3524" t="n">
        <v>76.56635284423828</v>
      </c>
      <c r="H3524">
        <f>AVERAGE(D3325:D3524)</f>
        <v/>
      </c>
      <c r="I3524">
        <f>AVERAGE(E3325:E3524)</f>
        <v/>
      </c>
      <c r="J3524">
        <f>AVERAGE(F3325:F3524)</f>
        <v/>
      </c>
    </row>
    <row r="3525">
      <c r="C3525" s="539" t="n">
        <v>44561</v>
      </c>
      <c r="D3525" t="n">
        <v>170.9600067138672</v>
      </c>
      <c r="E3525" t="n">
        <v>54.36000061035156</v>
      </c>
      <c r="F3525" t="n">
        <v>17.42814254760742</v>
      </c>
      <c r="G3525" t="n">
        <v>76.56635284423828</v>
      </c>
      <c r="H3525">
        <f>AVERAGE(D3326:D3525)</f>
        <v/>
      </c>
      <c r="I3525">
        <f>AVERAGE(E3326:E3525)</f>
        <v/>
      </c>
      <c r="J3525">
        <f>AVERAGE(F3326:F3525)</f>
        <v/>
      </c>
    </row>
    <row r="3526">
      <c r="C3526" s="539" t="n">
        <v>44564</v>
      </c>
      <c r="D3526" t="n">
        <v>168.3300018310547</v>
      </c>
      <c r="E3526" t="n">
        <v>54.83000183105469</v>
      </c>
      <c r="F3526" t="n">
        <v>17.35754776000977</v>
      </c>
      <c r="G3526" t="n">
        <v>76.55796051025391</v>
      </c>
      <c r="H3526">
        <f>AVERAGE(D3327:D3526)</f>
        <v/>
      </c>
      <c r="I3526">
        <f>AVERAGE(E3327:E3526)</f>
        <v/>
      </c>
      <c r="J3526">
        <f>AVERAGE(F3327:F3526)</f>
        <v/>
      </c>
    </row>
    <row r="3527">
      <c r="C3527" s="539" t="n">
        <v>44565</v>
      </c>
      <c r="D3527" t="n">
        <v>169.5700073242188</v>
      </c>
      <c r="E3527" t="n">
        <v>55.59000015258789</v>
      </c>
      <c r="F3527" t="n">
        <v>17.47226333618164</v>
      </c>
      <c r="G3527" t="n">
        <v>76.56635284423828</v>
      </c>
      <c r="H3527">
        <f>AVERAGE(D3328:D3527)</f>
        <v/>
      </c>
      <c r="I3527">
        <f>AVERAGE(E3328:E3527)</f>
        <v/>
      </c>
      <c r="J3527">
        <f>AVERAGE(F3328:F3527)</f>
        <v/>
      </c>
    </row>
    <row r="3528">
      <c r="C3528" s="539" t="n">
        <v>44566</v>
      </c>
      <c r="D3528" t="n">
        <v>169.0599975585938</v>
      </c>
      <c r="E3528" t="n">
        <v>55.43000030517578</v>
      </c>
      <c r="F3528" t="n">
        <v>17.37519645690918</v>
      </c>
      <c r="G3528" t="n">
        <v>76.56635284423828</v>
      </c>
      <c r="H3528">
        <f>AVERAGE(D3329:D3528)</f>
        <v/>
      </c>
      <c r="I3528">
        <f>AVERAGE(E3329:E3528)</f>
        <v/>
      </c>
      <c r="J3528">
        <f>AVERAGE(F3329:F3528)</f>
        <v/>
      </c>
    </row>
    <row r="3529">
      <c r="C3529" s="539" t="n">
        <v>44567</v>
      </c>
      <c r="D3529" t="n">
        <v>166.9900054931641</v>
      </c>
      <c r="E3529" t="n">
        <v>56.88999938964844</v>
      </c>
      <c r="F3529" t="n">
        <v>17.35754776000977</v>
      </c>
      <c r="G3529" t="n">
        <v>76.56635284423828</v>
      </c>
      <c r="H3529">
        <f>AVERAGE(D3330:D3529)</f>
        <v/>
      </c>
      <c r="I3529">
        <f>AVERAGE(E3330:E3529)</f>
        <v/>
      </c>
      <c r="J3529">
        <f>AVERAGE(F3330:F3529)</f>
        <v/>
      </c>
    </row>
    <row r="3530">
      <c r="C3530" s="539" t="n">
        <v>44568</v>
      </c>
      <c r="D3530" t="n">
        <v>167.75</v>
      </c>
      <c r="E3530" t="n">
        <v>56.66999816894531</v>
      </c>
      <c r="F3530" t="n">
        <v>17.5075626373291</v>
      </c>
      <c r="G3530" t="n">
        <v>76.56635284423828</v>
      </c>
      <c r="H3530">
        <f>AVERAGE(D3331:D3530)</f>
        <v/>
      </c>
      <c r="I3530">
        <f>AVERAGE(E3331:E3530)</f>
        <v/>
      </c>
      <c r="J3530">
        <f>AVERAGE(F3331:F3530)</f>
        <v/>
      </c>
    </row>
    <row r="3531">
      <c r="C3531" s="539" t="n">
        <v>44571</v>
      </c>
      <c r="D3531" t="n">
        <v>168.2599945068359</v>
      </c>
      <c r="E3531" t="n">
        <v>56.15999984741211</v>
      </c>
      <c r="F3531" t="n">
        <v>17.36637115478516</v>
      </c>
      <c r="G3531" t="n">
        <v>76.55796051025391</v>
      </c>
      <c r="H3531">
        <f>AVERAGE(D3332:D3531)</f>
        <v/>
      </c>
      <c r="I3531">
        <f>AVERAGE(E3332:E3531)</f>
        <v/>
      </c>
      <c r="J3531">
        <f>AVERAGE(F3332:F3531)</f>
        <v/>
      </c>
    </row>
    <row r="3532">
      <c r="C3532" s="539" t="n">
        <v>44572</v>
      </c>
      <c r="D3532" t="n">
        <v>170.2899932861328</v>
      </c>
      <c r="E3532" t="n">
        <v>58.15999984741211</v>
      </c>
      <c r="F3532" t="n">
        <v>17.47226333618164</v>
      </c>
      <c r="G3532" t="n">
        <v>76.54960632324219</v>
      </c>
      <c r="H3532">
        <f>AVERAGE(D3333:D3532)</f>
        <v/>
      </c>
      <c r="I3532">
        <f>AVERAGE(E3333:E3532)</f>
        <v/>
      </c>
      <c r="J3532">
        <f>AVERAGE(F3333:F3532)</f>
        <v/>
      </c>
    </row>
    <row r="3533">
      <c r="C3533" s="539" t="n">
        <v>44573</v>
      </c>
      <c r="D3533" t="n">
        <v>170.7400054931641</v>
      </c>
      <c r="E3533" t="n">
        <v>58.90999984741211</v>
      </c>
      <c r="F3533" t="n">
        <v>17.4810905456543</v>
      </c>
      <c r="G3533" t="n">
        <v>76.55796051025391</v>
      </c>
      <c r="H3533">
        <f>AVERAGE(D3334:D3533)</f>
        <v/>
      </c>
      <c r="I3533">
        <f>AVERAGE(E3334:E3533)</f>
        <v/>
      </c>
      <c r="J3533">
        <f>AVERAGE(F3334:F3533)</f>
        <v/>
      </c>
    </row>
    <row r="3534">
      <c r="C3534" s="539" t="n">
        <v>44574</v>
      </c>
      <c r="D3534" t="n">
        <v>170.1600036621094</v>
      </c>
      <c r="E3534" t="n">
        <v>58.27000045776367</v>
      </c>
      <c r="F3534" t="n">
        <v>17.38401985168457</v>
      </c>
      <c r="G3534" t="n">
        <v>76.56635284423828</v>
      </c>
      <c r="H3534">
        <f>AVERAGE(D3335:D3534)</f>
        <v/>
      </c>
      <c r="I3534">
        <f>AVERAGE(E3335:E3534)</f>
        <v/>
      </c>
      <c r="J3534">
        <f>AVERAGE(F3335:F3534)</f>
        <v/>
      </c>
    </row>
    <row r="3535">
      <c r="C3535" s="539" t="n">
        <v>44575</v>
      </c>
      <c r="D3535" t="n">
        <v>169.6699981689453</v>
      </c>
      <c r="E3535" t="n">
        <v>59.97000122070312</v>
      </c>
      <c r="F3535" t="n">
        <v>17.59580612182617</v>
      </c>
      <c r="G3535" t="n">
        <v>76.56635284423828</v>
      </c>
      <c r="H3535">
        <f>AVERAGE(D3336:D3535)</f>
        <v/>
      </c>
      <c r="I3535">
        <f>AVERAGE(E3336:E3535)</f>
        <v/>
      </c>
      <c r="J3535">
        <f>AVERAGE(F3336:F3535)</f>
        <v/>
      </c>
    </row>
    <row r="3536">
      <c r="C3536" s="539" t="n">
        <v>44579</v>
      </c>
      <c r="D3536" t="n">
        <v>169.3899993896484</v>
      </c>
      <c r="E3536" t="n">
        <v>60.97000122070312</v>
      </c>
      <c r="F3536" t="n">
        <v>17.61345481872559</v>
      </c>
      <c r="G3536" t="n">
        <v>76.54960632324219</v>
      </c>
      <c r="H3536">
        <f>AVERAGE(D3337:D3536)</f>
        <v/>
      </c>
      <c r="I3536">
        <f>AVERAGE(E3337:E3536)</f>
        <v/>
      </c>
      <c r="J3536">
        <f>AVERAGE(F3337:F3536)</f>
        <v/>
      </c>
    </row>
    <row r="3537">
      <c r="C3537" s="539" t="n">
        <v>44580</v>
      </c>
      <c r="D3537" t="n">
        <v>172.0800018310547</v>
      </c>
      <c r="E3537" t="n">
        <v>61.04999923706055</v>
      </c>
      <c r="F3537" t="n">
        <v>17.91348266601562</v>
      </c>
      <c r="G3537" t="n">
        <v>76.56635284423828</v>
      </c>
      <c r="H3537">
        <f>AVERAGE(D3338:D3537)</f>
        <v/>
      </c>
      <c r="I3537">
        <f>AVERAGE(E3338:E3537)</f>
        <v/>
      </c>
      <c r="J3537">
        <f>AVERAGE(F3338:F3537)</f>
        <v/>
      </c>
    </row>
    <row r="3538">
      <c r="C3538" s="539" t="n">
        <v>44581</v>
      </c>
      <c r="D3538" t="n">
        <v>171.6499938964844</v>
      </c>
      <c r="E3538" t="n">
        <v>60.65999984741211</v>
      </c>
      <c r="F3538" t="n">
        <v>17.8781852722168</v>
      </c>
      <c r="G3538" t="n">
        <v>76.56635284423828</v>
      </c>
      <c r="H3538">
        <f>AVERAGE(D3339:D3538)</f>
        <v/>
      </c>
      <c r="I3538">
        <f>AVERAGE(E3339:E3538)</f>
        <v/>
      </c>
      <c r="J3538">
        <f>AVERAGE(F3339:F3538)</f>
        <v/>
      </c>
    </row>
    <row r="3539">
      <c r="C3539" s="539" t="n">
        <v>44582</v>
      </c>
      <c r="D3539" t="n">
        <v>171.0899963378906</v>
      </c>
      <c r="E3539" t="n">
        <v>60.77999877929688</v>
      </c>
      <c r="F3539" t="n">
        <v>17.78111839294434</v>
      </c>
      <c r="G3539" t="n">
        <v>76.55796051025391</v>
      </c>
      <c r="H3539">
        <f>AVERAGE(D3340:D3539)</f>
        <v/>
      </c>
      <c r="I3539">
        <f>AVERAGE(E3340:E3539)</f>
        <v/>
      </c>
      <c r="J3539">
        <f>AVERAGE(F3340:F3539)</f>
        <v/>
      </c>
    </row>
    <row r="3540">
      <c r="C3540" s="539" t="n">
        <v>44585</v>
      </c>
      <c r="D3540" t="n">
        <v>172.0299987792969</v>
      </c>
      <c r="E3540" t="n">
        <v>60.11000061035156</v>
      </c>
      <c r="F3540" t="n">
        <v>17.7546443939209</v>
      </c>
      <c r="G3540" t="n">
        <v>76.56635284423828</v>
      </c>
      <c r="H3540">
        <f>AVERAGE(D3341:D3540)</f>
        <v/>
      </c>
      <c r="I3540">
        <f>AVERAGE(E3341:E3540)</f>
        <v/>
      </c>
      <c r="J3540">
        <f>AVERAGE(F3341:F3540)</f>
        <v/>
      </c>
    </row>
    <row r="3541">
      <c r="C3541" s="539" t="n">
        <v>44586</v>
      </c>
      <c r="D3541" t="n">
        <v>172.5800018310547</v>
      </c>
      <c r="E3541" t="n">
        <v>60.97000122070312</v>
      </c>
      <c r="F3541" t="n">
        <v>17.82523918151855</v>
      </c>
      <c r="G3541" t="n">
        <v>76.54960632324219</v>
      </c>
      <c r="H3541">
        <f>AVERAGE(D3342:D3541)</f>
        <v/>
      </c>
      <c r="I3541">
        <f>AVERAGE(E3342:E3541)</f>
        <v/>
      </c>
      <c r="J3541">
        <f>AVERAGE(F3342:F3541)</f>
        <v/>
      </c>
    </row>
    <row r="3542">
      <c r="C3542" s="539" t="n">
        <v>44587</v>
      </c>
      <c r="D3542" t="n">
        <v>169.7899932861328</v>
      </c>
      <c r="E3542" t="n">
        <v>61.68000030517578</v>
      </c>
      <c r="F3542" t="n">
        <v>17.79876708984375</v>
      </c>
      <c r="G3542" t="n">
        <v>76.55796051025391</v>
      </c>
      <c r="H3542">
        <f>AVERAGE(D3343:D3542)</f>
        <v/>
      </c>
      <c r="I3542">
        <f>AVERAGE(E3343:E3542)</f>
        <v/>
      </c>
      <c r="J3542">
        <f>AVERAGE(F3343:F3542)</f>
        <v/>
      </c>
    </row>
    <row r="3543">
      <c r="C3543" s="539" t="n">
        <v>44588</v>
      </c>
      <c r="D3543" t="n">
        <v>167.6000061035156</v>
      </c>
      <c r="E3543" t="n">
        <v>61.86000061035156</v>
      </c>
      <c r="F3543" t="n">
        <v>17.59580612182617</v>
      </c>
      <c r="G3543" t="n">
        <v>76.56635284423828</v>
      </c>
      <c r="H3543">
        <f>AVERAGE(D3344:D3543)</f>
        <v/>
      </c>
      <c r="I3543">
        <f>AVERAGE(E3344:E3543)</f>
        <v/>
      </c>
      <c r="J3543">
        <f>AVERAGE(F3344:F3543)</f>
        <v/>
      </c>
    </row>
    <row r="3544">
      <c r="C3544" s="539" t="n">
        <v>44589</v>
      </c>
      <c r="D3544" t="n">
        <v>167.1000061035156</v>
      </c>
      <c r="E3544" t="n">
        <v>61.97000122070312</v>
      </c>
      <c r="F3544" t="n">
        <v>17.80759048461914</v>
      </c>
      <c r="G3544" t="n">
        <v>76.54960632324219</v>
      </c>
      <c r="H3544">
        <f>AVERAGE(D3345:D3544)</f>
        <v/>
      </c>
      <c r="I3544">
        <f>AVERAGE(E3345:E3544)</f>
        <v/>
      </c>
      <c r="J3544">
        <f>AVERAGE(F3345:F3544)</f>
        <v/>
      </c>
    </row>
    <row r="3545">
      <c r="C3545" s="539" t="n">
        <v>44592</v>
      </c>
      <c r="D3545" t="n">
        <v>168.0899963378906</v>
      </c>
      <c r="E3545" t="n">
        <v>62.47999954223633</v>
      </c>
      <c r="F3545" t="n">
        <v>17.81641387939453</v>
      </c>
      <c r="G3545" t="n">
        <v>76.56635284423828</v>
      </c>
      <c r="H3545">
        <f>AVERAGE(D3346:D3545)</f>
        <v/>
      </c>
      <c r="I3545">
        <f>AVERAGE(E3346:E3545)</f>
        <v/>
      </c>
      <c r="J3545">
        <f>AVERAGE(F3346:F3545)</f>
        <v/>
      </c>
    </row>
    <row r="3546">
      <c r="C3546" s="539" t="n">
        <v>44593</v>
      </c>
      <c r="D3546" t="n">
        <v>168.2299957275391</v>
      </c>
      <c r="E3546" t="n">
        <v>62.52999877929688</v>
      </c>
      <c r="F3546" t="n">
        <v>18.06349754333496</v>
      </c>
      <c r="G3546" t="n">
        <v>76.55796051025391</v>
      </c>
      <c r="H3546">
        <f>AVERAGE(D3347:D3546)</f>
        <v/>
      </c>
      <c r="I3546">
        <f>AVERAGE(E3347:E3546)</f>
        <v/>
      </c>
      <c r="J3546">
        <f>AVERAGE(F3347:F3546)</f>
        <v/>
      </c>
    </row>
    <row r="3547">
      <c r="C3547" s="539" t="n">
        <v>44594</v>
      </c>
      <c r="D3547" t="n">
        <v>168.8399963378906</v>
      </c>
      <c r="E3547" t="n">
        <v>62.52000045776367</v>
      </c>
      <c r="F3547" t="n">
        <v>18.01937675476074</v>
      </c>
      <c r="G3547" t="n">
        <v>76.56635284423828</v>
      </c>
      <c r="H3547">
        <f>AVERAGE(D3348:D3547)</f>
        <v/>
      </c>
      <c r="I3547">
        <f>AVERAGE(E3348:E3547)</f>
        <v/>
      </c>
      <c r="J3547">
        <f>AVERAGE(F3348:F3547)</f>
        <v/>
      </c>
    </row>
    <row r="3548">
      <c r="C3548" s="539" t="n">
        <v>44595</v>
      </c>
      <c r="D3548" t="n">
        <v>168.6000061035156</v>
      </c>
      <c r="E3548" t="n">
        <v>63.5099983215332</v>
      </c>
      <c r="F3548" t="n">
        <v>18.04584884643555</v>
      </c>
      <c r="G3548" t="n">
        <v>76.56635284423828</v>
      </c>
      <c r="H3548">
        <f>AVERAGE(D3349:D3548)</f>
        <v/>
      </c>
      <c r="I3548">
        <f>AVERAGE(E3349:E3548)</f>
        <v/>
      </c>
      <c r="J3548">
        <f>AVERAGE(F3349:F3548)</f>
        <v/>
      </c>
    </row>
    <row r="3549">
      <c r="C3549" s="539" t="n">
        <v>44596</v>
      </c>
      <c r="D3549" t="n">
        <v>168.8600006103516</v>
      </c>
      <c r="E3549" t="n">
        <v>64.91000366210938</v>
      </c>
      <c r="F3549" t="n">
        <v>18.16939163208008</v>
      </c>
      <c r="G3549" t="n">
        <v>76.54960632324219</v>
      </c>
      <c r="H3549">
        <f>AVERAGE(D3350:D3549)</f>
        <v/>
      </c>
      <c r="I3549">
        <f>AVERAGE(E3350:E3549)</f>
        <v/>
      </c>
      <c r="J3549">
        <f>AVERAGE(F3350:F3549)</f>
        <v/>
      </c>
    </row>
    <row r="3550">
      <c r="C3550" s="539" t="n">
        <v>44599</v>
      </c>
      <c r="D3550" t="n">
        <v>170.1100006103516</v>
      </c>
      <c r="E3550" t="n">
        <v>64.68000030517578</v>
      </c>
      <c r="F3550" t="n">
        <v>18.24880981445312</v>
      </c>
      <c r="G3550" t="n">
        <v>76.54960632324219</v>
      </c>
      <c r="H3550">
        <f>AVERAGE(D3351:D3550)</f>
        <v/>
      </c>
      <c r="I3550">
        <f>AVERAGE(E3351:E3550)</f>
        <v/>
      </c>
      <c r="J3550">
        <f>AVERAGE(F3351:F3550)</f>
        <v/>
      </c>
    </row>
    <row r="3551">
      <c r="C3551" s="539" t="n">
        <v>44600</v>
      </c>
      <c r="D3551" t="n">
        <v>170.6300048828125</v>
      </c>
      <c r="E3551" t="n">
        <v>63.61999893188477</v>
      </c>
      <c r="F3551" t="n">
        <v>18.38117599487305</v>
      </c>
      <c r="G3551" t="n">
        <v>76.55796051025391</v>
      </c>
      <c r="H3551">
        <f>AVERAGE(D3352:D3551)</f>
        <v/>
      </c>
      <c r="I3551">
        <f>AVERAGE(E3352:E3551)</f>
        <v/>
      </c>
      <c r="J3551">
        <f>AVERAGE(F3352:F3551)</f>
        <v/>
      </c>
    </row>
    <row r="3552">
      <c r="C3552" s="539" t="n">
        <v>44601</v>
      </c>
      <c r="D3552" t="n">
        <v>171.2100067138672</v>
      </c>
      <c r="E3552" t="n">
        <v>64.16999816894531</v>
      </c>
      <c r="F3552" t="n">
        <v>18.69002723693848</v>
      </c>
      <c r="G3552" t="n">
        <v>76.54960632324219</v>
      </c>
      <c r="H3552">
        <f>AVERAGE(D3353:D3552)</f>
        <v/>
      </c>
      <c r="I3552">
        <f>AVERAGE(E3353:E3552)</f>
        <v/>
      </c>
      <c r="J3552">
        <f>AVERAGE(F3353:F3552)</f>
        <v/>
      </c>
    </row>
    <row r="3553">
      <c r="C3553" s="539" t="n">
        <v>44602</v>
      </c>
      <c r="D3553" t="n">
        <v>170.5599975585938</v>
      </c>
      <c r="E3553" t="n">
        <v>63.95999908447266</v>
      </c>
      <c r="F3553" t="n">
        <v>18.55766296386719</v>
      </c>
      <c r="G3553" t="n">
        <v>76.54960632324219</v>
      </c>
      <c r="H3553">
        <f>AVERAGE(D3354:D3553)</f>
        <v/>
      </c>
      <c r="I3553">
        <f>AVERAGE(E3354:E3553)</f>
        <v/>
      </c>
      <c r="J3553">
        <f>AVERAGE(F3354:F3553)</f>
        <v/>
      </c>
    </row>
    <row r="3554">
      <c r="C3554" s="539" t="n">
        <v>44603</v>
      </c>
      <c r="D3554" t="n">
        <v>173.8099975585938</v>
      </c>
      <c r="E3554" t="n">
        <v>65.73999786376953</v>
      </c>
      <c r="F3554" t="n">
        <v>18.61943435668945</v>
      </c>
      <c r="G3554" t="n">
        <v>76.54960632324219</v>
      </c>
      <c r="H3554">
        <f>AVERAGE(D3355:D3554)</f>
        <v/>
      </c>
      <c r="I3554">
        <f>AVERAGE(E3355:E3554)</f>
        <v/>
      </c>
      <c r="J3554">
        <f>AVERAGE(F3355:F3554)</f>
        <v/>
      </c>
    </row>
    <row r="3555">
      <c r="C3555" s="539" t="n">
        <v>44606</v>
      </c>
      <c r="D3555" t="n">
        <v>174.7400054931641</v>
      </c>
      <c r="E3555" t="n">
        <v>66.36000061035156</v>
      </c>
      <c r="F3555" t="n">
        <v>18.54883766174316</v>
      </c>
      <c r="G3555" t="n">
        <v>76.54119873046875</v>
      </c>
      <c r="H3555">
        <f>AVERAGE(D3356:D3555)</f>
        <v/>
      </c>
      <c r="I3555">
        <f>AVERAGE(E3356:E3555)</f>
        <v/>
      </c>
      <c r="J3555">
        <f>AVERAGE(F3356:F3555)</f>
        <v/>
      </c>
    </row>
    <row r="3556">
      <c r="C3556" s="539" t="n">
        <v>44607</v>
      </c>
      <c r="D3556" t="n">
        <v>173.0800018310547</v>
      </c>
      <c r="E3556" t="n">
        <v>64.27999877929688</v>
      </c>
      <c r="F3556" t="n">
        <v>18.47824478149414</v>
      </c>
      <c r="G3556" t="n">
        <v>76.55796051025391</v>
      </c>
      <c r="H3556">
        <f>AVERAGE(D3357:D3556)</f>
        <v/>
      </c>
      <c r="I3556">
        <f>AVERAGE(E3357:E3556)</f>
        <v/>
      </c>
      <c r="J3556">
        <f>AVERAGE(F3357:F3556)</f>
        <v/>
      </c>
    </row>
    <row r="3557">
      <c r="C3557" s="539" t="n">
        <v>44608</v>
      </c>
      <c r="D3557" t="n">
        <v>174.8600006103516</v>
      </c>
      <c r="E3557" t="n">
        <v>63.54000091552734</v>
      </c>
      <c r="F3557" t="n">
        <v>18.53119087219238</v>
      </c>
      <c r="G3557" t="n">
        <v>76.55796051025391</v>
      </c>
      <c r="H3557">
        <f>AVERAGE(D3358:D3557)</f>
        <v/>
      </c>
      <c r="I3557">
        <f>AVERAGE(E3358:E3557)</f>
        <v/>
      </c>
      <c r="J3557">
        <f>AVERAGE(F3358:F3557)</f>
        <v/>
      </c>
    </row>
    <row r="3558">
      <c r="C3558" s="539" t="n">
        <v>44609</v>
      </c>
      <c r="D3558" t="n">
        <v>177.25</v>
      </c>
      <c r="E3558" t="n">
        <v>64.16999816894531</v>
      </c>
      <c r="F3558" t="n">
        <v>18.59296035766602</v>
      </c>
      <c r="G3558" t="n">
        <v>76.54960632324219</v>
      </c>
      <c r="H3558">
        <f>AVERAGE(D3359:D3558)</f>
        <v/>
      </c>
      <c r="I3558">
        <f>AVERAGE(E3359:E3558)</f>
        <v/>
      </c>
      <c r="J3558">
        <f>AVERAGE(F3359:F3558)</f>
        <v/>
      </c>
    </row>
    <row r="3559">
      <c r="C3559" s="539" t="n">
        <v>44610</v>
      </c>
      <c r="D3559" t="n">
        <v>177.1199951171875</v>
      </c>
      <c r="E3559" t="n">
        <v>64.73999786376953</v>
      </c>
      <c r="F3559" t="n">
        <v>18.56648635864258</v>
      </c>
      <c r="G3559" t="n">
        <v>76.55796051025391</v>
      </c>
      <c r="H3559">
        <f>AVERAGE(D3360:D3559)</f>
        <v/>
      </c>
      <c r="I3559">
        <f>AVERAGE(E3360:E3559)</f>
        <v/>
      </c>
      <c r="J3559">
        <f>AVERAGE(F3360:F3559)</f>
        <v/>
      </c>
    </row>
    <row r="3560">
      <c r="C3560" s="539" t="n">
        <v>44614</v>
      </c>
      <c r="D3560" t="n">
        <v>177.4900054931641</v>
      </c>
      <c r="E3560" t="n">
        <v>65.54000091552734</v>
      </c>
      <c r="F3560" t="n">
        <v>18.87533950805664</v>
      </c>
      <c r="G3560" t="n">
        <v>76.55796051025391</v>
      </c>
      <c r="H3560">
        <f>AVERAGE(D3361:D3560)</f>
        <v/>
      </c>
      <c r="I3560">
        <f>AVERAGE(E3361:E3560)</f>
        <v/>
      </c>
      <c r="J3560">
        <f>AVERAGE(F3361:F3560)</f>
        <v/>
      </c>
    </row>
    <row r="3561">
      <c r="C3561" s="539" t="n">
        <v>44615</v>
      </c>
      <c r="D3561" t="n">
        <v>178.2899932861328</v>
      </c>
      <c r="E3561" t="n">
        <v>66.23999786376953</v>
      </c>
      <c r="F3561" t="n">
        <v>18.88416481018066</v>
      </c>
      <c r="G3561" t="n">
        <v>76.54960632324219</v>
      </c>
      <c r="H3561">
        <f>AVERAGE(D3362:D3561)</f>
        <v/>
      </c>
      <c r="I3561">
        <f>AVERAGE(E3362:E3561)</f>
        <v/>
      </c>
      <c r="J3561">
        <f>AVERAGE(F3362:F3561)</f>
        <v/>
      </c>
    </row>
    <row r="3562">
      <c r="C3562" s="539" t="n">
        <v>44616</v>
      </c>
      <c r="D3562" t="n">
        <v>177.1399993896484</v>
      </c>
      <c r="E3562" t="n">
        <v>66.33999633789062</v>
      </c>
      <c r="F3562" t="n">
        <v>18.7870979309082</v>
      </c>
      <c r="G3562" t="n">
        <v>76.54960632324219</v>
      </c>
      <c r="H3562">
        <f>AVERAGE(D3363:D3562)</f>
        <v/>
      </c>
      <c r="I3562">
        <f>AVERAGE(E3363:E3562)</f>
        <v/>
      </c>
      <c r="J3562">
        <f>AVERAGE(F3363:F3562)</f>
        <v/>
      </c>
    </row>
    <row r="3563">
      <c r="C3563" s="539" t="n">
        <v>44617</v>
      </c>
      <c r="D3563" t="n">
        <v>176.5500030517578</v>
      </c>
      <c r="E3563" t="n">
        <v>65.80000305175781</v>
      </c>
      <c r="F3563" t="n">
        <v>18.25763511657715</v>
      </c>
      <c r="G3563" t="n">
        <v>76.54960632324219</v>
      </c>
      <c r="H3563">
        <f>AVERAGE(D3364:D3563)</f>
        <v/>
      </c>
      <c r="I3563">
        <f>AVERAGE(E3364:E3563)</f>
        <v/>
      </c>
      <c r="J3563">
        <f>AVERAGE(F3364:F3563)</f>
        <v/>
      </c>
    </row>
    <row r="3564">
      <c r="C3564" s="539" t="n">
        <v>44620</v>
      </c>
      <c r="D3564" t="n">
        <v>178.3800048828125</v>
      </c>
      <c r="E3564" t="n">
        <v>67.48000335693359</v>
      </c>
      <c r="F3564" t="n">
        <v>18.46941947937012</v>
      </c>
      <c r="G3564" t="n">
        <v>76.54960632324219</v>
      </c>
      <c r="H3564">
        <f>AVERAGE(D3365:D3564)</f>
        <v/>
      </c>
      <c r="I3564">
        <f>AVERAGE(E3365:E3564)</f>
        <v/>
      </c>
      <c r="J3564">
        <f>AVERAGE(F3365:F3564)</f>
        <v/>
      </c>
    </row>
    <row r="3565">
      <c r="C3565" s="539" t="n">
        <v>44621</v>
      </c>
      <c r="D3565" t="n">
        <v>181.6199951171875</v>
      </c>
      <c r="E3565" t="n">
        <v>71.81999969482422</v>
      </c>
      <c r="F3565" t="n">
        <v>18.91946220397949</v>
      </c>
      <c r="G3565" t="n">
        <v>76.56803131103516</v>
      </c>
      <c r="H3565">
        <f>AVERAGE(D3366:D3565)</f>
        <v/>
      </c>
      <c r="I3565">
        <f>AVERAGE(E3366:E3565)</f>
        <v/>
      </c>
      <c r="J3565">
        <f>AVERAGE(F3366:F3565)</f>
        <v/>
      </c>
    </row>
    <row r="3566">
      <c r="C3566" s="539" t="n">
        <v>44622</v>
      </c>
      <c r="D3566" t="n">
        <v>179.7299957275391</v>
      </c>
      <c r="E3566" t="n">
        <v>75.41999816894531</v>
      </c>
      <c r="F3566" t="n">
        <v>18.91063690185547</v>
      </c>
      <c r="G3566" t="n">
        <v>76.56803131103516</v>
      </c>
      <c r="H3566">
        <f>AVERAGE(D3367:D3566)</f>
        <v/>
      </c>
      <c r="I3566">
        <f>AVERAGE(E3367:E3566)</f>
        <v/>
      </c>
      <c r="J3566">
        <f>AVERAGE(F3367:F3566)</f>
        <v/>
      </c>
    </row>
    <row r="3567">
      <c r="C3567" s="539" t="n">
        <v>44623</v>
      </c>
      <c r="D3567" t="n">
        <v>180.8000030517578</v>
      </c>
      <c r="E3567" t="n">
        <v>74.52999877929688</v>
      </c>
      <c r="F3567" t="n">
        <v>19.33420753479004</v>
      </c>
      <c r="G3567" t="n">
        <v>76.57638549804688</v>
      </c>
      <c r="H3567">
        <f>AVERAGE(D3368:D3567)</f>
        <v/>
      </c>
      <c r="I3567">
        <f>AVERAGE(E3368:E3567)</f>
        <v/>
      </c>
      <c r="J3567">
        <f>AVERAGE(F3368:F3567)</f>
        <v/>
      </c>
    </row>
    <row r="3568">
      <c r="C3568" s="539" t="n">
        <v>44624</v>
      </c>
      <c r="D3568" t="n">
        <v>183.6799926757812</v>
      </c>
      <c r="E3568" t="n">
        <v>79.45999908447266</v>
      </c>
      <c r="F3568" t="n">
        <v>19.27243804931641</v>
      </c>
      <c r="G3568" t="n">
        <v>76.57638549804688</v>
      </c>
      <c r="H3568">
        <f>AVERAGE(D3369:D3568)</f>
        <v/>
      </c>
      <c r="I3568">
        <f>AVERAGE(E3369:E3568)</f>
        <v/>
      </c>
      <c r="J3568">
        <f>AVERAGE(F3369:F3568)</f>
        <v/>
      </c>
    </row>
    <row r="3569">
      <c r="C3569" s="539" t="n">
        <v>44627</v>
      </c>
      <c r="D3569" t="n">
        <v>186.4100036621094</v>
      </c>
      <c r="E3569" t="n">
        <v>82.37000274658203</v>
      </c>
      <c r="F3569" t="n">
        <v>19.61658668518066</v>
      </c>
      <c r="G3569" t="n">
        <v>76.57638549804688</v>
      </c>
      <c r="H3569">
        <f>AVERAGE(D3370:D3569)</f>
        <v/>
      </c>
      <c r="I3569">
        <f>AVERAGE(E3370:E3569)</f>
        <v/>
      </c>
      <c r="J3569">
        <f>AVERAGE(F3370:F3569)</f>
        <v/>
      </c>
    </row>
    <row r="3570">
      <c r="C3570" s="539" t="n">
        <v>44628</v>
      </c>
      <c r="D3570" t="n">
        <v>191.5099945068359</v>
      </c>
      <c r="E3570" t="n">
        <v>85.43000030517578</v>
      </c>
      <c r="F3570" t="n">
        <v>19.59011459350586</v>
      </c>
      <c r="G3570" t="n">
        <v>76.57638549804688</v>
      </c>
      <c r="H3570">
        <f>AVERAGE(D3371:D3570)</f>
        <v/>
      </c>
      <c r="I3570">
        <f>AVERAGE(E3371:E3570)</f>
        <v/>
      </c>
      <c r="J3570">
        <f>AVERAGE(F3371:F3570)</f>
        <v/>
      </c>
    </row>
    <row r="3571">
      <c r="C3571" s="539" t="n">
        <v>44629</v>
      </c>
      <c r="D3571" t="n">
        <v>185.8200073242188</v>
      </c>
      <c r="E3571" t="n">
        <v>75.47000122070312</v>
      </c>
      <c r="F3571" t="n">
        <v>19.29008674621582</v>
      </c>
      <c r="G3571" t="n">
        <v>76.57638549804688</v>
      </c>
      <c r="H3571">
        <f>AVERAGE(D3372:D3571)</f>
        <v/>
      </c>
      <c r="I3571">
        <f>AVERAGE(E3372:E3571)</f>
        <v/>
      </c>
      <c r="J3571">
        <f>AVERAGE(F3372:F3571)</f>
        <v/>
      </c>
    </row>
    <row r="3572">
      <c r="C3572" s="539" t="n">
        <v>44630</v>
      </c>
      <c r="D3572" t="n">
        <v>186.3999938964844</v>
      </c>
      <c r="E3572" t="n">
        <v>74.05999755859375</v>
      </c>
      <c r="F3572" t="n">
        <v>19.21066665649414</v>
      </c>
      <c r="G3572" t="n">
        <v>76.57638549804688</v>
      </c>
      <c r="H3572">
        <f>AVERAGE(D3373:D3572)</f>
        <v/>
      </c>
      <c r="I3572">
        <f>AVERAGE(E3373:E3572)</f>
        <v/>
      </c>
      <c r="J3572">
        <f>AVERAGE(F3373:F3572)</f>
        <v/>
      </c>
    </row>
    <row r="3573">
      <c r="C3573" s="539" t="n">
        <v>44631</v>
      </c>
      <c r="D3573" t="n">
        <v>185.0899963378906</v>
      </c>
      <c r="E3573" t="n">
        <v>76.40000152587891</v>
      </c>
      <c r="F3573" t="n">
        <v>19.27243804931641</v>
      </c>
      <c r="G3573" t="n">
        <v>76.56803131103516</v>
      </c>
      <c r="H3573">
        <f>AVERAGE(D3374:D3573)</f>
        <v/>
      </c>
      <c r="I3573">
        <f>AVERAGE(E3374:E3573)</f>
        <v/>
      </c>
      <c r="J3573">
        <f>AVERAGE(F3374:F3573)</f>
        <v/>
      </c>
    </row>
    <row r="3574">
      <c r="C3574" s="539" t="n">
        <v>44634</v>
      </c>
      <c r="D3574" t="n">
        <v>182.3000030517578</v>
      </c>
      <c r="E3574" t="n">
        <v>72.83999633789062</v>
      </c>
      <c r="F3574" t="n">
        <v>19.23714065551758</v>
      </c>
      <c r="G3574" t="n">
        <v>76.57638549804688</v>
      </c>
      <c r="H3574">
        <f>AVERAGE(D3375:D3574)</f>
        <v/>
      </c>
      <c r="I3574">
        <f>AVERAGE(E3375:E3574)</f>
        <v/>
      </c>
      <c r="J3574">
        <f>AVERAGE(F3375:F3574)</f>
        <v/>
      </c>
    </row>
    <row r="3575">
      <c r="C3575" s="539" t="n">
        <v>44635</v>
      </c>
      <c r="D3575" t="n">
        <v>178.8899993896484</v>
      </c>
      <c r="E3575" t="n">
        <v>68.62999725341797</v>
      </c>
      <c r="F3575" t="n">
        <v>19.16654205322266</v>
      </c>
      <c r="G3575" t="n">
        <v>76.55963134765625</v>
      </c>
      <c r="H3575">
        <f>AVERAGE(D3376:D3575)</f>
        <v/>
      </c>
      <c r="I3575">
        <f>AVERAGE(E3376:E3575)</f>
        <v/>
      </c>
      <c r="J3575">
        <f>AVERAGE(F3376:F3575)</f>
        <v/>
      </c>
    </row>
    <row r="3576">
      <c r="C3576" s="539" t="n">
        <v>44636</v>
      </c>
      <c r="D3576" t="n">
        <v>180.0099945068359</v>
      </c>
      <c r="E3576" t="n">
        <v>68.27999877929688</v>
      </c>
      <c r="F3576" t="n">
        <v>18.85769081115723</v>
      </c>
      <c r="G3576" t="n">
        <v>76.57638549804688</v>
      </c>
      <c r="H3576">
        <f>AVERAGE(D3377:D3576)</f>
        <v/>
      </c>
      <c r="I3576">
        <f>AVERAGE(E3377:E3576)</f>
        <v/>
      </c>
      <c r="J3576">
        <f>AVERAGE(F3377:F3576)</f>
        <v/>
      </c>
    </row>
    <row r="3577">
      <c r="C3577" s="539" t="n">
        <v>44637</v>
      </c>
      <c r="D3577" t="n">
        <v>180.8899993896484</v>
      </c>
      <c r="E3577" t="n">
        <v>73.68000030517578</v>
      </c>
      <c r="F3577" t="n">
        <v>19.07830047607422</v>
      </c>
      <c r="G3577" t="n">
        <v>76.57638549804688</v>
      </c>
      <c r="H3577">
        <f>AVERAGE(D3378:D3577)</f>
        <v/>
      </c>
      <c r="I3577">
        <f>AVERAGE(E3378:E3577)</f>
        <v/>
      </c>
      <c r="J3577">
        <f>AVERAGE(F3378:F3577)</f>
        <v/>
      </c>
    </row>
    <row r="3578">
      <c r="C3578" s="539" t="n">
        <v>44638</v>
      </c>
      <c r="D3578" t="n">
        <v>179.3000030517578</v>
      </c>
      <c r="E3578" t="n">
        <v>74.63999938964844</v>
      </c>
      <c r="F3578" t="n">
        <v>19.08712577819824</v>
      </c>
      <c r="G3578" t="n">
        <v>76.56803131103516</v>
      </c>
      <c r="H3578">
        <f>AVERAGE(D3379:D3578)</f>
        <v/>
      </c>
      <c r="I3578">
        <f>AVERAGE(E3379:E3578)</f>
        <v/>
      </c>
      <c r="J3578">
        <f>AVERAGE(F3379:F3578)</f>
        <v/>
      </c>
    </row>
    <row r="3579">
      <c r="C3579" s="539" t="n">
        <v>44641</v>
      </c>
      <c r="D3579" t="n">
        <v>180.6699981689453</v>
      </c>
      <c r="E3579" t="n">
        <v>79.54000091552734</v>
      </c>
      <c r="F3579" t="n">
        <v>19.4930477142334</v>
      </c>
      <c r="G3579" t="n">
        <v>76.56803131103516</v>
      </c>
      <c r="H3579">
        <f>AVERAGE(D3380:D3579)</f>
        <v/>
      </c>
      <c r="I3579">
        <f>AVERAGE(E3380:E3579)</f>
        <v/>
      </c>
      <c r="J3579">
        <f>AVERAGE(F3380:F3579)</f>
        <v/>
      </c>
    </row>
    <row r="3580">
      <c r="C3580" s="539" t="n">
        <v>44642</v>
      </c>
      <c r="D3580" t="n">
        <v>179.3600006103516</v>
      </c>
      <c r="E3580" t="n">
        <v>78.55999755859375</v>
      </c>
      <c r="F3580" t="n">
        <v>19.52834129333496</v>
      </c>
      <c r="G3580" t="n">
        <v>76.56803131103516</v>
      </c>
      <c r="H3580">
        <f>AVERAGE(D3381:D3580)</f>
        <v/>
      </c>
      <c r="I3580">
        <f>AVERAGE(E3381:E3580)</f>
        <v/>
      </c>
      <c r="J3580">
        <f>AVERAGE(F3381:F3580)</f>
        <v/>
      </c>
    </row>
    <row r="3581">
      <c r="C3581" s="539" t="n">
        <v>44643</v>
      </c>
      <c r="D3581" t="n">
        <v>181.8099975585938</v>
      </c>
      <c r="E3581" t="n">
        <v>81.94999694824219</v>
      </c>
      <c r="F3581" t="n">
        <v>19.61658668518066</v>
      </c>
      <c r="G3581" t="n">
        <v>76.58475494384766</v>
      </c>
      <c r="H3581">
        <f>AVERAGE(D3382:D3581)</f>
        <v/>
      </c>
      <c r="I3581">
        <f>AVERAGE(E3382:E3581)</f>
        <v/>
      </c>
      <c r="J3581">
        <f>AVERAGE(F3382:F3581)</f>
        <v/>
      </c>
    </row>
    <row r="3582">
      <c r="C3582" s="539" t="n">
        <v>44644</v>
      </c>
      <c r="D3582" t="n">
        <v>183.1300048828125</v>
      </c>
      <c r="E3582" t="n">
        <v>79.75</v>
      </c>
      <c r="F3582" t="n">
        <v>19.48422050476074</v>
      </c>
      <c r="G3582" t="n">
        <v>76.58475494384766</v>
      </c>
      <c r="H3582">
        <f>AVERAGE(D3383:D3582)</f>
        <v/>
      </c>
      <c r="I3582">
        <f>AVERAGE(E3383:E3582)</f>
        <v/>
      </c>
      <c r="J3582">
        <f>AVERAGE(F3383:F3582)</f>
        <v/>
      </c>
    </row>
    <row r="3583">
      <c r="C3583" s="539" t="n">
        <v>44645</v>
      </c>
      <c r="D3583" t="n">
        <v>182.3800048828125</v>
      </c>
      <c r="E3583" t="n">
        <v>80.73999786376953</v>
      </c>
      <c r="F3583" t="n">
        <v>19.63423538208008</v>
      </c>
      <c r="G3583" t="n">
        <v>76.56803131103516</v>
      </c>
      <c r="H3583">
        <f>AVERAGE(D3384:D3583)</f>
        <v/>
      </c>
      <c r="I3583">
        <f>AVERAGE(E3384:E3583)</f>
        <v/>
      </c>
      <c r="J3583">
        <f>AVERAGE(F3384:F3583)</f>
        <v/>
      </c>
    </row>
    <row r="3584">
      <c r="C3584" s="539" t="n">
        <v>44648</v>
      </c>
      <c r="D3584" t="n">
        <v>179.0599975585938</v>
      </c>
      <c r="E3584" t="n">
        <v>74.52999877929688</v>
      </c>
      <c r="F3584" t="n">
        <v>19.34303092956543</v>
      </c>
      <c r="G3584" t="n">
        <v>76.56803131103516</v>
      </c>
      <c r="H3584">
        <f>AVERAGE(D3385:D3584)</f>
        <v/>
      </c>
      <c r="I3584">
        <f>AVERAGE(E3385:E3584)</f>
        <v/>
      </c>
      <c r="J3584">
        <f>AVERAGE(F3385:F3584)</f>
        <v/>
      </c>
    </row>
    <row r="3585">
      <c r="C3585" s="539" t="n">
        <v>44649</v>
      </c>
      <c r="D3585" t="n">
        <v>179.1399993896484</v>
      </c>
      <c r="E3585" t="n">
        <v>76.15000152587891</v>
      </c>
      <c r="F3585" t="n">
        <v>19.19301795959473</v>
      </c>
      <c r="G3585" t="n">
        <v>76.56803131103516</v>
      </c>
      <c r="H3585">
        <f>AVERAGE(D3386:D3585)</f>
        <v/>
      </c>
      <c r="I3585">
        <f>AVERAGE(E3386:E3585)</f>
        <v/>
      </c>
      <c r="J3585">
        <f>AVERAGE(F3386:F3585)</f>
        <v/>
      </c>
    </row>
    <row r="3586">
      <c r="C3586" s="539" t="n">
        <v>44650</v>
      </c>
      <c r="D3586" t="n">
        <v>180.5800018310547</v>
      </c>
      <c r="E3586" t="n">
        <v>77.91000366210938</v>
      </c>
      <c r="F3586" t="n">
        <v>19.4312744140625</v>
      </c>
      <c r="G3586" t="n">
        <v>76.58475494384766</v>
      </c>
      <c r="H3586">
        <f>AVERAGE(D3387:D3586)</f>
        <v/>
      </c>
      <c r="I3586">
        <f>AVERAGE(E3387:E3586)</f>
        <v/>
      </c>
      <c r="J3586">
        <f>AVERAGE(F3387:F3586)</f>
        <v/>
      </c>
    </row>
    <row r="3587">
      <c r="C3587" s="539" t="n">
        <v>44651</v>
      </c>
      <c r="D3587" t="n">
        <v>180.6499938964844</v>
      </c>
      <c r="E3587" t="n">
        <v>74.12000274658203</v>
      </c>
      <c r="F3587" t="n">
        <v>19.3077335357666</v>
      </c>
      <c r="G3587" t="n">
        <v>76.58475494384766</v>
      </c>
      <c r="H3587">
        <f>AVERAGE(D3388:D3587)</f>
        <v/>
      </c>
      <c r="I3587">
        <f>AVERAGE(E3388:E3587)</f>
        <v/>
      </c>
      <c r="J3587">
        <f>AVERAGE(F3388:F3587)</f>
        <v/>
      </c>
    </row>
    <row r="3588">
      <c r="C3588" s="539" t="n">
        <v>44652</v>
      </c>
      <c r="D3588" t="n">
        <v>179.5</v>
      </c>
      <c r="E3588" t="n">
        <v>74.16999816894531</v>
      </c>
      <c r="F3588" t="n">
        <v>19.1841926574707</v>
      </c>
      <c r="G3588" t="n">
        <v>76.58475494384766</v>
      </c>
      <c r="H3588">
        <f>AVERAGE(D3389:D3588)</f>
        <v/>
      </c>
      <c r="I3588">
        <f>AVERAGE(E3389:E3588)</f>
        <v/>
      </c>
      <c r="J3588">
        <f>AVERAGE(F3389:F3588)</f>
        <v/>
      </c>
    </row>
    <row r="3589">
      <c r="C3589" s="539" t="n">
        <v>44655</v>
      </c>
      <c r="D3589" t="n">
        <v>180.3699951171875</v>
      </c>
      <c r="E3589" t="n">
        <v>76.86000061035156</v>
      </c>
      <c r="F3589" t="n">
        <v>19.31655883789062</v>
      </c>
      <c r="G3589" t="n">
        <v>76.57638549804688</v>
      </c>
      <c r="H3589">
        <f>AVERAGE(D3390:D3589)</f>
        <v/>
      </c>
      <c r="I3589">
        <f>AVERAGE(E3390:E3589)</f>
        <v/>
      </c>
      <c r="J3589">
        <f>AVERAGE(F3390:F3589)</f>
        <v/>
      </c>
    </row>
    <row r="3590">
      <c r="C3590" s="539" t="n">
        <v>44656</v>
      </c>
      <c r="D3590" t="n">
        <v>179.2400054931641</v>
      </c>
      <c r="E3590" t="n">
        <v>74.80000305175781</v>
      </c>
      <c r="F3590" t="n">
        <v>19.38715362548828</v>
      </c>
      <c r="G3590" t="n">
        <v>76.56803131103516</v>
      </c>
      <c r="H3590">
        <f>AVERAGE(D3391:D3590)</f>
        <v/>
      </c>
      <c r="I3590">
        <f>AVERAGE(E3391:E3590)</f>
        <v/>
      </c>
      <c r="J3590">
        <f>AVERAGE(F3391:F3590)</f>
        <v/>
      </c>
    </row>
    <row r="3591">
      <c r="C3591" s="539" t="n">
        <v>44657</v>
      </c>
      <c r="D3591" t="n">
        <v>179.6600036621094</v>
      </c>
      <c r="E3591" t="n">
        <v>73.05000305175781</v>
      </c>
      <c r="F3591" t="n">
        <v>19.37832832336426</v>
      </c>
      <c r="G3591" t="n">
        <v>76.57638549804688</v>
      </c>
      <c r="H3591">
        <f>AVERAGE(D3392:D3591)</f>
        <v/>
      </c>
      <c r="I3591">
        <f>AVERAGE(E3392:E3591)</f>
        <v/>
      </c>
      <c r="J3591">
        <f>AVERAGE(F3392:F3591)</f>
        <v/>
      </c>
    </row>
    <row r="3592">
      <c r="C3592" s="539" t="n">
        <v>44658</v>
      </c>
      <c r="D3592" t="n">
        <v>180.3399963378906</v>
      </c>
      <c r="E3592" t="n">
        <v>73.11000061035156</v>
      </c>
      <c r="F3592" t="n">
        <v>19.42245292663574</v>
      </c>
      <c r="G3592" t="n">
        <v>76.57638549804688</v>
      </c>
      <c r="H3592">
        <f>AVERAGE(D3393:D3592)</f>
        <v/>
      </c>
      <c r="I3592">
        <f>AVERAGE(E3393:E3592)</f>
        <v/>
      </c>
      <c r="J3592">
        <f>AVERAGE(F3393:F3592)</f>
        <v/>
      </c>
    </row>
    <row r="3593">
      <c r="C3593" s="539" t="n">
        <v>44659</v>
      </c>
      <c r="D3593" t="n">
        <v>181.4700012207031</v>
      </c>
      <c r="E3593" t="n">
        <v>74.11000061035156</v>
      </c>
      <c r="F3593" t="n">
        <v>19.72248077392578</v>
      </c>
      <c r="G3593" t="n">
        <v>76.56803131103516</v>
      </c>
      <c r="H3593">
        <f>AVERAGE(D3394:D3593)</f>
        <v/>
      </c>
      <c r="I3593">
        <f>AVERAGE(E3394:E3593)</f>
        <v/>
      </c>
      <c r="J3593">
        <f>AVERAGE(F3394:F3593)</f>
        <v/>
      </c>
    </row>
    <row r="3594">
      <c r="C3594" s="539" t="n">
        <v>44662</v>
      </c>
      <c r="D3594" t="n">
        <v>182.3699951171875</v>
      </c>
      <c r="E3594" t="n">
        <v>72.30000305175781</v>
      </c>
      <c r="F3594" t="n">
        <v>19.88131904602051</v>
      </c>
      <c r="G3594" t="n">
        <v>76.57638549804688</v>
      </c>
      <c r="H3594">
        <f>AVERAGE(D3395:D3594)</f>
        <v/>
      </c>
      <c r="I3594">
        <f>AVERAGE(E3395:E3594)</f>
        <v/>
      </c>
      <c r="J3594">
        <f>AVERAGE(F3395:F3594)</f>
        <v/>
      </c>
    </row>
    <row r="3595">
      <c r="C3595" s="539" t="n">
        <v>44663</v>
      </c>
      <c r="D3595" t="n">
        <v>183.7700042724609</v>
      </c>
      <c r="E3595" t="n">
        <v>75.98000335693359</v>
      </c>
      <c r="F3595" t="n">
        <v>20.0401554107666</v>
      </c>
      <c r="G3595" t="n">
        <v>76.57638549804688</v>
      </c>
      <c r="H3595">
        <f>AVERAGE(D3396:D3595)</f>
        <v/>
      </c>
      <c r="I3595">
        <f>AVERAGE(E3396:E3595)</f>
        <v/>
      </c>
      <c r="J3595">
        <f>AVERAGE(F3396:F3595)</f>
        <v/>
      </c>
    </row>
    <row r="3596">
      <c r="C3596" s="539" t="n">
        <v>44664</v>
      </c>
      <c r="D3596" t="n">
        <v>184.6499938964844</v>
      </c>
      <c r="E3596" t="n">
        <v>78.41999816894531</v>
      </c>
      <c r="F3596" t="n">
        <v>20.01368522644043</v>
      </c>
      <c r="G3596" t="n">
        <v>76.57638549804688</v>
      </c>
      <c r="H3596">
        <f>AVERAGE(D3397:D3596)</f>
        <v/>
      </c>
      <c r="I3596">
        <f>AVERAGE(E3397:E3596)</f>
        <v/>
      </c>
      <c r="J3596">
        <f>AVERAGE(F3397:F3596)</f>
        <v/>
      </c>
    </row>
    <row r="3597">
      <c r="C3597" s="539" t="n">
        <v>44665</v>
      </c>
      <c r="D3597" t="n">
        <v>184.0399932861328</v>
      </c>
      <c r="E3597" t="n">
        <v>79.56999969482422</v>
      </c>
      <c r="F3597" t="n">
        <v>19.91661643981934</v>
      </c>
      <c r="G3597" t="n">
        <v>76.56803131103516</v>
      </c>
      <c r="H3597">
        <f>AVERAGE(D3398:D3597)</f>
        <v/>
      </c>
      <c r="I3597">
        <f>AVERAGE(E3398:E3597)</f>
        <v/>
      </c>
      <c r="J3597">
        <f>AVERAGE(F3398:F3597)</f>
        <v/>
      </c>
    </row>
    <row r="3598">
      <c r="C3598" s="539" t="n">
        <v>44669</v>
      </c>
      <c r="D3598" t="n">
        <v>184.6100006103516</v>
      </c>
      <c r="E3598" t="n">
        <v>80.41000366210938</v>
      </c>
      <c r="F3598" t="n">
        <v>20.15487480163574</v>
      </c>
      <c r="G3598" t="n">
        <v>76.57638549804688</v>
      </c>
      <c r="H3598">
        <f>AVERAGE(D3399:D3598)</f>
        <v/>
      </c>
      <c r="I3598">
        <f>AVERAGE(E3399:E3598)</f>
        <v/>
      </c>
      <c r="J3598">
        <f>AVERAGE(F3399:F3598)</f>
        <v/>
      </c>
    </row>
    <row r="3599">
      <c r="C3599" s="539" t="n">
        <v>44670</v>
      </c>
      <c r="D3599" t="n">
        <v>181.8200073242188</v>
      </c>
      <c r="E3599" t="n">
        <v>76.86000061035156</v>
      </c>
      <c r="F3599" t="n">
        <v>19.96074104309082</v>
      </c>
      <c r="G3599" t="n">
        <v>76.56803131103516</v>
      </c>
      <c r="H3599">
        <f>AVERAGE(D3400:D3599)</f>
        <v/>
      </c>
      <c r="I3599">
        <f>AVERAGE(E3400:E3599)</f>
        <v/>
      </c>
      <c r="J3599">
        <f>AVERAGE(F3400:F3599)</f>
        <v/>
      </c>
    </row>
    <row r="3600">
      <c r="C3600" s="539" t="n">
        <v>44671</v>
      </c>
      <c r="D3600" t="n">
        <v>182.7100067138672</v>
      </c>
      <c r="E3600" t="n">
        <v>77.23999786376953</v>
      </c>
      <c r="F3600" t="n">
        <v>19.98721122741699</v>
      </c>
      <c r="G3600" t="n">
        <v>76.58475494384766</v>
      </c>
      <c r="H3600">
        <f>AVERAGE(D3401:D3600)</f>
        <v/>
      </c>
      <c r="I3600">
        <f>AVERAGE(E3401:E3600)</f>
        <v/>
      </c>
      <c r="J3600">
        <f>AVERAGE(F3401:F3600)</f>
        <v/>
      </c>
    </row>
    <row r="3601">
      <c r="C3601" s="539" t="n">
        <v>44672</v>
      </c>
      <c r="D3601" t="n">
        <v>182.0599975585938</v>
      </c>
      <c r="E3601" t="n">
        <v>78.12000274658203</v>
      </c>
      <c r="F3601" t="n">
        <v>19.95191383361816</v>
      </c>
      <c r="G3601" t="n">
        <v>76.58475494384766</v>
      </c>
      <c r="H3601">
        <f>AVERAGE(D3402:D3601)</f>
        <v/>
      </c>
      <c r="I3601">
        <f>AVERAGE(E3402:E3601)</f>
        <v/>
      </c>
      <c r="J3601">
        <f>AVERAGE(F3402:F3601)</f>
        <v/>
      </c>
    </row>
    <row r="3602">
      <c r="C3602" s="539" t="n">
        <v>44673</v>
      </c>
      <c r="D3602" t="n">
        <v>180.2899932861328</v>
      </c>
      <c r="E3602" t="n">
        <v>76.30999755859375</v>
      </c>
      <c r="F3602" t="n">
        <v>19.70483207702637</v>
      </c>
      <c r="G3602" t="n">
        <v>76.57638549804688</v>
      </c>
      <c r="H3602">
        <f>AVERAGE(D3403:D3602)</f>
        <v/>
      </c>
      <c r="I3602">
        <f>AVERAGE(E3403:E3602)</f>
        <v/>
      </c>
      <c r="J3602">
        <f>AVERAGE(F3403:F3602)</f>
        <v/>
      </c>
    </row>
    <row r="3603">
      <c r="C3603" s="539" t="n">
        <v>44676</v>
      </c>
      <c r="D3603" t="n">
        <v>177.0500030517578</v>
      </c>
      <c r="E3603" t="n">
        <v>74.65000152587891</v>
      </c>
      <c r="F3603" t="n">
        <v>19.54599189758301</v>
      </c>
      <c r="G3603" t="n">
        <v>76.58475494384766</v>
      </c>
      <c r="H3603">
        <f>AVERAGE(D3404:D3603)</f>
        <v/>
      </c>
      <c r="I3603">
        <f>AVERAGE(E3404:E3603)</f>
        <v/>
      </c>
      <c r="J3603">
        <f>AVERAGE(F3404:F3603)</f>
        <v/>
      </c>
    </row>
    <row r="3604">
      <c r="C3604" s="539" t="n">
        <v>44677</v>
      </c>
      <c r="D3604" t="n">
        <v>177.3200073242188</v>
      </c>
      <c r="E3604" t="n">
        <v>76.45999908447266</v>
      </c>
      <c r="F3604" t="n">
        <v>19.59893798828125</v>
      </c>
      <c r="G3604" t="n">
        <v>76.57638549804688</v>
      </c>
      <c r="H3604">
        <f>AVERAGE(D3405:D3604)</f>
        <v/>
      </c>
      <c r="I3604">
        <f>AVERAGE(E3405:E3604)</f>
        <v/>
      </c>
      <c r="J3604">
        <f>AVERAGE(F3405:F3604)</f>
        <v/>
      </c>
    </row>
    <row r="3605">
      <c r="C3605" s="539" t="n">
        <v>44678</v>
      </c>
      <c r="D3605" t="n">
        <v>175.9799957275391</v>
      </c>
      <c r="E3605" t="n">
        <v>76.37000274658203</v>
      </c>
      <c r="F3605" t="n">
        <v>19.59893798828125</v>
      </c>
      <c r="G3605" t="n">
        <v>76.57638549804688</v>
      </c>
      <c r="H3605">
        <f>AVERAGE(D3406:D3605)</f>
        <v/>
      </c>
      <c r="I3605">
        <f>AVERAGE(E3406:E3605)</f>
        <v/>
      </c>
      <c r="J3605">
        <f>AVERAGE(F3406:F3605)</f>
        <v/>
      </c>
    </row>
    <row r="3606">
      <c r="C3606" s="539" t="n">
        <v>44679</v>
      </c>
      <c r="D3606" t="n">
        <v>176.9299926757812</v>
      </c>
      <c r="E3606" t="n">
        <v>78.08000183105469</v>
      </c>
      <c r="F3606" t="n">
        <v>19.68718338012695</v>
      </c>
      <c r="G3606" t="n">
        <v>76.59314727783203</v>
      </c>
      <c r="H3606">
        <f>AVERAGE(D3407:D3606)</f>
        <v/>
      </c>
      <c r="I3606">
        <f>AVERAGE(E3407:E3606)</f>
        <v/>
      </c>
      <c r="J3606">
        <f>AVERAGE(F3407:F3606)</f>
        <v/>
      </c>
    </row>
    <row r="3607">
      <c r="C3607" s="539" t="n">
        <v>44680</v>
      </c>
      <c r="D3607" t="n">
        <v>176.9100036621094</v>
      </c>
      <c r="E3607" t="n">
        <v>77.16000366210938</v>
      </c>
      <c r="F3607" t="n">
        <v>19.47539901733398</v>
      </c>
      <c r="G3607" t="n">
        <v>76.57638549804688</v>
      </c>
      <c r="H3607">
        <f>AVERAGE(D3408:D3607)</f>
        <v/>
      </c>
      <c r="I3607">
        <f>AVERAGE(E3408:E3607)</f>
        <v/>
      </c>
      <c r="J3607">
        <f>AVERAGE(F3408:F3607)</f>
        <v/>
      </c>
    </row>
    <row r="3608">
      <c r="C3608" s="539" t="n">
        <v>44683</v>
      </c>
      <c r="D3608" t="n">
        <v>173.6300048828125</v>
      </c>
      <c r="E3608" t="n">
        <v>78.37999725341797</v>
      </c>
      <c r="F3608" t="n">
        <v>19.40480422973633</v>
      </c>
      <c r="G3608" t="n">
        <v>76.58475494384766</v>
      </c>
      <c r="H3608">
        <f>AVERAGE(D3409:D3608)</f>
        <v/>
      </c>
      <c r="I3608">
        <f>AVERAGE(E3409:E3608)</f>
        <v/>
      </c>
      <c r="J3608">
        <f>AVERAGE(F3409:F3608)</f>
        <v/>
      </c>
    </row>
    <row r="3609">
      <c r="C3609" s="539" t="n">
        <v>44684</v>
      </c>
      <c r="D3609" t="n">
        <v>174.0899963378906</v>
      </c>
      <c r="E3609" t="n">
        <v>76.69000244140625</v>
      </c>
      <c r="F3609" t="n">
        <v>19.29891014099121</v>
      </c>
      <c r="G3609" t="n">
        <v>76.57638549804688</v>
      </c>
      <c r="H3609">
        <f>AVERAGE(D3410:D3609)</f>
        <v/>
      </c>
      <c r="I3609">
        <f>AVERAGE(E3410:E3609)</f>
        <v/>
      </c>
      <c r="J3609">
        <f>AVERAGE(F3410:F3609)</f>
        <v/>
      </c>
    </row>
    <row r="3610">
      <c r="C3610" s="539" t="n">
        <v>44685</v>
      </c>
      <c r="D3610" t="n">
        <v>175.8000030517578</v>
      </c>
      <c r="E3610" t="n">
        <v>80.22000122070312</v>
      </c>
      <c r="F3610" t="n">
        <v>19.47539901733398</v>
      </c>
      <c r="G3610" t="n">
        <v>76.59314727783203</v>
      </c>
      <c r="H3610">
        <f>AVERAGE(D3411:D3610)</f>
        <v/>
      </c>
      <c r="I3610">
        <f>AVERAGE(E3411:E3610)</f>
        <v/>
      </c>
      <c r="J3610">
        <f>AVERAGE(F3411:F3610)</f>
        <v/>
      </c>
    </row>
    <row r="3611">
      <c r="C3611" s="539" t="n">
        <v>44686</v>
      </c>
      <c r="D3611" t="n">
        <v>175.1300048828125</v>
      </c>
      <c r="E3611" t="n">
        <v>80.48000335693359</v>
      </c>
      <c r="F3611" t="n">
        <v>19.51069641113281</v>
      </c>
      <c r="G3611" t="n">
        <v>76.59314727783203</v>
      </c>
      <c r="H3611">
        <f>AVERAGE(D3412:D3611)</f>
        <v/>
      </c>
      <c r="I3611">
        <f>AVERAGE(E3412:E3611)</f>
        <v/>
      </c>
      <c r="J3611">
        <f>AVERAGE(F3412:F3611)</f>
        <v/>
      </c>
    </row>
    <row r="3612">
      <c r="C3612" s="539" t="n">
        <v>44687</v>
      </c>
      <c r="D3612" t="n">
        <v>175.4199981689453</v>
      </c>
      <c r="E3612" t="n">
        <v>82.12999725341797</v>
      </c>
      <c r="F3612" t="n">
        <v>19.27243804931641</v>
      </c>
      <c r="G3612" t="n">
        <v>76.59314727783203</v>
      </c>
      <c r="H3612">
        <f>AVERAGE(D3413:D3612)</f>
        <v/>
      </c>
      <c r="I3612">
        <f>AVERAGE(E3413:E3612)</f>
        <v/>
      </c>
      <c r="J3612">
        <f>AVERAGE(F3413:F3612)</f>
        <v/>
      </c>
    </row>
    <row r="3613">
      <c r="C3613" s="539" t="n">
        <v>44690</v>
      </c>
      <c r="D3613" t="n">
        <v>172.8800048828125</v>
      </c>
      <c r="E3613" t="n">
        <v>76.56999969482422</v>
      </c>
      <c r="F3613" t="n">
        <v>18.8223934173584</v>
      </c>
      <c r="G3613" t="n">
        <v>76.58475494384766</v>
      </c>
      <c r="H3613">
        <f>AVERAGE(D3414:D3613)</f>
        <v/>
      </c>
      <c r="I3613">
        <f>AVERAGE(E3414:E3613)</f>
        <v/>
      </c>
      <c r="J3613">
        <f>AVERAGE(F3414:F3613)</f>
        <v/>
      </c>
    </row>
    <row r="3614">
      <c r="C3614" s="539" t="n">
        <v>44691</v>
      </c>
      <c r="D3614" t="n">
        <v>171.4199981689453</v>
      </c>
      <c r="E3614" t="n">
        <v>74.52999877929688</v>
      </c>
      <c r="F3614" t="n">
        <v>18.95475959777832</v>
      </c>
      <c r="G3614" t="n">
        <v>76.58475494384766</v>
      </c>
      <c r="H3614">
        <f>AVERAGE(D3415:D3614)</f>
        <v/>
      </c>
      <c r="I3614">
        <f>AVERAGE(E3415:E3614)</f>
        <v/>
      </c>
      <c r="J3614">
        <f>AVERAGE(F3415:F3614)</f>
        <v/>
      </c>
    </row>
    <row r="3615">
      <c r="C3615" s="539" t="n">
        <v>44692</v>
      </c>
      <c r="D3615" t="n">
        <v>172.8200073242188</v>
      </c>
      <c r="E3615" t="n">
        <v>78.18000030517578</v>
      </c>
      <c r="F3615" t="n">
        <v>19.29891014099121</v>
      </c>
      <c r="G3615" t="n">
        <v>76.58475494384766</v>
      </c>
      <c r="H3615">
        <f>AVERAGE(D3416:D3615)</f>
        <v/>
      </c>
      <c r="I3615">
        <f>AVERAGE(E3416:E3615)</f>
        <v/>
      </c>
      <c r="J3615">
        <f>AVERAGE(F3416:F3615)</f>
        <v/>
      </c>
    </row>
    <row r="3616">
      <c r="C3616" s="539" t="n">
        <v>44693</v>
      </c>
      <c r="D3616" t="n">
        <v>170.1699981689453</v>
      </c>
      <c r="E3616" t="n">
        <v>79.23000335693359</v>
      </c>
      <c r="F3616" t="n">
        <v>19.38715362548828</v>
      </c>
      <c r="G3616" t="n">
        <v>76.59314727783203</v>
      </c>
      <c r="H3616">
        <f>AVERAGE(D3417:D3616)</f>
        <v/>
      </c>
      <c r="I3616">
        <f>AVERAGE(E3417:E3616)</f>
        <v/>
      </c>
      <c r="J3616">
        <f>AVERAGE(F3417:F3616)</f>
        <v/>
      </c>
    </row>
    <row r="3617">
      <c r="C3617" s="539" t="n">
        <v>44694</v>
      </c>
      <c r="D3617" t="n">
        <v>168.7899932861328</v>
      </c>
      <c r="E3617" t="n">
        <v>81.27999877929688</v>
      </c>
      <c r="F3617" t="n">
        <v>19.57246589660645</v>
      </c>
      <c r="G3617" t="n">
        <v>76.60154724121094</v>
      </c>
      <c r="H3617">
        <f>AVERAGE(D3418:D3617)</f>
        <v/>
      </c>
      <c r="I3617">
        <f>AVERAGE(E3418:E3617)</f>
        <v/>
      </c>
      <c r="J3617">
        <f>AVERAGE(F3418:F3617)</f>
        <v/>
      </c>
    </row>
    <row r="3618">
      <c r="C3618" s="539" t="n">
        <v>44697</v>
      </c>
      <c r="D3618" t="n">
        <v>170.3999938964844</v>
      </c>
      <c r="E3618" t="n">
        <v>83.11000061035156</v>
      </c>
      <c r="F3618" t="n">
        <v>20.15487480163574</v>
      </c>
      <c r="G3618" t="n">
        <v>76.59314727783203</v>
      </c>
      <c r="H3618">
        <f>AVERAGE(D3419:D3618)</f>
        <v/>
      </c>
      <c r="I3618">
        <f>AVERAGE(E3419:E3618)</f>
        <v/>
      </c>
      <c r="J3618">
        <f>AVERAGE(F3419:F3618)</f>
        <v/>
      </c>
    </row>
    <row r="3619">
      <c r="C3619" s="539" t="n">
        <v>44698</v>
      </c>
      <c r="D3619" t="n">
        <v>169.3300018310547</v>
      </c>
      <c r="E3619" t="n">
        <v>81.11000061035156</v>
      </c>
      <c r="F3619" t="n">
        <v>20.26076698303223</v>
      </c>
      <c r="G3619" t="n">
        <v>76.59314727783203</v>
      </c>
      <c r="H3619">
        <f>AVERAGE(D3420:D3619)</f>
        <v/>
      </c>
      <c r="I3619">
        <f>AVERAGE(E3420:E3619)</f>
        <v/>
      </c>
      <c r="J3619">
        <f>AVERAGE(F3420:F3619)</f>
        <v/>
      </c>
    </row>
    <row r="3620">
      <c r="C3620" s="539" t="n">
        <v>44699</v>
      </c>
      <c r="D3620" t="n">
        <v>169.4199981689453</v>
      </c>
      <c r="E3620" t="n">
        <v>79.29000091552734</v>
      </c>
      <c r="F3620" t="n">
        <v>19.7666015625</v>
      </c>
      <c r="G3620" t="n">
        <v>76.59314727783203</v>
      </c>
      <c r="H3620">
        <f>AVERAGE(D3421:D3620)</f>
        <v/>
      </c>
      <c r="I3620">
        <f>AVERAGE(E3421:E3620)</f>
        <v/>
      </c>
      <c r="J3620">
        <f>AVERAGE(F3421:F3620)</f>
        <v/>
      </c>
    </row>
    <row r="3621">
      <c r="C3621" s="539" t="n">
        <v>44700</v>
      </c>
      <c r="D3621" t="n">
        <v>171.9100036621094</v>
      </c>
      <c r="E3621" t="n">
        <v>80.58000183105469</v>
      </c>
      <c r="F3621" t="n">
        <v>19.75777626037598</v>
      </c>
      <c r="G3621" t="n">
        <v>76.60989379882812</v>
      </c>
      <c r="H3621">
        <f>AVERAGE(D3422:D3621)</f>
        <v/>
      </c>
      <c r="I3621">
        <f>AVERAGE(E3422:E3621)</f>
        <v/>
      </c>
      <c r="J3621">
        <f>AVERAGE(F3422:F3621)</f>
        <v/>
      </c>
    </row>
    <row r="3622">
      <c r="C3622" s="539" t="n">
        <v>44701</v>
      </c>
      <c r="D3622" t="n">
        <v>172.0299987792969</v>
      </c>
      <c r="E3622" t="n">
        <v>81.65000152587891</v>
      </c>
      <c r="F3622" t="n">
        <v>19.62541198730469</v>
      </c>
      <c r="G3622" t="n">
        <v>76.60989379882812</v>
      </c>
      <c r="H3622">
        <f>AVERAGE(D3423:D3622)</f>
        <v/>
      </c>
      <c r="I3622">
        <f>AVERAGE(E3423:E3622)</f>
        <v/>
      </c>
      <c r="J3622">
        <f>AVERAGE(F3423:F3622)</f>
        <v/>
      </c>
    </row>
    <row r="3623">
      <c r="C3623" s="539" t="n">
        <v>44704</v>
      </c>
      <c r="D3623" t="n">
        <v>172.8300018310547</v>
      </c>
      <c r="E3623" t="n">
        <v>81.97000122070312</v>
      </c>
      <c r="F3623" t="n">
        <v>19.80189895629883</v>
      </c>
      <c r="G3623" t="n">
        <v>76.60989379882812</v>
      </c>
      <c r="H3623">
        <f>AVERAGE(D3424:D3623)</f>
        <v/>
      </c>
      <c r="I3623">
        <f>AVERAGE(E3424:E3623)</f>
        <v/>
      </c>
      <c r="J3623">
        <f>AVERAGE(F3424:F3623)</f>
        <v/>
      </c>
    </row>
    <row r="3624">
      <c r="C3624" s="539" t="n">
        <v>44705</v>
      </c>
      <c r="D3624" t="n">
        <v>174.1300048828125</v>
      </c>
      <c r="E3624" t="n">
        <v>82</v>
      </c>
      <c r="F3624" t="n">
        <v>19.56364250183105</v>
      </c>
      <c r="G3624" t="n">
        <v>76.60154724121094</v>
      </c>
      <c r="H3624">
        <f>AVERAGE(D3425:D3624)</f>
        <v/>
      </c>
      <c r="I3624">
        <f>AVERAGE(E3425:E3624)</f>
        <v/>
      </c>
      <c r="J3624">
        <f>AVERAGE(F3425:F3624)</f>
        <v/>
      </c>
    </row>
    <row r="3625">
      <c r="C3625" s="539" t="n">
        <v>44706</v>
      </c>
      <c r="D3625" t="n">
        <v>173.0800018310547</v>
      </c>
      <c r="E3625" t="n">
        <v>82.48000335693359</v>
      </c>
      <c r="F3625" t="n">
        <v>19.46657371520996</v>
      </c>
      <c r="G3625" t="n">
        <v>76.60989379882812</v>
      </c>
      <c r="H3625">
        <f>AVERAGE(D3426:D3625)</f>
        <v/>
      </c>
      <c r="I3625">
        <f>AVERAGE(E3426:E3625)</f>
        <v/>
      </c>
      <c r="J3625">
        <f>AVERAGE(F3426:F3625)</f>
        <v/>
      </c>
    </row>
    <row r="3626">
      <c r="C3626" s="539" t="n">
        <v>44707</v>
      </c>
      <c r="D3626" t="n">
        <v>172.7599945068359</v>
      </c>
      <c r="E3626" t="n">
        <v>84.58999633789062</v>
      </c>
      <c r="F3626" t="n">
        <v>19.66071128845215</v>
      </c>
      <c r="G3626" t="n">
        <v>76.62665557861328</v>
      </c>
      <c r="H3626">
        <f>AVERAGE(D3427:D3626)</f>
        <v/>
      </c>
      <c r="I3626">
        <f>AVERAGE(E3427:E3626)</f>
        <v/>
      </c>
      <c r="J3626">
        <f>AVERAGE(F3427:F3626)</f>
        <v/>
      </c>
    </row>
    <row r="3627">
      <c r="C3627" s="539" t="n">
        <v>44708</v>
      </c>
      <c r="D3627" t="n">
        <v>172.8500061035156</v>
      </c>
      <c r="E3627" t="n">
        <v>85.45999908447266</v>
      </c>
      <c r="F3627" t="n">
        <v>19.78425025939941</v>
      </c>
      <c r="G3627" t="n">
        <v>76.60989379882812</v>
      </c>
      <c r="H3627">
        <f>AVERAGE(D3428:D3627)</f>
        <v/>
      </c>
      <c r="I3627">
        <f>AVERAGE(E3428:E3627)</f>
        <v/>
      </c>
      <c r="J3627">
        <f>AVERAGE(F3428:F3627)</f>
        <v/>
      </c>
    </row>
    <row r="3628">
      <c r="C3628" s="539" t="n">
        <v>44712</v>
      </c>
      <c r="D3628" t="n">
        <v>171.1399993896484</v>
      </c>
      <c r="E3628" t="n">
        <v>85.47000122070312</v>
      </c>
      <c r="F3628" t="n">
        <v>19.40480422973633</v>
      </c>
      <c r="G3628" t="n">
        <v>76.60154724121094</v>
      </c>
      <c r="H3628">
        <f>AVERAGE(D3429:D3628)</f>
        <v/>
      </c>
      <c r="I3628">
        <f>AVERAGE(E3429:E3628)</f>
        <v/>
      </c>
      <c r="J3628">
        <f>AVERAGE(F3429:F3628)</f>
        <v/>
      </c>
    </row>
    <row r="3629">
      <c r="C3629" s="539" t="n">
        <v>44713</v>
      </c>
      <c r="D3629" t="n">
        <v>172.2299957275391</v>
      </c>
      <c r="E3629" t="n">
        <v>85.54000091552734</v>
      </c>
      <c r="F3629" t="n">
        <v>19.38715362548828</v>
      </c>
      <c r="G3629" t="n">
        <v>76.60236358642578</v>
      </c>
      <c r="H3629">
        <f>AVERAGE(D3430:D3629)</f>
        <v/>
      </c>
      <c r="I3629">
        <f>AVERAGE(E3430:E3629)</f>
        <v/>
      </c>
      <c r="J3629">
        <f>AVERAGE(F3430:F3629)</f>
        <v/>
      </c>
    </row>
    <row r="3630">
      <c r="C3630" s="539" t="n">
        <v>44714</v>
      </c>
      <c r="D3630" t="n">
        <v>174.3500061035156</v>
      </c>
      <c r="E3630" t="n">
        <v>87.25</v>
      </c>
      <c r="F3630" t="n">
        <v>19.48422050476074</v>
      </c>
      <c r="G3630" t="n">
        <v>76.61911773681641</v>
      </c>
      <c r="H3630">
        <f>AVERAGE(D3431:D3630)</f>
        <v/>
      </c>
      <c r="I3630">
        <f>AVERAGE(E3431:E3630)</f>
        <v/>
      </c>
      <c r="J3630">
        <f>AVERAGE(F3431:F3630)</f>
        <v/>
      </c>
    </row>
    <row r="3631">
      <c r="C3631" s="539" t="n">
        <v>44715</v>
      </c>
      <c r="D3631" t="n">
        <v>172.5800018310547</v>
      </c>
      <c r="E3631" t="n">
        <v>89.47000122070312</v>
      </c>
      <c r="F3631" t="n">
        <v>19.29891014099121</v>
      </c>
      <c r="G3631" t="n">
        <v>76.60236358642578</v>
      </c>
      <c r="H3631">
        <f>AVERAGE(D3432:D3631)</f>
        <v/>
      </c>
      <c r="I3631">
        <f>AVERAGE(E3432:E3631)</f>
        <v/>
      </c>
      <c r="J3631">
        <f>AVERAGE(F3432:F3631)</f>
        <v/>
      </c>
    </row>
    <row r="3632">
      <c r="C3632" s="539" t="n">
        <v>44718</v>
      </c>
      <c r="D3632" t="n">
        <v>171.8200073242188</v>
      </c>
      <c r="E3632" t="n">
        <v>88.38999938964844</v>
      </c>
      <c r="F3632" t="n">
        <v>19.55481910705566</v>
      </c>
      <c r="G3632" t="n">
        <v>76.61074066162109</v>
      </c>
      <c r="H3632">
        <f>AVERAGE(D3433:D3632)</f>
        <v/>
      </c>
      <c r="I3632">
        <f>AVERAGE(E3433:E3632)</f>
        <v/>
      </c>
      <c r="J3632">
        <f>AVERAGE(F3433:F3632)</f>
        <v/>
      </c>
    </row>
    <row r="3633">
      <c r="C3633" s="539" t="n">
        <v>44719</v>
      </c>
      <c r="D3633" t="n">
        <v>172.9400024414062</v>
      </c>
      <c r="E3633" t="n">
        <v>90.04000091552734</v>
      </c>
      <c r="F3633" t="n">
        <v>19.51069641113281</v>
      </c>
      <c r="G3633" t="n">
        <v>76.60236358642578</v>
      </c>
      <c r="H3633">
        <f>AVERAGE(D3434:D3633)</f>
        <v/>
      </c>
      <c r="I3633">
        <f>AVERAGE(E3434:E3633)</f>
        <v/>
      </c>
      <c r="J3633">
        <f>AVERAGE(F3434:F3633)</f>
        <v/>
      </c>
    </row>
    <row r="3634">
      <c r="C3634" s="539" t="n">
        <v>44720</v>
      </c>
      <c r="D3634" t="n">
        <v>172.7799987792969</v>
      </c>
      <c r="E3634" t="n">
        <v>91.98999786376953</v>
      </c>
      <c r="F3634" t="n">
        <v>19.57246589660645</v>
      </c>
      <c r="G3634" t="n">
        <v>76.61074066162109</v>
      </c>
      <c r="H3634">
        <f>AVERAGE(D3435:D3634)</f>
        <v/>
      </c>
      <c r="I3634">
        <f>AVERAGE(E3435:E3634)</f>
        <v/>
      </c>
      <c r="J3634">
        <f>AVERAGE(F3435:F3634)</f>
        <v/>
      </c>
    </row>
    <row r="3635">
      <c r="C3635" s="539" t="n">
        <v>44721</v>
      </c>
      <c r="D3635" t="n">
        <v>172.2299957275391</v>
      </c>
      <c r="E3635" t="n">
        <v>91.08000183105469</v>
      </c>
      <c r="F3635" t="n">
        <v>19.57246589660645</v>
      </c>
      <c r="G3635" t="n">
        <v>76.61911773681641</v>
      </c>
      <c r="H3635">
        <f>AVERAGE(D3436:D3635)</f>
        <v/>
      </c>
      <c r="I3635">
        <f>AVERAGE(E3436:E3635)</f>
        <v/>
      </c>
      <c r="J3635">
        <f>AVERAGE(F3436:F3635)</f>
        <v/>
      </c>
    </row>
    <row r="3636">
      <c r="C3636" s="539" t="n">
        <v>44722</v>
      </c>
      <c r="D3636" t="n">
        <v>174.5399932861328</v>
      </c>
      <c r="E3636" t="n">
        <v>90.12999725341797</v>
      </c>
      <c r="F3636" t="n">
        <v>19.42245292663574</v>
      </c>
      <c r="G3636" t="n">
        <v>76.60236358642578</v>
      </c>
      <c r="H3636">
        <f>AVERAGE(D3437:D3636)</f>
        <v/>
      </c>
      <c r="I3636">
        <f>AVERAGE(E3437:E3636)</f>
        <v/>
      </c>
      <c r="J3636">
        <f>AVERAGE(F3437:F3636)</f>
        <v/>
      </c>
    </row>
    <row r="3637">
      <c r="C3637" s="539" t="n">
        <v>44725</v>
      </c>
      <c r="D3637" t="n">
        <v>169.9299926757812</v>
      </c>
      <c r="E3637" t="n">
        <v>90.36000061035156</v>
      </c>
      <c r="F3637" t="n">
        <v>19.20184326171875</v>
      </c>
      <c r="G3637" t="n">
        <v>76.61074066162109</v>
      </c>
      <c r="H3637">
        <f>AVERAGE(D3438:D3637)</f>
        <v/>
      </c>
      <c r="I3637">
        <f>AVERAGE(E3438:E3637)</f>
        <v/>
      </c>
      <c r="J3637">
        <f>AVERAGE(F3438:F3637)</f>
        <v/>
      </c>
    </row>
    <row r="3638">
      <c r="C3638" s="539" t="n">
        <v>44726</v>
      </c>
      <c r="D3638" t="n">
        <v>168.5700073242188</v>
      </c>
      <c r="E3638" t="n">
        <v>88.44999694824219</v>
      </c>
      <c r="F3638" t="n">
        <v>19.14889717102051</v>
      </c>
      <c r="G3638" t="n">
        <v>76.60236358642578</v>
      </c>
      <c r="H3638">
        <f>AVERAGE(D3439:D3638)</f>
        <v/>
      </c>
      <c r="I3638">
        <f>AVERAGE(E3439:E3638)</f>
        <v/>
      </c>
      <c r="J3638">
        <f>AVERAGE(F3439:F3638)</f>
        <v/>
      </c>
    </row>
    <row r="3639">
      <c r="C3639" s="539" t="n">
        <v>44727</v>
      </c>
      <c r="D3639" t="n">
        <v>170.7700042724609</v>
      </c>
      <c r="E3639" t="n">
        <v>86.93000030517578</v>
      </c>
      <c r="F3639" t="n">
        <v>19.15771865844727</v>
      </c>
      <c r="G3639" t="n">
        <v>76.61074066162109</v>
      </c>
      <c r="H3639">
        <f>AVERAGE(D3440:D3639)</f>
        <v/>
      </c>
      <c r="I3639">
        <f>AVERAGE(E3440:E3639)</f>
        <v/>
      </c>
      <c r="J3639">
        <f>AVERAGE(F3440:F3639)</f>
        <v/>
      </c>
    </row>
    <row r="3640">
      <c r="C3640" s="539" t="n">
        <v>44728</v>
      </c>
      <c r="D3640" t="n">
        <v>172.6900024414062</v>
      </c>
      <c r="E3640" t="n">
        <v>87.66000366210938</v>
      </c>
      <c r="F3640" t="n">
        <v>19.35185623168945</v>
      </c>
      <c r="G3640" t="n">
        <v>76.62749481201172</v>
      </c>
      <c r="H3640">
        <f>AVERAGE(D3441:D3640)</f>
        <v/>
      </c>
      <c r="I3640">
        <f>AVERAGE(E3441:E3640)</f>
        <v/>
      </c>
      <c r="J3640">
        <f>AVERAGE(F3441:F3640)</f>
        <v/>
      </c>
    </row>
    <row r="3641">
      <c r="C3641" s="539" t="n">
        <v>44729</v>
      </c>
      <c r="D3641" t="n">
        <v>171.2700042724609</v>
      </c>
      <c r="E3641" t="n">
        <v>83.33999633789062</v>
      </c>
      <c r="F3641" t="n">
        <v>19.23714065551758</v>
      </c>
      <c r="G3641" t="n">
        <v>76.61911773681641</v>
      </c>
      <c r="H3641">
        <f>AVERAGE(D3442:D3641)</f>
        <v/>
      </c>
      <c r="I3641">
        <f>AVERAGE(E3442:E3641)</f>
        <v/>
      </c>
      <c r="J3641">
        <f>AVERAGE(F3442:F3641)</f>
        <v/>
      </c>
    </row>
    <row r="3642">
      <c r="C3642" s="539" t="n">
        <v>44733</v>
      </c>
      <c r="D3642" t="n">
        <v>170.6300048828125</v>
      </c>
      <c r="E3642" t="n">
        <v>84.05000305175781</v>
      </c>
      <c r="F3642" t="n">
        <v>19.02535438537598</v>
      </c>
      <c r="G3642" t="n">
        <v>76.6358642578125</v>
      </c>
      <c r="H3642">
        <f>AVERAGE(D3443:D3642)</f>
        <v/>
      </c>
      <c r="I3642">
        <f>AVERAGE(E3443:E3642)</f>
        <v/>
      </c>
      <c r="J3642">
        <f>AVERAGE(F3443:F3642)</f>
        <v/>
      </c>
    </row>
    <row r="3643">
      <c r="C3643" s="539" t="n">
        <v>44734</v>
      </c>
      <c r="D3643" t="n">
        <v>171.3099975585938</v>
      </c>
      <c r="E3643" t="n">
        <v>80.87999725341797</v>
      </c>
      <c r="F3643" t="n">
        <v>18.79592132568359</v>
      </c>
      <c r="G3643" t="n">
        <v>76.64426422119141</v>
      </c>
      <c r="H3643">
        <f>AVERAGE(D3444:D3643)</f>
        <v/>
      </c>
      <c r="I3643">
        <f>AVERAGE(E3444:E3643)</f>
        <v/>
      </c>
      <c r="J3643">
        <f>AVERAGE(F3444:F3643)</f>
        <v/>
      </c>
    </row>
    <row r="3644">
      <c r="C3644" s="539" t="n">
        <v>44735</v>
      </c>
      <c r="D3644" t="n">
        <v>170.2599945068359</v>
      </c>
      <c r="E3644" t="n">
        <v>78.98000335693359</v>
      </c>
      <c r="F3644" t="n">
        <v>18.23116111755371</v>
      </c>
      <c r="G3644" t="n">
        <v>76.64426422119141</v>
      </c>
      <c r="H3644">
        <f>AVERAGE(D3445:D3644)</f>
        <v/>
      </c>
      <c r="I3644">
        <f>AVERAGE(E3445:E3644)</f>
        <v/>
      </c>
      <c r="J3644">
        <f>AVERAGE(F3445:F3644)</f>
        <v/>
      </c>
    </row>
    <row r="3645">
      <c r="C3645" s="539" t="n">
        <v>44736</v>
      </c>
      <c r="D3645" t="n">
        <v>170.0899963378906</v>
      </c>
      <c r="E3645" t="n">
        <v>81.26999664306641</v>
      </c>
      <c r="F3645" t="n">
        <v>18.29293251037598</v>
      </c>
      <c r="G3645" t="n">
        <v>76.62749481201172</v>
      </c>
      <c r="H3645">
        <f>AVERAGE(D3446:D3645)</f>
        <v/>
      </c>
      <c r="I3645">
        <f>AVERAGE(E3446:E3645)</f>
        <v/>
      </c>
      <c r="J3645">
        <f>AVERAGE(F3446:F3645)</f>
        <v/>
      </c>
    </row>
    <row r="3646">
      <c r="C3646" s="539" t="n">
        <v>44739</v>
      </c>
      <c r="D3646" t="n">
        <v>169.8999938964844</v>
      </c>
      <c r="E3646" t="n">
        <v>82.93000030517578</v>
      </c>
      <c r="F3646" t="n">
        <v>18.07232284545898</v>
      </c>
      <c r="G3646" t="n">
        <v>76.62749481201172</v>
      </c>
      <c r="H3646">
        <f>AVERAGE(D3447:D3646)</f>
        <v/>
      </c>
      <c r="I3646">
        <f>AVERAGE(E3447:E3646)</f>
        <v/>
      </c>
      <c r="J3646">
        <f>AVERAGE(F3447:F3646)</f>
        <v/>
      </c>
    </row>
    <row r="3647">
      <c r="C3647" s="539" t="n">
        <v>44740</v>
      </c>
      <c r="D3647" t="n">
        <v>169.6199951171875</v>
      </c>
      <c r="E3647" t="n">
        <v>84.72000122070312</v>
      </c>
      <c r="F3647" t="n">
        <v>18.15174102783203</v>
      </c>
      <c r="G3647" t="n">
        <v>76.64426422119141</v>
      </c>
      <c r="H3647">
        <f>AVERAGE(D3448:D3647)</f>
        <v/>
      </c>
      <c r="I3647">
        <f>AVERAGE(E3448:E3647)</f>
        <v/>
      </c>
      <c r="J3647">
        <f>AVERAGE(F3448:F3647)</f>
        <v/>
      </c>
    </row>
    <row r="3648">
      <c r="C3648" s="539" t="n">
        <v>44741</v>
      </c>
      <c r="D3648" t="n">
        <v>169.4900054931641</v>
      </c>
      <c r="E3648" t="n">
        <v>82.94999694824219</v>
      </c>
      <c r="F3648" t="n">
        <v>18.26645660400391</v>
      </c>
      <c r="G3648" t="n">
        <v>76.65264129638672</v>
      </c>
      <c r="H3648">
        <f>AVERAGE(D3449:D3648)</f>
        <v/>
      </c>
      <c r="I3648">
        <f>AVERAGE(E3449:E3648)</f>
        <v/>
      </c>
      <c r="J3648">
        <f>AVERAGE(F3449:F3648)</f>
        <v/>
      </c>
    </row>
    <row r="3649">
      <c r="C3649" s="539" t="n">
        <v>44742</v>
      </c>
      <c r="D3649" t="n">
        <v>168.4600067138672</v>
      </c>
      <c r="E3649" t="n">
        <v>80.34999847412109</v>
      </c>
      <c r="F3649" t="n">
        <v>17.98407745361328</v>
      </c>
      <c r="G3649" t="n">
        <v>76.66102600097656</v>
      </c>
      <c r="H3649">
        <f>AVERAGE(D3450:D3649)</f>
        <v/>
      </c>
      <c r="I3649">
        <f>AVERAGE(E3450:E3649)</f>
        <v/>
      </c>
      <c r="J3649">
        <f>AVERAGE(F3450:F3649)</f>
        <v/>
      </c>
    </row>
    <row r="3650">
      <c r="C3650" s="539" t="n">
        <v>44743</v>
      </c>
      <c r="D3650" t="n">
        <v>168.3200073242188</v>
      </c>
      <c r="E3650" t="n">
        <v>81.66999816894531</v>
      </c>
      <c r="F3650" t="n">
        <v>17.63110542297363</v>
      </c>
      <c r="G3650" t="n">
        <v>76.6551513671875</v>
      </c>
      <c r="H3650">
        <f>AVERAGE(D3451:D3650)</f>
        <v/>
      </c>
      <c r="I3650">
        <f>AVERAGE(E3451:E3650)</f>
        <v/>
      </c>
      <c r="J3650">
        <f>AVERAGE(F3451:F3650)</f>
        <v/>
      </c>
    </row>
    <row r="3651">
      <c r="C3651" s="539" t="n">
        <v>44747</v>
      </c>
      <c r="D3651" t="n">
        <v>164.75</v>
      </c>
      <c r="E3651" t="n">
        <v>74.77999877929688</v>
      </c>
      <c r="F3651" t="n">
        <v>17.25165367126465</v>
      </c>
      <c r="G3651" t="n">
        <v>76.6551513671875</v>
      </c>
      <c r="H3651">
        <f>AVERAGE(D3452:D3651)</f>
        <v/>
      </c>
      <c r="I3651">
        <f>AVERAGE(E3452:E3651)</f>
        <v/>
      </c>
      <c r="J3651">
        <f>AVERAGE(F3452:F3651)</f>
        <v/>
      </c>
    </row>
    <row r="3652">
      <c r="C3652" s="539" t="n">
        <v>44748</v>
      </c>
      <c r="D3652" t="n">
        <v>162.1399993896484</v>
      </c>
      <c r="E3652" t="n">
        <v>73.66999816894531</v>
      </c>
      <c r="F3652" t="n">
        <v>17.33107566833496</v>
      </c>
      <c r="G3652" t="n">
        <v>76.6551513671875</v>
      </c>
      <c r="H3652">
        <f>AVERAGE(D3453:D3652)</f>
        <v/>
      </c>
      <c r="I3652">
        <f>AVERAGE(E3453:E3652)</f>
        <v/>
      </c>
      <c r="J3652">
        <f>AVERAGE(F3453:F3652)</f>
        <v/>
      </c>
    </row>
    <row r="3653">
      <c r="C3653" s="539" t="n">
        <v>44749</v>
      </c>
      <c r="D3653" t="n">
        <v>162.2299957275391</v>
      </c>
      <c r="E3653" t="n">
        <v>76.55000305175781</v>
      </c>
      <c r="F3653" t="n">
        <v>17.6575756072998</v>
      </c>
      <c r="G3653" t="n">
        <v>76.6551513671875</v>
      </c>
      <c r="H3653">
        <f>AVERAGE(D3454:D3653)</f>
        <v/>
      </c>
      <c r="I3653">
        <f>AVERAGE(E3454:E3653)</f>
        <v/>
      </c>
      <c r="J3653">
        <f>AVERAGE(F3454:F3653)</f>
        <v/>
      </c>
    </row>
    <row r="3654">
      <c r="C3654" s="539" t="n">
        <v>44750</v>
      </c>
      <c r="D3654" t="n">
        <v>162.3000030517578</v>
      </c>
      <c r="E3654" t="n">
        <v>78.54000091552734</v>
      </c>
      <c r="F3654" t="n">
        <v>17.98407745361328</v>
      </c>
      <c r="G3654" t="n">
        <v>76.64678955078125</v>
      </c>
      <c r="H3654">
        <f>AVERAGE(D3455:D3654)</f>
        <v/>
      </c>
      <c r="I3654">
        <f>AVERAGE(E3455:E3654)</f>
        <v/>
      </c>
      <c r="J3654">
        <f>AVERAGE(F3455:F3654)</f>
        <v/>
      </c>
    </row>
    <row r="3655">
      <c r="C3655" s="539" t="n">
        <v>44753</v>
      </c>
      <c r="D3655" t="n">
        <v>161.4299926757812</v>
      </c>
      <c r="E3655" t="n">
        <v>78.23000335693359</v>
      </c>
      <c r="F3655" t="n">
        <v>17.86936187744141</v>
      </c>
      <c r="G3655" t="n">
        <v>76.6551513671875</v>
      </c>
      <c r="H3655">
        <f>AVERAGE(D3456:D3655)</f>
        <v/>
      </c>
      <c r="I3655">
        <f>AVERAGE(E3456:E3655)</f>
        <v/>
      </c>
      <c r="J3655">
        <f>AVERAGE(F3456:F3655)</f>
        <v/>
      </c>
    </row>
    <row r="3656">
      <c r="C3656" s="539" t="n">
        <v>44754</v>
      </c>
      <c r="D3656" t="n">
        <v>160.8300018310547</v>
      </c>
      <c r="E3656" t="n">
        <v>72.80999755859375</v>
      </c>
      <c r="F3656" t="n">
        <v>17.37519645690918</v>
      </c>
      <c r="G3656" t="n">
        <v>76.64678955078125</v>
      </c>
      <c r="H3656">
        <f>AVERAGE(D3457:D3656)</f>
        <v/>
      </c>
      <c r="I3656">
        <f>AVERAGE(E3457:E3656)</f>
        <v/>
      </c>
      <c r="J3656">
        <f>AVERAGE(F3457:F3656)</f>
        <v/>
      </c>
    </row>
    <row r="3657">
      <c r="C3657" s="539" t="n">
        <v>44755</v>
      </c>
      <c r="D3657" t="n">
        <v>161.6000061035156</v>
      </c>
      <c r="E3657" t="n">
        <v>73.19000244140625</v>
      </c>
      <c r="F3657" t="n">
        <v>17.43696594238281</v>
      </c>
      <c r="G3657" t="n">
        <v>76.64678955078125</v>
      </c>
      <c r="H3657">
        <f>AVERAGE(D3458:D3657)</f>
        <v/>
      </c>
      <c r="I3657">
        <f>AVERAGE(E3458:E3657)</f>
        <v/>
      </c>
      <c r="J3657">
        <f>AVERAGE(F3458:F3657)</f>
        <v/>
      </c>
    </row>
    <row r="3658">
      <c r="C3658" s="539" t="n">
        <v>44756</v>
      </c>
      <c r="D3658" t="n">
        <v>159.3300018310547</v>
      </c>
      <c r="E3658" t="n">
        <v>72.84999847412109</v>
      </c>
      <c r="F3658" t="n">
        <v>17.22518348693848</v>
      </c>
      <c r="G3658" t="n">
        <v>76.6551513671875</v>
      </c>
      <c r="H3658">
        <f>AVERAGE(D3459:D3658)</f>
        <v/>
      </c>
      <c r="I3658">
        <f>AVERAGE(E3459:E3658)</f>
        <v/>
      </c>
      <c r="J3658">
        <f>AVERAGE(F3459:F3658)</f>
        <v/>
      </c>
    </row>
    <row r="3659">
      <c r="C3659" s="539" t="n">
        <v>44757</v>
      </c>
      <c r="D3659" t="n">
        <v>159.0099945068359</v>
      </c>
      <c r="E3659" t="n">
        <v>73.73999786376953</v>
      </c>
      <c r="F3659" t="n">
        <v>17.33989906311035</v>
      </c>
      <c r="G3659" t="n">
        <v>76.64678955078125</v>
      </c>
      <c r="H3659">
        <f>AVERAGE(D3460:D3659)</f>
        <v/>
      </c>
      <c r="I3659">
        <f>AVERAGE(E3460:E3659)</f>
        <v/>
      </c>
      <c r="J3659">
        <f>AVERAGE(F3460:F3659)</f>
        <v/>
      </c>
    </row>
    <row r="3660">
      <c r="C3660" s="539" t="n">
        <v>44760</v>
      </c>
      <c r="D3660" t="n">
        <v>159.1600036621094</v>
      </c>
      <c r="E3660" t="n">
        <v>76.80999755859375</v>
      </c>
      <c r="F3660" t="n">
        <v>17.71052169799805</v>
      </c>
      <c r="G3660" t="n">
        <v>76.64678955078125</v>
      </c>
      <c r="H3660">
        <f>AVERAGE(D3461:D3660)</f>
        <v/>
      </c>
      <c r="I3660">
        <f>AVERAGE(E3461:E3660)</f>
        <v/>
      </c>
      <c r="J3660">
        <f>AVERAGE(F3461:F3660)</f>
        <v/>
      </c>
    </row>
    <row r="3661">
      <c r="C3661" s="539" t="n">
        <v>44761</v>
      </c>
      <c r="D3661" t="n">
        <v>159.5399932861328</v>
      </c>
      <c r="E3661" t="n">
        <v>78.05000305175781</v>
      </c>
      <c r="F3661" t="n">
        <v>17.60462951660156</v>
      </c>
      <c r="G3661" t="n">
        <v>76.64678955078125</v>
      </c>
      <c r="H3661">
        <f>AVERAGE(D3462:D3661)</f>
        <v/>
      </c>
      <c r="I3661">
        <f>AVERAGE(E3462:E3661)</f>
        <v/>
      </c>
      <c r="J3661">
        <f>AVERAGE(F3462:F3661)</f>
        <v/>
      </c>
    </row>
    <row r="3662">
      <c r="C3662" s="539" t="n">
        <v>44762</v>
      </c>
      <c r="D3662" t="n">
        <v>158.0399932861328</v>
      </c>
      <c r="E3662" t="n">
        <v>77.63999938964844</v>
      </c>
      <c r="F3662" t="n">
        <v>17.60462951660156</v>
      </c>
      <c r="G3662" t="n">
        <v>76.64678955078125</v>
      </c>
      <c r="H3662">
        <f>AVERAGE(D3463:D3662)</f>
        <v/>
      </c>
      <c r="I3662">
        <f>AVERAGE(E3463:E3662)</f>
        <v/>
      </c>
      <c r="J3662">
        <f>AVERAGE(F3463:F3662)</f>
        <v/>
      </c>
    </row>
    <row r="3663">
      <c r="C3663" s="539" t="n">
        <v>44763</v>
      </c>
      <c r="D3663" t="n">
        <v>160.2700042724609</v>
      </c>
      <c r="E3663" t="n">
        <v>75.48999786376953</v>
      </c>
      <c r="F3663" t="n">
        <v>17.29577827453613</v>
      </c>
      <c r="G3663" t="n">
        <v>76.67189025878906</v>
      </c>
      <c r="H3663">
        <f>AVERAGE(D3464:D3663)</f>
        <v/>
      </c>
      <c r="I3663">
        <f>AVERAGE(E3464:E3663)</f>
        <v/>
      </c>
      <c r="J3663">
        <f>AVERAGE(F3464:F3663)</f>
        <v/>
      </c>
    </row>
    <row r="3664">
      <c r="C3664" s="539" t="n">
        <v>44764</v>
      </c>
      <c r="D3664" t="n">
        <v>160.6699981689453</v>
      </c>
      <c r="E3664" t="n">
        <v>74.52999877929688</v>
      </c>
      <c r="F3664" t="n">
        <v>17.03104400634766</v>
      </c>
      <c r="G3664" t="n">
        <v>76.68029022216797</v>
      </c>
      <c r="H3664">
        <f>AVERAGE(D3465:D3664)</f>
        <v/>
      </c>
      <c r="I3664">
        <f>AVERAGE(E3465:E3664)</f>
        <v/>
      </c>
      <c r="J3664">
        <f>AVERAGE(F3465:F3664)</f>
        <v/>
      </c>
    </row>
    <row r="3665">
      <c r="C3665" s="539" t="n">
        <v>44767</v>
      </c>
      <c r="D3665" t="n">
        <v>160.2299957275391</v>
      </c>
      <c r="E3665" t="n">
        <v>76.22000122070312</v>
      </c>
      <c r="F3665" t="n">
        <v>17.26047897338867</v>
      </c>
      <c r="G3665" t="n">
        <v>76.67189025878906</v>
      </c>
      <c r="H3665">
        <f>AVERAGE(D3466:D3665)</f>
        <v/>
      </c>
      <c r="I3665">
        <f>AVERAGE(E3466:E3665)</f>
        <v/>
      </c>
      <c r="J3665">
        <f>AVERAGE(F3466:F3665)</f>
        <v/>
      </c>
    </row>
    <row r="3666">
      <c r="C3666" s="539" t="n">
        <v>44768</v>
      </c>
      <c r="D3666" t="n">
        <v>160.0399932861328</v>
      </c>
      <c r="E3666" t="n">
        <v>75.16000366210938</v>
      </c>
      <c r="F3666" t="n">
        <v>17.47226333618164</v>
      </c>
      <c r="G3666" t="n">
        <v>76.67189025878906</v>
      </c>
      <c r="H3666">
        <f>AVERAGE(D3467:D3666)</f>
        <v/>
      </c>
      <c r="I3666">
        <f>AVERAGE(E3467:E3666)</f>
        <v/>
      </c>
      <c r="J3666">
        <f>AVERAGE(F3467:F3666)</f>
        <v/>
      </c>
    </row>
    <row r="3667">
      <c r="C3667" s="539" t="n">
        <v>44769</v>
      </c>
      <c r="D3667" t="n">
        <v>161.6699981689453</v>
      </c>
      <c r="E3667" t="n">
        <v>77.87000274658203</v>
      </c>
      <c r="F3667" t="n">
        <v>17.59580612182617</v>
      </c>
      <c r="G3667" t="n">
        <v>76.67189025878906</v>
      </c>
      <c r="H3667">
        <f>AVERAGE(D3468:D3667)</f>
        <v/>
      </c>
      <c r="I3667">
        <f>AVERAGE(E3468:E3667)</f>
        <v/>
      </c>
      <c r="J3667">
        <f>AVERAGE(F3468:F3667)</f>
        <v/>
      </c>
    </row>
    <row r="3668">
      <c r="C3668" s="539" t="n">
        <v>44770</v>
      </c>
      <c r="D3668" t="n">
        <v>163.6399993896484</v>
      </c>
      <c r="E3668" t="n">
        <v>77.12999725341797</v>
      </c>
      <c r="F3668" t="n">
        <v>17.76346969604492</v>
      </c>
      <c r="G3668" t="n">
        <v>76.68029022216797</v>
      </c>
      <c r="H3668">
        <f>AVERAGE(D3469:D3668)</f>
        <v/>
      </c>
      <c r="I3668">
        <f>AVERAGE(E3469:E3668)</f>
        <v/>
      </c>
      <c r="J3668">
        <f>AVERAGE(F3469:F3668)</f>
        <v/>
      </c>
    </row>
    <row r="3669">
      <c r="C3669" s="539" t="n">
        <v>44771</v>
      </c>
      <c r="D3669" t="n">
        <v>164.1000061035156</v>
      </c>
      <c r="E3669" t="n">
        <v>78.05000305175781</v>
      </c>
      <c r="F3669" t="n">
        <v>17.81641387939453</v>
      </c>
      <c r="G3669" t="n">
        <v>76.68869018554688</v>
      </c>
      <c r="H3669">
        <f>AVERAGE(D3470:D3669)</f>
        <v/>
      </c>
      <c r="I3669">
        <f>AVERAGE(E3470:E3669)</f>
        <v/>
      </c>
      <c r="J3669">
        <f>AVERAGE(F3470:F3669)</f>
        <v/>
      </c>
    </row>
    <row r="3670">
      <c r="C3670" s="539" t="n">
        <v>44774</v>
      </c>
      <c r="D3670" t="n">
        <v>165.0299987792969</v>
      </c>
      <c r="E3670" t="n">
        <v>75.12999725341797</v>
      </c>
      <c r="F3670" t="n">
        <v>17.61345481872559</v>
      </c>
      <c r="G3670" t="n">
        <v>76.69455718994141</v>
      </c>
      <c r="H3670">
        <f>AVERAGE(D3471:D3670)</f>
        <v/>
      </c>
      <c r="I3670">
        <f>AVERAGE(E3471:E3670)</f>
        <v/>
      </c>
      <c r="J3670">
        <f>AVERAGE(F3471:F3670)</f>
        <v/>
      </c>
    </row>
    <row r="3671">
      <c r="C3671" s="539" t="n">
        <v>44775</v>
      </c>
      <c r="D3671" t="n">
        <v>164.0500030517578</v>
      </c>
      <c r="E3671" t="n">
        <v>75.93000030517578</v>
      </c>
      <c r="F3671" t="n">
        <v>17.36637115478516</v>
      </c>
      <c r="G3671" t="n">
        <v>76.70295715332031</v>
      </c>
      <c r="H3671">
        <f>AVERAGE(D3472:D3671)</f>
        <v/>
      </c>
      <c r="I3671">
        <f>AVERAGE(E3472:E3671)</f>
        <v/>
      </c>
      <c r="J3671">
        <f>AVERAGE(F3472:F3671)</f>
        <v/>
      </c>
    </row>
    <row r="3672">
      <c r="C3672" s="539" t="n">
        <v>44776</v>
      </c>
      <c r="D3672" t="n">
        <v>164.4499969482422</v>
      </c>
      <c r="E3672" t="n">
        <v>73.52999877929688</v>
      </c>
      <c r="F3672" t="n">
        <v>17.43696594238281</v>
      </c>
      <c r="G3672" t="n">
        <v>76.69455718994141</v>
      </c>
      <c r="H3672">
        <f>AVERAGE(D3473:D3672)</f>
        <v/>
      </c>
      <c r="I3672">
        <f>AVERAGE(E3473:E3672)</f>
        <v/>
      </c>
      <c r="J3672">
        <f>AVERAGE(F3473:F3672)</f>
        <v/>
      </c>
    </row>
    <row r="3673">
      <c r="C3673" s="539" t="n">
        <v>44777</v>
      </c>
      <c r="D3673" t="n">
        <v>167.1699981689453</v>
      </c>
      <c r="E3673" t="n">
        <v>71.52999877929688</v>
      </c>
      <c r="F3673" t="n">
        <v>17.70169830322266</v>
      </c>
      <c r="G3673" t="n">
        <v>76.71133422851562</v>
      </c>
      <c r="H3673">
        <f>AVERAGE(D3474:D3673)</f>
        <v/>
      </c>
      <c r="I3673">
        <f>AVERAGE(E3474:E3673)</f>
        <v/>
      </c>
      <c r="J3673">
        <f>AVERAGE(F3474:F3673)</f>
        <v/>
      </c>
    </row>
    <row r="3674">
      <c r="C3674" s="539" t="n">
        <v>44778</v>
      </c>
      <c r="D3674" t="n">
        <v>165.2899932861328</v>
      </c>
      <c r="E3674" t="n">
        <v>71.54000091552734</v>
      </c>
      <c r="F3674" t="n">
        <v>17.62227821350098</v>
      </c>
      <c r="G3674" t="n">
        <v>76.72815704345703</v>
      </c>
      <c r="H3674">
        <f>AVERAGE(D3475:D3674)</f>
        <v/>
      </c>
      <c r="I3674">
        <f>AVERAGE(E3475:E3674)</f>
        <v/>
      </c>
      <c r="J3674">
        <f>AVERAGE(F3475:F3674)</f>
        <v/>
      </c>
    </row>
    <row r="3675">
      <c r="C3675" s="539" t="n">
        <v>44781</v>
      </c>
      <c r="D3675" t="n">
        <v>166.6900024414062</v>
      </c>
      <c r="E3675" t="n">
        <v>73.54000091552734</v>
      </c>
      <c r="F3675" t="n">
        <v>17.71934700012207</v>
      </c>
      <c r="G3675" t="n">
        <v>76.73652648925781</v>
      </c>
      <c r="H3675">
        <f>AVERAGE(D3476:D3675)</f>
        <v/>
      </c>
      <c r="I3675">
        <f>AVERAGE(E3476:E3675)</f>
        <v/>
      </c>
      <c r="J3675">
        <f>AVERAGE(F3476:F3675)</f>
        <v/>
      </c>
    </row>
    <row r="3676">
      <c r="C3676" s="539" t="n">
        <v>44782</v>
      </c>
      <c r="D3676" t="n">
        <v>167.1999969482422</v>
      </c>
      <c r="E3676" t="n">
        <v>73.44999694824219</v>
      </c>
      <c r="F3676" t="n">
        <v>17.78994178771973</v>
      </c>
      <c r="G3676" t="n">
        <v>76.72815704345703</v>
      </c>
      <c r="H3676">
        <f>AVERAGE(D3477:D3676)</f>
        <v/>
      </c>
      <c r="I3676">
        <f>AVERAGE(E3477:E3676)</f>
        <v/>
      </c>
      <c r="J3676">
        <f>AVERAGE(F3477:F3676)</f>
        <v/>
      </c>
    </row>
    <row r="3677">
      <c r="C3677" s="539" t="n">
        <v>44783</v>
      </c>
      <c r="D3677" t="n">
        <v>166.7799987792969</v>
      </c>
      <c r="E3677" t="n">
        <v>74.31999969482422</v>
      </c>
      <c r="F3677" t="n">
        <v>18.02820014953613</v>
      </c>
      <c r="G3677" t="n">
        <v>76.73652648925781</v>
      </c>
      <c r="H3677">
        <f>AVERAGE(D3478:D3677)</f>
        <v/>
      </c>
      <c r="I3677">
        <f>AVERAGE(E3478:E3677)</f>
        <v/>
      </c>
      <c r="J3677">
        <f>AVERAGE(F3478:F3677)</f>
        <v/>
      </c>
    </row>
    <row r="3678">
      <c r="C3678" s="539" t="n">
        <v>44784</v>
      </c>
      <c r="D3678" t="n">
        <v>166.3399963378906</v>
      </c>
      <c r="E3678" t="n">
        <v>76.27999877929688</v>
      </c>
      <c r="F3678" t="n">
        <v>18.19586372375488</v>
      </c>
      <c r="G3678" t="n">
        <v>76.73652648925781</v>
      </c>
      <c r="H3678">
        <f>AVERAGE(D3479:D3678)</f>
        <v/>
      </c>
      <c r="I3678">
        <f>AVERAGE(E3479:E3678)</f>
        <v/>
      </c>
      <c r="J3678">
        <f>AVERAGE(F3479:F3678)</f>
        <v/>
      </c>
    </row>
    <row r="3679">
      <c r="C3679" s="539" t="n">
        <v>44785</v>
      </c>
      <c r="D3679" t="n">
        <v>167.8699951171875</v>
      </c>
      <c r="E3679" t="n">
        <v>74.98000335693359</v>
      </c>
      <c r="F3679" t="n">
        <v>18.23116111755371</v>
      </c>
      <c r="G3679" t="n">
        <v>76.75328826904297</v>
      </c>
      <c r="H3679">
        <f>AVERAGE(D3480:D3679)</f>
        <v/>
      </c>
      <c r="I3679">
        <f>AVERAGE(E3480:E3679)</f>
        <v/>
      </c>
      <c r="J3679">
        <f>AVERAGE(F3480:F3679)</f>
        <v/>
      </c>
    </row>
    <row r="3680">
      <c r="C3680" s="539" t="n">
        <v>44788</v>
      </c>
      <c r="D3680" t="n">
        <v>165.7100067138672</v>
      </c>
      <c r="E3680" t="n">
        <v>72.87999725341797</v>
      </c>
      <c r="F3680" t="n">
        <v>18.10762023925781</v>
      </c>
      <c r="G3680" t="n">
        <v>76.74491882324219</v>
      </c>
      <c r="H3680">
        <f>AVERAGE(D3481:D3680)</f>
        <v/>
      </c>
      <c r="I3680">
        <f>AVERAGE(E3481:E3680)</f>
        <v/>
      </c>
      <c r="J3680">
        <f>AVERAGE(F3481:F3680)</f>
        <v/>
      </c>
    </row>
    <row r="3681">
      <c r="C3681" s="539" t="n">
        <v>44789</v>
      </c>
      <c r="D3681" t="n">
        <v>165.4199981689453</v>
      </c>
      <c r="E3681" t="n">
        <v>71.23999786376953</v>
      </c>
      <c r="F3681" t="n">
        <v>17.83406257629395</v>
      </c>
      <c r="G3681" t="n">
        <v>76.75328826904297</v>
      </c>
      <c r="H3681">
        <f>AVERAGE(D3482:D3681)</f>
        <v/>
      </c>
      <c r="I3681">
        <f>AVERAGE(E3482:E3681)</f>
        <v/>
      </c>
      <c r="J3681">
        <f>AVERAGE(F3482:F3681)</f>
        <v/>
      </c>
    </row>
    <row r="3682">
      <c r="C3682" s="539" t="n">
        <v>44790</v>
      </c>
      <c r="D3682" t="n">
        <v>164.3500061035156</v>
      </c>
      <c r="E3682" t="n">
        <v>72.05000305175781</v>
      </c>
      <c r="F3682" t="n">
        <v>17.83406257629395</v>
      </c>
      <c r="G3682" t="n">
        <v>76.75328826904297</v>
      </c>
      <c r="H3682">
        <f>AVERAGE(D3483:D3682)</f>
        <v/>
      </c>
      <c r="I3682">
        <f>AVERAGE(E3483:E3682)</f>
        <v/>
      </c>
      <c r="J3682">
        <f>AVERAGE(F3483:F3682)</f>
        <v/>
      </c>
    </row>
    <row r="3683">
      <c r="C3683" s="539" t="n">
        <v>44791</v>
      </c>
      <c r="D3683" t="n">
        <v>163.9199981689453</v>
      </c>
      <c r="E3683" t="n">
        <v>74.20999908447266</v>
      </c>
      <c r="F3683" t="n">
        <v>17.56933212280273</v>
      </c>
      <c r="G3683" t="n">
        <v>76.78689575195312</v>
      </c>
      <c r="H3683">
        <f>AVERAGE(D3484:D3683)</f>
        <v/>
      </c>
      <c r="I3683">
        <f>AVERAGE(E3484:E3683)</f>
        <v/>
      </c>
      <c r="J3683">
        <f>AVERAGE(F3484:F3683)</f>
        <v/>
      </c>
    </row>
    <row r="3684">
      <c r="C3684" s="539" t="n">
        <v>44792</v>
      </c>
      <c r="D3684" t="n">
        <v>162.7200012207031</v>
      </c>
      <c r="E3684" t="n">
        <v>74.05999755859375</v>
      </c>
      <c r="F3684" t="n">
        <v>17.73699569702148</v>
      </c>
      <c r="G3684" t="n">
        <v>76.78689575195312</v>
      </c>
      <c r="H3684">
        <f>AVERAGE(D3485:D3684)</f>
        <v/>
      </c>
      <c r="I3684">
        <f>AVERAGE(E3485:E3684)</f>
        <v/>
      </c>
      <c r="J3684">
        <f>AVERAGE(F3485:F3684)</f>
        <v/>
      </c>
    </row>
    <row r="3685">
      <c r="C3685" s="539" t="n">
        <v>44795</v>
      </c>
      <c r="D3685" t="n">
        <v>161.6399993896484</v>
      </c>
      <c r="E3685" t="n">
        <v>74.68000030517578</v>
      </c>
      <c r="F3685" t="n">
        <v>17.8781852722168</v>
      </c>
      <c r="G3685" t="n">
        <v>76.7952880859375</v>
      </c>
      <c r="H3685">
        <f>AVERAGE(D3486:D3685)</f>
        <v/>
      </c>
      <c r="I3685">
        <f>AVERAGE(E3486:E3685)</f>
        <v/>
      </c>
      <c r="J3685">
        <f>AVERAGE(F3486:F3685)</f>
        <v/>
      </c>
    </row>
    <row r="3686">
      <c r="C3686" s="539" t="n">
        <v>44796</v>
      </c>
      <c r="D3686" t="n">
        <v>162.7700042724609</v>
      </c>
      <c r="E3686" t="n">
        <v>76.83000183105469</v>
      </c>
      <c r="F3686" t="n">
        <v>18.13409042358398</v>
      </c>
      <c r="G3686" t="n">
        <v>76.77848052978516</v>
      </c>
      <c r="H3686">
        <f>AVERAGE(D3487:D3686)</f>
        <v/>
      </c>
      <c r="I3686">
        <f>AVERAGE(E3487:E3686)</f>
        <v/>
      </c>
      <c r="J3686">
        <f>AVERAGE(F3487:F3686)</f>
        <v/>
      </c>
    </row>
    <row r="3687">
      <c r="C3687" s="539" t="n">
        <v>44797</v>
      </c>
      <c r="D3687" t="n">
        <v>163.25</v>
      </c>
      <c r="E3687" t="n">
        <v>78.04000091552734</v>
      </c>
      <c r="F3687" t="n">
        <v>18.20468711853027</v>
      </c>
      <c r="G3687" t="n">
        <v>76.80367279052734</v>
      </c>
      <c r="H3687">
        <f>AVERAGE(D3488:D3687)</f>
        <v/>
      </c>
      <c r="I3687">
        <f>AVERAGE(E3488:E3687)</f>
        <v/>
      </c>
      <c r="J3687">
        <f>AVERAGE(F3488:F3687)</f>
        <v/>
      </c>
    </row>
    <row r="3688">
      <c r="C3688" s="539" t="n">
        <v>44798</v>
      </c>
      <c r="D3688" t="n">
        <v>163.75</v>
      </c>
      <c r="E3688" t="n">
        <v>76.5</v>
      </c>
      <c r="F3688" t="n">
        <v>18.0899715423584</v>
      </c>
      <c r="G3688" t="n">
        <v>76.81206512451172</v>
      </c>
      <c r="H3688">
        <f>AVERAGE(D3489:D3688)</f>
        <v/>
      </c>
      <c r="I3688">
        <f>AVERAGE(E3489:E3688)</f>
        <v/>
      </c>
      <c r="J3688">
        <f>AVERAGE(F3489:F3688)</f>
        <v/>
      </c>
    </row>
    <row r="3689">
      <c r="C3689" s="539" t="n">
        <v>44799</v>
      </c>
      <c r="D3689" t="n">
        <v>161.7599945068359</v>
      </c>
      <c r="E3689" t="n">
        <v>75.84999847412109</v>
      </c>
      <c r="F3689" t="n">
        <v>18.31940460205078</v>
      </c>
      <c r="G3689" t="n">
        <v>76.81206512451172</v>
      </c>
      <c r="H3689">
        <f>AVERAGE(D3490:D3689)</f>
        <v/>
      </c>
      <c r="I3689">
        <f>AVERAGE(E3490:E3689)</f>
        <v/>
      </c>
      <c r="J3689">
        <f>AVERAGE(F3490:F3689)</f>
        <v/>
      </c>
    </row>
    <row r="3690">
      <c r="C3690" s="539" t="n">
        <v>44802</v>
      </c>
      <c r="D3690" t="n">
        <v>161.8600006103516</v>
      </c>
      <c r="E3690" t="n">
        <v>78.69000244140625</v>
      </c>
      <c r="F3690" t="n">
        <v>18.34587860107422</v>
      </c>
      <c r="G3690" t="n">
        <v>76.81206512451172</v>
      </c>
      <c r="H3690">
        <f>AVERAGE(D3491:D3690)</f>
        <v/>
      </c>
      <c r="I3690">
        <f>AVERAGE(E3491:E3690)</f>
        <v/>
      </c>
      <c r="J3690">
        <f>AVERAGE(F3491:F3690)</f>
        <v/>
      </c>
    </row>
    <row r="3691">
      <c r="C3691" s="539" t="n">
        <v>44803</v>
      </c>
      <c r="D3691" t="n">
        <v>160.5099945068359</v>
      </c>
      <c r="E3691" t="n">
        <v>75.47000122070312</v>
      </c>
      <c r="F3691" t="n">
        <v>18.26645660400391</v>
      </c>
      <c r="G3691" t="n">
        <v>76.82044982910156</v>
      </c>
      <c r="H3691">
        <f>AVERAGE(D3492:D3691)</f>
        <v/>
      </c>
      <c r="I3691">
        <f>AVERAGE(E3492:E3691)</f>
        <v/>
      </c>
      <c r="J3691">
        <f>AVERAGE(F3492:F3691)</f>
        <v/>
      </c>
    </row>
    <row r="3692">
      <c r="C3692" s="539" t="n">
        <v>44804</v>
      </c>
      <c r="D3692" t="n">
        <v>159.2700042724609</v>
      </c>
      <c r="E3692" t="n">
        <v>73.11000061035156</v>
      </c>
      <c r="F3692" t="n">
        <v>18.20468711853027</v>
      </c>
      <c r="G3692" t="n">
        <v>76.83724212646484</v>
      </c>
      <c r="H3692">
        <f>AVERAGE(D3493:D3692)</f>
        <v/>
      </c>
      <c r="I3692">
        <f>AVERAGE(E3493:E3692)</f>
        <v/>
      </c>
      <c r="J3692">
        <f>AVERAGE(F3493:F3692)</f>
        <v/>
      </c>
    </row>
    <row r="3693">
      <c r="C3693" s="539" t="n">
        <v>44805</v>
      </c>
      <c r="D3693" t="n">
        <v>157.8699951171875</v>
      </c>
      <c r="E3693" t="n">
        <v>70.94999694824219</v>
      </c>
      <c r="F3693" t="n">
        <v>17.92230796813965</v>
      </c>
      <c r="G3693" t="n">
        <v>76.85321807861328</v>
      </c>
      <c r="H3693">
        <f>AVERAGE(D3494:D3693)</f>
        <v/>
      </c>
      <c r="I3693">
        <f>AVERAGE(E3494:E3693)</f>
        <v/>
      </c>
      <c r="J3693">
        <f>AVERAGE(F3494:F3693)</f>
        <v/>
      </c>
    </row>
    <row r="3694">
      <c r="C3694" s="539" t="n">
        <v>44806</v>
      </c>
      <c r="D3694" t="n">
        <v>159.2599945068359</v>
      </c>
      <c r="E3694" t="n">
        <v>71.43000030517578</v>
      </c>
      <c r="F3694" t="n">
        <v>17.98407745361328</v>
      </c>
      <c r="G3694" t="n">
        <v>76.86162567138672</v>
      </c>
      <c r="H3694">
        <f>AVERAGE(D3495:D3694)</f>
        <v/>
      </c>
      <c r="I3694">
        <f>AVERAGE(E3495:E3694)</f>
        <v/>
      </c>
      <c r="J3694">
        <f>AVERAGE(F3495:F3694)</f>
        <v/>
      </c>
    </row>
    <row r="3695">
      <c r="C3695" s="539" t="n">
        <v>44810</v>
      </c>
      <c r="D3695" t="n">
        <v>158.3300018310547</v>
      </c>
      <c r="E3695" t="n">
        <v>71.41999816894531</v>
      </c>
      <c r="F3695" t="n">
        <v>18.02820014953613</v>
      </c>
      <c r="G3695" t="n">
        <v>76.86162567138672</v>
      </c>
      <c r="H3695">
        <f>AVERAGE(D3496:D3695)</f>
        <v/>
      </c>
      <c r="I3695">
        <f>AVERAGE(E3496:E3695)</f>
        <v/>
      </c>
      <c r="J3695">
        <f>AVERAGE(F3496:F3695)</f>
        <v/>
      </c>
    </row>
    <row r="3696">
      <c r="C3696" s="539" t="n">
        <v>44811</v>
      </c>
      <c r="D3696" t="n">
        <v>159.9400024414062</v>
      </c>
      <c r="E3696" t="n">
        <v>67.62000274658203</v>
      </c>
      <c r="F3696" t="n">
        <v>17.91348266601562</v>
      </c>
      <c r="G3696" t="n">
        <v>76.87002563476562</v>
      </c>
      <c r="H3696">
        <f>AVERAGE(D3497:D3696)</f>
        <v/>
      </c>
      <c r="I3696">
        <f>AVERAGE(E3497:E3696)</f>
        <v/>
      </c>
      <c r="J3696">
        <f>AVERAGE(F3497:F3696)</f>
        <v/>
      </c>
    </row>
    <row r="3697">
      <c r="C3697" s="539" t="n">
        <v>44812</v>
      </c>
      <c r="D3697" t="n">
        <v>158.9799957275391</v>
      </c>
      <c r="E3697" t="n">
        <v>68.08999633789062</v>
      </c>
      <c r="F3697" t="n">
        <v>17.90466117858887</v>
      </c>
      <c r="G3697" t="n">
        <v>76.88684844970703</v>
      </c>
      <c r="H3697">
        <f>AVERAGE(D3498:D3697)</f>
        <v/>
      </c>
      <c r="I3697">
        <f>AVERAGE(E3498:E3697)</f>
        <v/>
      </c>
      <c r="J3697">
        <f>AVERAGE(F3498:F3697)</f>
        <v/>
      </c>
    </row>
    <row r="3698">
      <c r="C3698" s="539" t="n">
        <v>44813</v>
      </c>
      <c r="D3698" t="n">
        <v>159.8200073242188</v>
      </c>
      <c r="E3698" t="n">
        <v>71.09999847412109</v>
      </c>
      <c r="F3698" t="n">
        <v>18.23998641967773</v>
      </c>
      <c r="G3698" t="n">
        <v>76.88684844970703</v>
      </c>
      <c r="H3698">
        <f>AVERAGE(D3499:D3698)</f>
        <v/>
      </c>
      <c r="I3698">
        <f>AVERAGE(E3499:E3698)</f>
        <v/>
      </c>
      <c r="J3698">
        <f>AVERAGE(F3499:F3698)</f>
        <v/>
      </c>
    </row>
    <row r="3699">
      <c r="C3699" s="539" t="n">
        <v>44816</v>
      </c>
      <c r="D3699" t="n">
        <v>160.6300048828125</v>
      </c>
      <c r="E3699" t="n">
        <v>72.37000274658203</v>
      </c>
      <c r="F3699" t="n">
        <v>18.363525390625</v>
      </c>
      <c r="G3699" t="n">
        <v>76.87843322753906</v>
      </c>
      <c r="H3699">
        <f>AVERAGE(D3500:D3699)</f>
        <v/>
      </c>
      <c r="I3699">
        <f>AVERAGE(E3500:E3699)</f>
        <v/>
      </c>
      <c r="J3699">
        <f>AVERAGE(F3500:F3699)</f>
        <v/>
      </c>
    </row>
    <row r="3700">
      <c r="C3700" s="539" t="n">
        <v>44817</v>
      </c>
      <c r="D3700" t="n">
        <v>158.5399932861328</v>
      </c>
      <c r="E3700" t="n">
        <v>72.01000213623047</v>
      </c>
      <c r="F3700" t="n">
        <v>18.24880981445312</v>
      </c>
      <c r="G3700" t="n">
        <v>76.89527130126953</v>
      </c>
      <c r="H3700">
        <f>AVERAGE(D3501:D3700)</f>
        <v/>
      </c>
      <c r="I3700">
        <f>AVERAGE(E3501:E3700)</f>
        <v/>
      </c>
      <c r="J3700">
        <f>AVERAGE(F3501:F3700)</f>
        <v/>
      </c>
    </row>
    <row r="3701">
      <c r="C3701" s="539" t="n">
        <v>44818</v>
      </c>
      <c r="D3701" t="n">
        <v>157.9299926757812</v>
      </c>
      <c r="E3701" t="n">
        <v>72.73000335693359</v>
      </c>
      <c r="F3701" t="n">
        <v>18.13409042358398</v>
      </c>
      <c r="G3701" t="n">
        <v>76.89527130126953</v>
      </c>
      <c r="H3701">
        <f>AVERAGE(D3502:D3701)</f>
        <v/>
      </c>
      <c r="I3701">
        <f>AVERAGE(E3502:E3701)</f>
        <v/>
      </c>
      <c r="J3701">
        <f>AVERAGE(F3502:F3701)</f>
        <v/>
      </c>
    </row>
    <row r="3702">
      <c r="C3702" s="539" t="n">
        <v>44819</v>
      </c>
      <c r="D3702" t="n">
        <v>154.9799957275391</v>
      </c>
      <c r="E3702" t="n">
        <v>69.76000213623047</v>
      </c>
      <c r="F3702" t="n">
        <v>18.12526893615723</v>
      </c>
      <c r="G3702" t="n">
        <v>76.92045593261719</v>
      </c>
      <c r="H3702">
        <f>AVERAGE(D3503:D3702)</f>
        <v/>
      </c>
      <c r="I3702">
        <f>AVERAGE(E3503:E3702)</f>
        <v/>
      </c>
      <c r="J3702">
        <f>AVERAGE(F3503:F3702)</f>
        <v/>
      </c>
    </row>
    <row r="3703">
      <c r="C3703" s="539" t="n">
        <v>44820</v>
      </c>
      <c r="D3703" t="n">
        <v>155.8399963378906</v>
      </c>
      <c r="E3703" t="n">
        <v>69.90000152587891</v>
      </c>
      <c r="F3703" t="n">
        <v>18.10762023925781</v>
      </c>
      <c r="G3703" t="n">
        <v>76.92045593261719</v>
      </c>
      <c r="H3703">
        <f>AVERAGE(D3504:D3703)</f>
        <v/>
      </c>
      <c r="I3703">
        <f>AVERAGE(E3504:E3703)</f>
        <v/>
      </c>
      <c r="J3703">
        <f>AVERAGE(F3504:F3703)</f>
        <v/>
      </c>
    </row>
    <row r="3704">
      <c r="C3704" s="539" t="n">
        <v>44823</v>
      </c>
      <c r="D3704" t="n">
        <v>155.9600067138672</v>
      </c>
      <c r="E3704" t="n">
        <v>70.05000305175781</v>
      </c>
      <c r="F3704" t="n">
        <v>18.10762023925781</v>
      </c>
      <c r="G3704" t="n">
        <v>76.92045593261719</v>
      </c>
      <c r="H3704">
        <f>AVERAGE(D3505:D3704)</f>
        <v/>
      </c>
      <c r="I3704">
        <f>AVERAGE(E3505:E3704)</f>
        <v/>
      </c>
      <c r="J3704">
        <f>AVERAGE(F3505:F3704)</f>
        <v/>
      </c>
    </row>
    <row r="3705">
      <c r="C3705" s="539" t="n">
        <v>44824</v>
      </c>
      <c r="D3705" t="n">
        <v>155.0700073242188</v>
      </c>
      <c r="E3705" t="n">
        <v>69.22000122070312</v>
      </c>
      <c r="F3705" t="n">
        <v>18.34587860107422</v>
      </c>
      <c r="G3705" t="n">
        <v>76.91206359863281</v>
      </c>
      <c r="H3705">
        <f>AVERAGE(D3506:D3705)</f>
        <v/>
      </c>
      <c r="I3705">
        <f>AVERAGE(E3506:E3705)</f>
        <v/>
      </c>
      <c r="J3705">
        <f>AVERAGE(F3506:F3705)</f>
        <v/>
      </c>
    </row>
    <row r="3706">
      <c r="C3706" s="539" t="n">
        <v>44825</v>
      </c>
      <c r="D3706" t="n">
        <v>155.7899932861328</v>
      </c>
      <c r="E3706" t="n">
        <v>68.68000030517578</v>
      </c>
      <c r="F3706" t="n">
        <v>18.22233581542969</v>
      </c>
      <c r="G3706" t="n">
        <v>76.92884826660156</v>
      </c>
      <c r="H3706">
        <f>AVERAGE(D3507:D3706)</f>
        <v/>
      </c>
      <c r="I3706">
        <f>AVERAGE(E3507:E3706)</f>
        <v/>
      </c>
      <c r="J3706">
        <f>AVERAGE(F3507:F3706)</f>
        <v/>
      </c>
    </row>
    <row r="3707">
      <c r="C3707" s="539" t="n">
        <v>44826</v>
      </c>
      <c r="D3707" t="n">
        <v>155.6999969482422</v>
      </c>
      <c r="E3707" t="n">
        <v>68.97000122070312</v>
      </c>
      <c r="F3707" t="n">
        <v>18.23116111755371</v>
      </c>
      <c r="G3707" t="n">
        <v>76.96250152587891</v>
      </c>
      <c r="H3707">
        <f>AVERAGE(D3508:D3707)</f>
        <v/>
      </c>
      <c r="I3707">
        <f>AVERAGE(E3508:E3707)</f>
        <v/>
      </c>
      <c r="J3707">
        <f>AVERAGE(F3508:F3707)</f>
        <v/>
      </c>
    </row>
    <row r="3708">
      <c r="C3708" s="539" t="n">
        <v>44827</v>
      </c>
      <c r="D3708" t="n">
        <v>153.0099945068359</v>
      </c>
      <c r="E3708" t="n">
        <v>65.31999969482422</v>
      </c>
      <c r="F3708" t="n">
        <v>17.8781852722168</v>
      </c>
      <c r="G3708" t="n">
        <v>76.96250152587891</v>
      </c>
      <c r="H3708">
        <f>AVERAGE(D3509:D3708)</f>
        <v/>
      </c>
      <c r="I3708">
        <f>AVERAGE(E3509:E3708)</f>
        <v/>
      </c>
      <c r="J3708">
        <f>AVERAGE(F3509:F3708)</f>
        <v/>
      </c>
    </row>
    <row r="3709">
      <c r="C3709" s="539" t="n">
        <v>44830</v>
      </c>
      <c r="D3709" t="n">
        <v>151.2299957275391</v>
      </c>
      <c r="E3709" t="n">
        <v>63.20000076293945</v>
      </c>
      <c r="F3709" t="n">
        <v>17.58698272705078</v>
      </c>
      <c r="G3709" t="n">
        <v>76.94570159912109</v>
      </c>
      <c r="H3709">
        <f>AVERAGE(D3510:D3709)</f>
        <v/>
      </c>
      <c r="I3709">
        <f>AVERAGE(E3510:E3709)</f>
        <v/>
      </c>
      <c r="J3709">
        <f>AVERAGE(F3510:F3709)</f>
        <v/>
      </c>
    </row>
    <row r="3710">
      <c r="C3710" s="539" t="n">
        <v>44831</v>
      </c>
      <c r="D3710" t="n">
        <v>151.5399932861328</v>
      </c>
      <c r="E3710" t="n">
        <v>64.41999816894531</v>
      </c>
      <c r="F3710" t="n">
        <v>17.62227821350098</v>
      </c>
      <c r="G3710" t="n">
        <v>76.97088623046875</v>
      </c>
      <c r="H3710">
        <f>AVERAGE(D3511:D3710)</f>
        <v/>
      </c>
      <c r="I3710">
        <f>AVERAGE(E3511:E3710)</f>
        <v/>
      </c>
      <c r="J3710">
        <f>AVERAGE(F3511:F3710)</f>
        <v/>
      </c>
    </row>
    <row r="3711">
      <c r="C3711" s="539" t="n">
        <v>44832</v>
      </c>
      <c r="D3711" t="n">
        <v>154.6900024414062</v>
      </c>
      <c r="E3711" t="n">
        <v>67.12999725341797</v>
      </c>
      <c r="F3711" t="n">
        <v>17.77229309082031</v>
      </c>
      <c r="G3711" t="n">
        <v>76.97932434082031</v>
      </c>
      <c r="H3711">
        <f>AVERAGE(D3512:D3711)</f>
        <v/>
      </c>
      <c r="I3711">
        <f>AVERAGE(E3512:E3711)</f>
        <v/>
      </c>
      <c r="J3711">
        <f>AVERAGE(F3512:F3711)</f>
        <v/>
      </c>
    </row>
    <row r="3712">
      <c r="C3712" s="539" t="n">
        <v>44833</v>
      </c>
      <c r="D3712" t="n">
        <v>154.6600036621094</v>
      </c>
      <c r="E3712" t="n">
        <v>66.76999664306641</v>
      </c>
      <c r="F3712" t="n">
        <v>17.78111839294434</v>
      </c>
      <c r="G3712" t="n">
        <v>76.99609375</v>
      </c>
      <c r="H3712">
        <f>AVERAGE(D3513:D3712)</f>
        <v/>
      </c>
      <c r="I3712">
        <f>AVERAGE(E3513:E3712)</f>
        <v/>
      </c>
      <c r="J3712">
        <f>AVERAGE(F3513:F3712)</f>
        <v/>
      </c>
    </row>
    <row r="3713">
      <c r="C3713" s="539" t="n">
        <v>44834</v>
      </c>
      <c r="D3713" t="n">
        <v>154.6699981689453</v>
      </c>
      <c r="E3713" t="n">
        <v>65.27999877929688</v>
      </c>
      <c r="F3713" t="n">
        <v>17.66640090942383</v>
      </c>
      <c r="G3713" t="n">
        <v>76.99609375</v>
      </c>
      <c r="H3713">
        <f>AVERAGE(D3514:D3713)</f>
        <v/>
      </c>
      <c r="I3713">
        <f>AVERAGE(E3514:E3713)</f>
        <v/>
      </c>
      <c r="J3713">
        <f>AVERAGE(F3514:F3713)</f>
        <v/>
      </c>
    </row>
    <row r="3714">
      <c r="C3714" s="539" t="n">
        <v>44837</v>
      </c>
      <c r="D3714" t="n">
        <v>158.4299926757812</v>
      </c>
      <c r="E3714" t="n">
        <v>67.88999938964844</v>
      </c>
      <c r="F3714" t="n">
        <v>17.70169830322266</v>
      </c>
      <c r="G3714" t="n">
        <v>76.97505950927734</v>
      </c>
      <c r="H3714">
        <f>AVERAGE(D3515:D3714)</f>
        <v/>
      </c>
      <c r="I3714">
        <f>AVERAGE(E3515:E3714)</f>
        <v/>
      </c>
      <c r="J3714">
        <f>AVERAGE(F3515:F3714)</f>
        <v/>
      </c>
    </row>
    <row r="3715">
      <c r="C3715" s="539" t="n">
        <v>44838</v>
      </c>
      <c r="D3715" t="n">
        <v>160.6999969482422</v>
      </c>
      <c r="E3715" t="n">
        <v>70.27999877929688</v>
      </c>
      <c r="F3715" t="n">
        <v>17.7546443939209</v>
      </c>
      <c r="G3715" t="n">
        <v>77.00032043457031</v>
      </c>
      <c r="H3715">
        <f>AVERAGE(D3516:D3715)</f>
        <v/>
      </c>
      <c r="I3715">
        <f>AVERAGE(E3516:E3715)</f>
        <v/>
      </c>
      <c r="J3715">
        <f>AVERAGE(F3516:F3715)</f>
        <v/>
      </c>
    </row>
    <row r="3716">
      <c r="C3716" s="539" t="n">
        <v>44839</v>
      </c>
      <c r="D3716" t="n">
        <v>159.8099975585938</v>
      </c>
      <c r="E3716" t="n">
        <v>71.94000244140625</v>
      </c>
      <c r="F3716" t="n">
        <v>17.86053657531738</v>
      </c>
      <c r="G3716" t="n">
        <v>77.00032043457031</v>
      </c>
      <c r="H3716">
        <f>AVERAGE(D3517:D3716)</f>
        <v/>
      </c>
      <c r="I3716">
        <f>AVERAGE(E3517:E3716)</f>
        <v/>
      </c>
      <c r="J3716">
        <f>AVERAGE(F3517:F3716)</f>
        <v/>
      </c>
    </row>
    <row r="3717">
      <c r="C3717" s="539" t="n">
        <v>44840</v>
      </c>
      <c r="D3717" t="n">
        <v>159.6300048828125</v>
      </c>
      <c r="E3717" t="n">
        <v>72.98999786376953</v>
      </c>
      <c r="F3717" t="n">
        <v>17.78111839294434</v>
      </c>
      <c r="G3717" t="n">
        <v>77.01716613769531</v>
      </c>
      <c r="H3717">
        <f>AVERAGE(D3518:D3717)</f>
        <v/>
      </c>
      <c r="I3717">
        <f>AVERAGE(E3518:E3717)</f>
        <v/>
      </c>
      <c r="J3717">
        <f>AVERAGE(F3518:F3717)</f>
        <v/>
      </c>
    </row>
    <row r="3718">
      <c r="C3718" s="539" t="n">
        <v>44841</v>
      </c>
      <c r="D3718" t="n">
        <v>157.8800048828125</v>
      </c>
      <c r="E3718" t="n">
        <v>75.09999847412109</v>
      </c>
      <c r="F3718" t="n">
        <v>17.80759048461914</v>
      </c>
      <c r="G3718" t="n">
        <v>77.01716613769531</v>
      </c>
      <c r="H3718">
        <f>AVERAGE(D3519:D3718)</f>
        <v/>
      </c>
      <c r="I3718">
        <f>AVERAGE(E3519:E3718)</f>
        <v/>
      </c>
      <c r="J3718">
        <f>AVERAGE(F3519:F3718)</f>
        <v/>
      </c>
    </row>
    <row r="3719">
      <c r="C3719" s="539" t="n">
        <v>44844</v>
      </c>
      <c r="D3719" t="n">
        <v>155.4799957275391</v>
      </c>
      <c r="E3719" t="n">
        <v>73.77999877929688</v>
      </c>
      <c r="F3719" t="n">
        <v>18.01937675476074</v>
      </c>
      <c r="G3719" t="n">
        <v>77.02561187744141</v>
      </c>
      <c r="H3719">
        <f>AVERAGE(D3520:D3719)</f>
        <v/>
      </c>
      <c r="I3719">
        <f>AVERAGE(E3520:E3719)</f>
        <v/>
      </c>
      <c r="J3719">
        <f>AVERAGE(F3520:F3719)</f>
        <v/>
      </c>
    </row>
    <row r="3720">
      <c r="C3720" s="539" t="n">
        <v>44845</v>
      </c>
      <c r="D3720" t="n">
        <v>155.1600036621094</v>
      </c>
      <c r="E3720" t="n">
        <v>71.75</v>
      </c>
      <c r="F3720" t="n">
        <v>17.94878005981445</v>
      </c>
      <c r="G3720" t="n">
        <v>77.02561187744141</v>
      </c>
      <c r="H3720">
        <f>AVERAGE(D3521:D3720)</f>
        <v/>
      </c>
      <c r="I3720">
        <f>AVERAGE(E3521:E3720)</f>
        <v/>
      </c>
      <c r="J3720">
        <f>AVERAGE(F3521:F3720)</f>
        <v/>
      </c>
    </row>
    <row r="3721">
      <c r="C3721" s="539" t="n">
        <v>44846</v>
      </c>
      <c r="D3721" t="n">
        <v>155.9900054931641</v>
      </c>
      <c r="E3721" t="n">
        <v>70.93000030517578</v>
      </c>
      <c r="F3721" t="n">
        <v>17.80759048461914</v>
      </c>
      <c r="G3721" t="n">
        <v>77.02561187744141</v>
      </c>
      <c r="H3721">
        <f>AVERAGE(D3522:D3721)</f>
        <v/>
      </c>
      <c r="I3721">
        <f>AVERAGE(E3522:E3721)</f>
        <v/>
      </c>
      <c r="J3721">
        <f>AVERAGE(F3522:F3721)</f>
        <v/>
      </c>
    </row>
    <row r="3722">
      <c r="C3722" s="539" t="n">
        <v>44847</v>
      </c>
      <c r="D3722" t="n">
        <v>154.9100036621094</v>
      </c>
      <c r="E3722" t="n">
        <v>72.51999664306641</v>
      </c>
      <c r="F3722" t="n">
        <v>17.80759048461914</v>
      </c>
      <c r="G3722" t="n">
        <v>77.05082702636719</v>
      </c>
      <c r="H3722">
        <f>AVERAGE(D3523:D3722)</f>
        <v/>
      </c>
      <c r="I3722">
        <f>AVERAGE(E3523:E3722)</f>
        <v/>
      </c>
      <c r="J3722">
        <f>AVERAGE(F3523:F3722)</f>
        <v/>
      </c>
    </row>
    <row r="3723">
      <c r="C3723" s="539" t="n">
        <v>44848</v>
      </c>
      <c r="D3723" t="n">
        <v>152.9799957275391</v>
      </c>
      <c r="E3723" t="n">
        <v>70.16999816894531</v>
      </c>
      <c r="F3723" t="n">
        <v>17.70169830322266</v>
      </c>
      <c r="G3723" t="n">
        <v>77.05082702636719</v>
      </c>
      <c r="H3723">
        <f>AVERAGE(D3524:D3723)</f>
        <v/>
      </c>
      <c r="I3723">
        <f>AVERAGE(E3524:E3723)</f>
        <v/>
      </c>
      <c r="J3723">
        <f>AVERAGE(F3524:F3723)</f>
        <v/>
      </c>
    </row>
    <row r="3724">
      <c r="C3724" s="539" t="n">
        <v>44851</v>
      </c>
      <c r="D3724" t="n">
        <v>153.4199981689453</v>
      </c>
      <c r="E3724" t="n">
        <v>70.12999725341797</v>
      </c>
      <c r="F3724" t="n">
        <v>17.70169830322266</v>
      </c>
      <c r="G3724" t="n">
        <v>77.05082702636719</v>
      </c>
      <c r="H3724">
        <f>AVERAGE(D3525:D3724)</f>
        <v/>
      </c>
      <c r="I3724">
        <f>AVERAGE(E3525:E3724)</f>
        <v/>
      </c>
      <c r="J3724">
        <f>AVERAGE(F3525:F3724)</f>
        <v/>
      </c>
    </row>
    <row r="3725">
      <c r="C3725" s="539" t="n">
        <v>44852</v>
      </c>
      <c r="D3725" t="n">
        <v>153.75</v>
      </c>
      <c r="E3725" t="n">
        <v>68.69999694824219</v>
      </c>
      <c r="F3725" t="n">
        <v>17.67522621154785</v>
      </c>
      <c r="G3725" t="n">
        <v>77.05082702636719</v>
      </c>
      <c r="H3725">
        <f>AVERAGE(D3526:D3725)</f>
        <v/>
      </c>
      <c r="I3725">
        <f>AVERAGE(E3526:E3725)</f>
        <v/>
      </c>
      <c r="J3725">
        <f>AVERAGE(F3526:F3725)</f>
        <v/>
      </c>
    </row>
    <row r="3726">
      <c r="C3726" s="539" t="n">
        <v>44853</v>
      </c>
      <c r="D3726" t="n">
        <v>151.6900024414062</v>
      </c>
      <c r="E3726" t="n">
        <v>70.04000091552734</v>
      </c>
      <c r="F3726" t="n">
        <v>17.63992691040039</v>
      </c>
      <c r="G3726" t="n">
        <v>77.05082702636719</v>
      </c>
      <c r="H3726">
        <f>AVERAGE(D3527:D3726)</f>
        <v/>
      </c>
      <c r="I3726">
        <f>AVERAGE(E3527:E3726)</f>
        <v/>
      </c>
      <c r="J3726">
        <f>AVERAGE(F3527:F3726)</f>
        <v/>
      </c>
    </row>
    <row r="3727">
      <c r="C3727" s="539" t="n">
        <v>44854</v>
      </c>
      <c r="D3727" t="n">
        <v>151.4499969482422</v>
      </c>
      <c r="E3727" t="n">
        <v>70.18000030517578</v>
      </c>
      <c r="F3727" t="n">
        <v>17.64875221252441</v>
      </c>
      <c r="G3727" t="n">
        <v>77.08448028564453</v>
      </c>
      <c r="H3727">
        <f>AVERAGE(D3528:D3727)</f>
        <v/>
      </c>
      <c r="I3727">
        <f>AVERAGE(E3528:E3727)</f>
        <v/>
      </c>
      <c r="J3727">
        <f>AVERAGE(F3528:F3727)</f>
        <v/>
      </c>
    </row>
    <row r="3728">
      <c r="C3728" s="539" t="n">
        <v>44855</v>
      </c>
      <c r="D3728" t="n">
        <v>154.1499938964844</v>
      </c>
      <c r="E3728" t="n">
        <v>70.56999969482422</v>
      </c>
      <c r="F3728" t="n">
        <v>17.69287109375</v>
      </c>
      <c r="G3728" t="n">
        <v>77.09295654296875</v>
      </c>
      <c r="H3728">
        <f>AVERAGE(D3529:D3728)</f>
        <v/>
      </c>
      <c r="I3728">
        <f>AVERAGE(E3529:E3728)</f>
        <v/>
      </c>
      <c r="J3728">
        <f>AVERAGE(F3529:F3728)</f>
        <v/>
      </c>
    </row>
    <row r="3729">
      <c r="C3729" s="539" t="n">
        <v>44858</v>
      </c>
      <c r="D3729" t="n">
        <v>153.6499938964844</v>
      </c>
      <c r="E3729" t="n">
        <v>70.37999725341797</v>
      </c>
      <c r="F3729" t="n">
        <v>17.63110542297363</v>
      </c>
      <c r="G3729" t="n">
        <v>77.08448028564453</v>
      </c>
      <c r="H3729">
        <f>AVERAGE(D3530:D3729)</f>
        <v/>
      </c>
      <c r="I3729">
        <f>AVERAGE(E3530:E3729)</f>
        <v/>
      </c>
      <c r="J3729">
        <f>AVERAGE(F3530:F3729)</f>
        <v/>
      </c>
    </row>
    <row r="3730">
      <c r="C3730" s="539" t="n">
        <v>44859</v>
      </c>
      <c r="D3730" t="n">
        <v>154</v>
      </c>
      <c r="E3730" t="n">
        <v>70.61000061035156</v>
      </c>
      <c r="F3730" t="n">
        <v>17.57815742492676</v>
      </c>
      <c r="G3730" t="n">
        <v>77.08448028564453</v>
      </c>
      <c r="H3730">
        <f>AVERAGE(D3531:D3730)</f>
        <v/>
      </c>
      <c r="I3730">
        <f>AVERAGE(E3531:E3730)</f>
        <v/>
      </c>
      <c r="J3730">
        <f>AVERAGE(F3531:F3730)</f>
        <v/>
      </c>
    </row>
    <row r="3731">
      <c r="C3731" s="539" t="n">
        <v>44860</v>
      </c>
      <c r="D3731" t="n">
        <v>154.9799957275391</v>
      </c>
      <c r="E3731" t="n">
        <v>72.97000122070312</v>
      </c>
      <c r="F3731" t="n">
        <v>17.5075626373291</v>
      </c>
      <c r="G3731" t="n">
        <v>77.10135650634766</v>
      </c>
      <c r="H3731">
        <f>AVERAGE(D3532:D3731)</f>
        <v/>
      </c>
      <c r="I3731">
        <f>AVERAGE(E3532:E3731)</f>
        <v/>
      </c>
      <c r="J3731">
        <f>AVERAGE(F3532:F3731)</f>
        <v/>
      </c>
    </row>
    <row r="3732">
      <c r="C3732" s="539" t="n">
        <v>44861</v>
      </c>
      <c r="D3732" t="n">
        <v>154.7400054931641</v>
      </c>
      <c r="E3732" t="n">
        <v>73.62000274658203</v>
      </c>
      <c r="F3732" t="n">
        <v>17.40166854858398</v>
      </c>
      <c r="G3732" t="n">
        <v>77.12660217285156</v>
      </c>
      <c r="H3732">
        <f>AVERAGE(D3533:D3732)</f>
        <v/>
      </c>
      <c r="I3732">
        <f>AVERAGE(E3533:E3732)</f>
        <v/>
      </c>
      <c r="J3732">
        <f>AVERAGE(F3533:F3732)</f>
        <v/>
      </c>
    </row>
    <row r="3733">
      <c r="C3733" s="539" t="n">
        <v>44862</v>
      </c>
      <c r="D3733" t="n">
        <v>153.1600036621094</v>
      </c>
      <c r="E3733" t="n">
        <v>72.81999969482422</v>
      </c>
      <c r="F3733" t="n">
        <v>17.31342697143555</v>
      </c>
      <c r="G3733" t="n">
        <v>77.11820220947266</v>
      </c>
      <c r="H3733">
        <f>AVERAGE(D3534:D3733)</f>
        <v/>
      </c>
      <c r="I3733">
        <f>AVERAGE(E3534:E3733)</f>
        <v/>
      </c>
      <c r="J3733">
        <f>AVERAGE(F3534:F3733)</f>
        <v/>
      </c>
    </row>
    <row r="3734">
      <c r="C3734" s="539" t="n">
        <v>44865</v>
      </c>
      <c r="D3734" t="n">
        <v>151.9100036621094</v>
      </c>
      <c r="E3734" t="n">
        <v>71.52999877929688</v>
      </c>
      <c r="F3734" t="n">
        <v>17.49873924255371</v>
      </c>
      <c r="G3734" t="n">
        <v>77.11820220947266</v>
      </c>
      <c r="H3734">
        <f>AVERAGE(D3535:D3734)</f>
        <v/>
      </c>
      <c r="I3734">
        <f>AVERAGE(E3535:E3734)</f>
        <v/>
      </c>
      <c r="J3734">
        <f>AVERAGE(F3535:F3734)</f>
        <v/>
      </c>
    </row>
    <row r="3735">
      <c r="C3735" s="539" t="n">
        <v>44866</v>
      </c>
      <c r="D3735" t="n">
        <v>153.4600067138672</v>
      </c>
      <c r="E3735" t="n">
        <v>73.12000274658203</v>
      </c>
      <c r="F3735" t="n">
        <v>17.69287109375</v>
      </c>
      <c r="G3735" t="n">
        <v>77.12497711181641</v>
      </c>
      <c r="H3735">
        <f>AVERAGE(D3536:D3735)</f>
        <v/>
      </c>
      <c r="I3735">
        <f>AVERAGE(E3536:E3735)</f>
        <v/>
      </c>
      <c r="J3735">
        <f>AVERAGE(F3536:F3735)</f>
        <v/>
      </c>
    </row>
    <row r="3736">
      <c r="C3736" s="539" t="n">
        <v>44867</v>
      </c>
      <c r="D3736" t="n">
        <v>152.3899993896484</v>
      </c>
      <c r="E3736" t="n">
        <v>74.08000183105469</v>
      </c>
      <c r="F3736" t="n">
        <v>17.59580612182617</v>
      </c>
      <c r="G3736" t="n">
        <v>77.15028381347656</v>
      </c>
      <c r="H3736">
        <f>AVERAGE(D3537:D3736)</f>
        <v/>
      </c>
      <c r="I3736">
        <f>AVERAGE(E3537:E3736)</f>
        <v/>
      </c>
      <c r="J3736">
        <f>AVERAGE(F3537:F3736)</f>
        <v/>
      </c>
    </row>
    <row r="3737">
      <c r="C3737" s="539" t="n">
        <v>44868</v>
      </c>
      <c r="D3737" t="n">
        <v>151.8099975585938</v>
      </c>
      <c r="E3737" t="n">
        <v>73.29000091552734</v>
      </c>
      <c r="F3737" t="n">
        <v>17.5075626373291</v>
      </c>
      <c r="G3737" t="n">
        <v>77.17560577392578</v>
      </c>
      <c r="H3737">
        <f>AVERAGE(D3538:D3737)</f>
        <v/>
      </c>
      <c r="I3737">
        <f>AVERAGE(E3538:E3737)</f>
        <v/>
      </c>
      <c r="J3737">
        <f>AVERAGE(F3538:F3737)</f>
        <v/>
      </c>
    </row>
    <row r="3738">
      <c r="C3738" s="539" t="n">
        <v>44869</v>
      </c>
      <c r="D3738" t="n">
        <v>156.4700012207031</v>
      </c>
      <c r="E3738" t="n">
        <v>76.81999969482422</v>
      </c>
      <c r="F3738" t="n">
        <v>17.72817039489746</v>
      </c>
      <c r="G3738" t="n">
        <v>77.19247436523438</v>
      </c>
      <c r="H3738">
        <f>AVERAGE(D3539:D3738)</f>
        <v/>
      </c>
      <c r="I3738">
        <f>AVERAGE(E3539:E3738)</f>
        <v/>
      </c>
      <c r="J3738">
        <f>AVERAGE(F3539:F3738)</f>
        <v/>
      </c>
    </row>
    <row r="3739">
      <c r="C3739" s="539" t="n">
        <v>44872</v>
      </c>
      <c r="D3739" t="n">
        <v>155.8500061035156</v>
      </c>
      <c r="E3739" t="n">
        <v>76.55999755859375</v>
      </c>
      <c r="F3739" t="n">
        <v>17.78994178771973</v>
      </c>
      <c r="G3739" t="n">
        <v>77.18402099609375</v>
      </c>
      <c r="H3739">
        <f>AVERAGE(D3540:D3739)</f>
        <v/>
      </c>
      <c r="I3739">
        <f>AVERAGE(E3540:E3739)</f>
        <v/>
      </c>
      <c r="J3739">
        <f>AVERAGE(F3540:F3739)</f>
        <v/>
      </c>
    </row>
    <row r="3740">
      <c r="C3740" s="539" t="n">
        <v>44873</v>
      </c>
      <c r="D3740" t="n">
        <v>159.4499969482422</v>
      </c>
      <c r="E3740" t="n">
        <v>74.47000122070312</v>
      </c>
      <c r="F3740" t="n">
        <v>17.70169830322266</v>
      </c>
      <c r="G3740" t="n">
        <v>77.19247436523438</v>
      </c>
      <c r="H3740">
        <f>AVERAGE(D3541:D3740)</f>
        <v/>
      </c>
      <c r="I3740">
        <f>AVERAGE(E3541:E3740)</f>
        <v/>
      </c>
      <c r="J3740">
        <f>AVERAGE(F3541:F3740)</f>
        <v/>
      </c>
    </row>
    <row r="3741">
      <c r="C3741" s="539" t="n">
        <v>44874</v>
      </c>
      <c r="D3741" t="n">
        <v>158.6499938964844</v>
      </c>
      <c r="E3741" t="n">
        <v>71.66999816894531</v>
      </c>
      <c r="F3741" t="n">
        <v>17.62227821350098</v>
      </c>
      <c r="G3741" t="n">
        <v>77.23467254638672</v>
      </c>
      <c r="H3741">
        <f>AVERAGE(D3542:D3741)</f>
        <v/>
      </c>
      <c r="I3741">
        <f>AVERAGE(E3542:E3741)</f>
        <v/>
      </c>
      <c r="J3741">
        <f>AVERAGE(F3542:F3741)</f>
        <v/>
      </c>
    </row>
    <row r="3742">
      <c r="C3742" s="539" t="n">
        <v>44875</v>
      </c>
      <c r="D3742" t="n">
        <v>163.4799957275391</v>
      </c>
      <c r="E3742" t="n">
        <v>72.23999786376953</v>
      </c>
      <c r="F3742" t="n">
        <v>17.67522621154785</v>
      </c>
      <c r="G3742" t="n">
        <v>77.24308013916016</v>
      </c>
      <c r="H3742">
        <f>AVERAGE(D3543:D3742)</f>
        <v/>
      </c>
      <c r="I3742">
        <f>AVERAGE(E3543:E3742)</f>
        <v/>
      </c>
      <c r="J3742">
        <f>AVERAGE(F3543:F3742)</f>
        <v/>
      </c>
    </row>
    <row r="3743">
      <c r="C3743" s="539" t="n">
        <v>44876</v>
      </c>
      <c r="D3743" t="n">
        <v>164.5599975585938</v>
      </c>
      <c r="E3743" t="n">
        <v>74.37999725341797</v>
      </c>
      <c r="F3743" t="n">
        <v>17.71934700012207</v>
      </c>
      <c r="G3743" t="n">
        <v>77.23467254638672</v>
      </c>
      <c r="H3743">
        <f>AVERAGE(D3544:D3743)</f>
        <v/>
      </c>
      <c r="I3743">
        <f>AVERAGE(E3544:E3743)</f>
        <v/>
      </c>
      <c r="J3743">
        <f>AVERAGE(F3544:F3743)</f>
        <v/>
      </c>
    </row>
    <row r="3744">
      <c r="C3744" s="539" t="n">
        <v>44879</v>
      </c>
      <c r="D3744" t="n">
        <v>164.9199981689453</v>
      </c>
      <c r="E3744" t="n">
        <v>71.91000366210938</v>
      </c>
      <c r="F3744" t="n">
        <v>17.71052169799805</v>
      </c>
      <c r="G3744" t="n">
        <v>77.23467254638672</v>
      </c>
      <c r="H3744">
        <f>AVERAGE(D3545:D3744)</f>
        <v/>
      </c>
      <c r="I3744">
        <f>AVERAGE(E3545:E3744)</f>
        <v/>
      </c>
      <c r="J3744">
        <f>AVERAGE(F3545:F3744)</f>
        <v/>
      </c>
    </row>
    <row r="3745">
      <c r="C3745" s="539" t="n">
        <v>44880</v>
      </c>
      <c r="D3745" t="n">
        <v>165.5</v>
      </c>
      <c r="E3745" t="n">
        <v>73.25</v>
      </c>
      <c r="F3745" t="n">
        <v>17.76346969604492</v>
      </c>
      <c r="G3745" t="n">
        <v>77.25154876708984</v>
      </c>
      <c r="H3745">
        <f>AVERAGE(D3546:D3745)</f>
        <v/>
      </c>
      <c r="I3745">
        <f>AVERAGE(E3546:E3745)</f>
        <v/>
      </c>
      <c r="J3745">
        <f>AVERAGE(F3546:F3745)</f>
        <v/>
      </c>
    </row>
    <row r="3746">
      <c r="C3746" s="539" t="n">
        <v>44881</v>
      </c>
      <c r="D3746" t="n">
        <v>165.1199951171875</v>
      </c>
      <c r="E3746" t="n">
        <v>72.04000091552734</v>
      </c>
      <c r="F3746" t="n">
        <v>17.70169830322266</v>
      </c>
      <c r="G3746" t="n">
        <v>77.25995635986328</v>
      </c>
      <c r="H3746">
        <f>AVERAGE(D3547:D3746)</f>
        <v/>
      </c>
      <c r="I3746">
        <f>AVERAGE(E3547:E3746)</f>
        <v/>
      </c>
      <c r="J3746">
        <f>AVERAGE(F3547:F3746)</f>
        <v/>
      </c>
    </row>
    <row r="3747">
      <c r="C3747" s="539" t="n">
        <v>44882</v>
      </c>
      <c r="D3747" t="n">
        <v>163.9199981689453</v>
      </c>
      <c r="E3747" t="n">
        <v>70.13999938964844</v>
      </c>
      <c r="F3747" t="n">
        <v>17.5428581237793</v>
      </c>
      <c r="G3747" t="n">
        <v>77.28530120849609</v>
      </c>
      <c r="H3747">
        <f>AVERAGE(D3548:D3747)</f>
        <v/>
      </c>
      <c r="I3747">
        <f>AVERAGE(E3548:E3747)</f>
        <v/>
      </c>
      <c r="J3747">
        <f>AVERAGE(F3548:F3747)</f>
        <v/>
      </c>
    </row>
    <row r="3748">
      <c r="C3748" s="539" t="n">
        <v>44883</v>
      </c>
      <c r="D3748" t="n">
        <v>162.7899932861328</v>
      </c>
      <c r="E3748" t="n">
        <v>69.02999877929688</v>
      </c>
      <c r="F3748" t="n">
        <v>17.55168151855469</v>
      </c>
      <c r="G3748" t="n">
        <v>77.28530120849609</v>
      </c>
      <c r="H3748">
        <f>AVERAGE(D3549:D3748)</f>
        <v/>
      </c>
      <c r="I3748">
        <f>AVERAGE(E3549:E3748)</f>
        <v/>
      </c>
      <c r="J3748">
        <f>AVERAGE(F3549:F3748)</f>
        <v/>
      </c>
    </row>
    <row r="3749">
      <c r="C3749" s="539" t="n">
        <v>44886</v>
      </c>
      <c r="D3749" t="n">
        <v>161.8800048828125</v>
      </c>
      <c r="E3749" t="n">
        <v>69.02999877929688</v>
      </c>
      <c r="F3749" t="n">
        <v>17.58698272705078</v>
      </c>
      <c r="G3749" t="n">
        <v>77.29373931884766</v>
      </c>
      <c r="H3749">
        <f>AVERAGE(D3550:D3749)</f>
        <v/>
      </c>
      <c r="I3749">
        <f>AVERAGE(E3550:E3749)</f>
        <v/>
      </c>
      <c r="J3749">
        <f>AVERAGE(F3550:F3749)</f>
        <v/>
      </c>
    </row>
    <row r="3750">
      <c r="C3750" s="539" t="n">
        <v>44887</v>
      </c>
      <c r="D3750" t="n">
        <v>162.0700073242188</v>
      </c>
      <c r="E3750" t="n">
        <v>69.98000335693359</v>
      </c>
      <c r="F3750" t="n">
        <v>17.61345481872559</v>
      </c>
      <c r="G3750" t="n">
        <v>77.31063842773438</v>
      </c>
      <c r="H3750">
        <f>AVERAGE(D3551:D3750)</f>
        <v/>
      </c>
      <c r="I3750">
        <f>AVERAGE(E3551:E3750)</f>
        <v/>
      </c>
      <c r="J3750">
        <f>AVERAGE(F3551:F3750)</f>
        <v/>
      </c>
    </row>
    <row r="3751">
      <c r="C3751" s="539" t="n">
        <v>44888</v>
      </c>
      <c r="D3751" t="n">
        <v>163.0800018310547</v>
      </c>
      <c r="E3751" t="n">
        <v>67.41000366210938</v>
      </c>
      <c r="F3751" t="n">
        <v>17.5428581237793</v>
      </c>
      <c r="G3751" t="n">
        <v>77.32750701904297</v>
      </c>
      <c r="H3751">
        <f>AVERAGE(D3552:D3751)</f>
        <v/>
      </c>
      <c r="I3751">
        <f>AVERAGE(E3552:E3751)</f>
        <v/>
      </c>
      <c r="J3751">
        <f>AVERAGE(F3552:F3751)</f>
        <v/>
      </c>
    </row>
    <row r="3752">
      <c r="C3752" s="539" t="n">
        <v>44890</v>
      </c>
      <c r="D3752" t="n">
        <v>163.2200012207031</v>
      </c>
      <c r="E3752" t="n">
        <v>66.95999908447266</v>
      </c>
      <c r="F3752" t="n">
        <v>17.53403472900391</v>
      </c>
      <c r="G3752" t="n">
        <v>77.32750701904297</v>
      </c>
      <c r="H3752">
        <f>AVERAGE(D3553:D3752)</f>
        <v/>
      </c>
      <c r="I3752">
        <f>AVERAGE(E3553:E3752)</f>
        <v/>
      </c>
      <c r="J3752">
        <f>AVERAGE(F3553:F3752)</f>
        <v/>
      </c>
    </row>
    <row r="3753">
      <c r="C3753" s="539" t="n">
        <v>44893</v>
      </c>
      <c r="D3753" t="n">
        <v>161.9299926757812</v>
      </c>
      <c r="E3753" t="n">
        <v>66.87999725341797</v>
      </c>
      <c r="F3753" t="n">
        <v>17.43696594238281</v>
      </c>
      <c r="G3753" t="n">
        <v>77.33592224121094</v>
      </c>
      <c r="H3753">
        <f>AVERAGE(D3554:D3753)</f>
        <v/>
      </c>
      <c r="I3753">
        <f>AVERAGE(E3554:E3753)</f>
        <v/>
      </c>
      <c r="J3753">
        <f>AVERAGE(F3554:F3753)</f>
        <v/>
      </c>
    </row>
    <row r="3754">
      <c r="C3754" s="539" t="n">
        <v>44894</v>
      </c>
      <c r="D3754" t="n">
        <v>162.7299957275391</v>
      </c>
      <c r="E3754" t="n">
        <v>68.33999633789062</v>
      </c>
      <c r="F3754" t="n">
        <v>17.48991394042969</v>
      </c>
      <c r="G3754" t="n">
        <v>77.36124420166016</v>
      </c>
      <c r="H3754">
        <f>AVERAGE(D3555:D3754)</f>
        <v/>
      </c>
      <c r="I3754">
        <f>AVERAGE(E3555:E3754)</f>
        <v/>
      </c>
      <c r="J3754">
        <f>AVERAGE(F3555:F3754)</f>
        <v/>
      </c>
    </row>
    <row r="3755">
      <c r="C3755" s="539" t="n">
        <v>44895</v>
      </c>
      <c r="D3755" t="n">
        <v>164.8099975585938</v>
      </c>
      <c r="E3755" t="n">
        <v>70.23000335693359</v>
      </c>
      <c r="F3755" t="n">
        <v>17.69287109375</v>
      </c>
      <c r="G3755" t="n">
        <v>77.36124420166016</v>
      </c>
      <c r="H3755">
        <f>AVERAGE(D3556:D3755)</f>
        <v/>
      </c>
      <c r="I3755">
        <f>AVERAGE(E3556:E3755)</f>
        <v/>
      </c>
      <c r="J3755">
        <f>AVERAGE(F3556:F3755)</f>
        <v/>
      </c>
    </row>
    <row r="3756">
      <c r="C3756" s="539" t="n">
        <v>44896</v>
      </c>
      <c r="D3756" t="n">
        <v>167.8399963378906</v>
      </c>
      <c r="E3756" t="n">
        <v>70.44999694824219</v>
      </c>
      <c r="F3756" t="n">
        <v>17.57815742492676</v>
      </c>
      <c r="G3756" t="n">
        <v>77.37818145751953</v>
      </c>
      <c r="H3756">
        <f>AVERAGE(D3557:D3756)</f>
        <v/>
      </c>
      <c r="I3756">
        <f>AVERAGE(E3557:E3756)</f>
        <v/>
      </c>
      <c r="J3756">
        <f>AVERAGE(F3557:F3756)</f>
        <v/>
      </c>
    </row>
    <row r="3757">
      <c r="C3757" s="539" t="n">
        <v>44897</v>
      </c>
      <c r="D3757" t="n">
        <v>167.2599945068359</v>
      </c>
      <c r="E3757" t="n">
        <v>69.83999633789062</v>
      </c>
      <c r="F3757" t="n">
        <v>17.52521133422852</v>
      </c>
      <c r="G3757" t="n">
        <v>77.38662719726562</v>
      </c>
      <c r="H3757">
        <f>AVERAGE(D3558:D3757)</f>
        <v/>
      </c>
      <c r="I3757">
        <f>AVERAGE(E3558:E3757)</f>
        <v/>
      </c>
      <c r="J3757">
        <f>AVERAGE(F3558:F3757)</f>
        <v/>
      </c>
    </row>
    <row r="3758">
      <c r="C3758" s="539" t="n">
        <v>44900</v>
      </c>
      <c r="D3758" t="n">
        <v>164.3899993896484</v>
      </c>
      <c r="E3758" t="n">
        <v>67.72000122070312</v>
      </c>
      <c r="F3758" t="n">
        <v>17.44579315185547</v>
      </c>
      <c r="G3758" t="n">
        <v>77.39510345458984</v>
      </c>
      <c r="H3758">
        <f>AVERAGE(D3559:D3758)</f>
        <v/>
      </c>
      <c r="I3758">
        <f>AVERAGE(E3559:E3758)</f>
        <v/>
      </c>
      <c r="J3758">
        <f>AVERAGE(F3559:F3758)</f>
        <v/>
      </c>
    </row>
    <row r="3759">
      <c r="C3759" s="539" t="n">
        <v>44901</v>
      </c>
      <c r="D3759" t="n">
        <v>164.8399963378906</v>
      </c>
      <c r="E3759" t="n">
        <v>65.23000335693359</v>
      </c>
      <c r="F3759" t="n">
        <v>17.32225036621094</v>
      </c>
      <c r="G3759" t="n">
        <v>77.42048645019531</v>
      </c>
      <c r="H3759">
        <f>AVERAGE(D3560:D3759)</f>
        <v/>
      </c>
      <c r="I3759">
        <f>AVERAGE(E3560:E3759)</f>
        <v/>
      </c>
      <c r="J3759">
        <f>AVERAGE(F3560:F3759)</f>
        <v/>
      </c>
    </row>
    <row r="3760">
      <c r="C3760" s="539" t="n">
        <v>44902</v>
      </c>
      <c r="D3760" t="n">
        <v>166.3300018310547</v>
      </c>
      <c r="E3760" t="n">
        <v>63.65000152587891</v>
      </c>
      <c r="F3760" t="n">
        <v>17.33989906311035</v>
      </c>
      <c r="G3760" t="n">
        <v>77.42048645019531</v>
      </c>
      <c r="H3760">
        <f>AVERAGE(D3561:D3760)</f>
        <v/>
      </c>
      <c r="I3760">
        <f>AVERAGE(E3561:E3760)</f>
        <v/>
      </c>
      <c r="J3760">
        <f>AVERAGE(F3561:F3760)</f>
        <v/>
      </c>
    </row>
    <row r="3761">
      <c r="C3761" s="539" t="n">
        <v>44903</v>
      </c>
      <c r="D3761" t="n">
        <v>166.4700012207031</v>
      </c>
      <c r="E3761" t="n">
        <v>62.70999908447266</v>
      </c>
      <c r="F3761" t="n">
        <v>17.34872245788574</v>
      </c>
      <c r="G3761" t="n">
        <v>77.47126770019531</v>
      </c>
      <c r="H3761">
        <f>AVERAGE(D3562:D3761)</f>
        <v/>
      </c>
      <c r="I3761">
        <f>AVERAGE(E3562:E3761)</f>
        <v/>
      </c>
      <c r="J3761">
        <f>AVERAGE(F3562:F3761)</f>
        <v/>
      </c>
    </row>
    <row r="3762">
      <c r="C3762" s="539" t="n">
        <v>44904</v>
      </c>
      <c r="D3762" t="n">
        <v>167.0599975585938</v>
      </c>
      <c r="E3762" t="n">
        <v>62.84999847412109</v>
      </c>
      <c r="F3762" t="n">
        <v>17.26047897338867</v>
      </c>
      <c r="G3762" t="n">
        <v>77.46279144287109</v>
      </c>
      <c r="H3762">
        <f>AVERAGE(D3563:D3762)</f>
        <v/>
      </c>
      <c r="I3762">
        <f>AVERAGE(E3563:E3762)</f>
        <v/>
      </c>
      <c r="J3762">
        <f>AVERAGE(F3563:F3762)</f>
        <v/>
      </c>
    </row>
    <row r="3763">
      <c r="C3763" s="539" t="n">
        <v>44907</v>
      </c>
      <c r="D3763" t="n">
        <v>165.6799926757812</v>
      </c>
      <c r="E3763" t="n">
        <v>64.41000366210938</v>
      </c>
      <c r="F3763" t="n">
        <v>17.41049385070801</v>
      </c>
      <c r="G3763" t="n">
        <v>77.47126770019531</v>
      </c>
      <c r="H3763">
        <f>AVERAGE(D3564:D3763)</f>
        <v/>
      </c>
      <c r="I3763">
        <f>AVERAGE(E3564:E3763)</f>
        <v/>
      </c>
      <c r="J3763">
        <f>AVERAGE(F3564:F3763)</f>
        <v/>
      </c>
    </row>
    <row r="3764">
      <c r="C3764" s="539" t="n">
        <v>44908</v>
      </c>
      <c r="D3764" t="n">
        <v>168.5099945068359</v>
      </c>
      <c r="E3764" t="n">
        <v>65.86000061035156</v>
      </c>
      <c r="F3764" t="n">
        <v>17.51638603210449</v>
      </c>
      <c r="G3764" t="n">
        <v>77.47126770019531</v>
      </c>
      <c r="H3764">
        <f>AVERAGE(D3565:D3764)</f>
        <v/>
      </c>
      <c r="I3764">
        <f>AVERAGE(E3565:E3764)</f>
        <v/>
      </c>
      <c r="J3764">
        <f>AVERAGE(F3565:F3764)</f>
        <v/>
      </c>
    </row>
    <row r="3765">
      <c r="C3765" s="539" t="n">
        <v>44909</v>
      </c>
      <c r="D3765" t="n">
        <v>168.1000061035156</v>
      </c>
      <c r="E3765" t="n">
        <v>67.36000061035156</v>
      </c>
      <c r="F3765" t="n">
        <v>17.49873924255371</v>
      </c>
      <c r="G3765" t="n">
        <v>77.49665832519531</v>
      </c>
      <c r="H3765">
        <f>AVERAGE(D3566:D3765)</f>
        <v/>
      </c>
      <c r="I3765">
        <f>AVERAGE(E3566:E3765)</f>
        <v/>
      </c>
      <c r="J3765">
        <f>AVERAGE(F3566:F3765)</f>
        <v/>
      </c>
    </row>
    <row r="3766">
      <c r="C3766" s="539" t="n">
        <v>44910</v>
      </c>
      <c r="D3766" t="n">
        <v>165.3500061035156</v>
      </c>
      <c r="E3766" t="n">
        <v>66.15000152587891</v>
      </c>
      <c r="F3766" t="n">
        <v>17.48991394042969</v>
      </c>
      <c r="G3766" t="n">
        <v>77.51358032226562</v>
      </c>
      <c r="H3766">
        <f>AVERAGE(D3567:D3766)</f>
        <v/>
      </c>
      <c r="I3766">
        <f>AVERAGE(E3567:E3766)</f>
        <v/>
      </c>
      <c r="J3766">
        <f>AVERAGE(F3567:F3766)</f>
        <v/>
      </c>
    </row>
    <row r="3767">
      <c r="C3767" s="539" t="n">
        <v>44911</v>
      </c>
      <c r="D3767" t="n">
        <v>166.7899932861328</v>
      </c>
      <c r="E3767" t="n">
        <v>64.90000152587891</v>
      </c>
      <c r="F3767" t="n">
        <v>17.43696594238281</v>
      </c>
      <c r="G3767" t="n">
        <v>77.51358032226562</v>
      </c>
      <c r="H3767">
        <f>AVERAGE(D3568:D3767)</f>
        <v/>
      </c>
      <c r="I3767">
        <f>AVERAGE(E3568:E3767)</f>
        <v/>
      </c>
      <c r="J3767">
        <f>AVERAGE(F3568:F3767)</f>
        <v/>
      </c>
    </row>
    <row r="3768">
      <c r="C3768" s="539" t="n">
        <v>44914</v>
      </c>
      <c r="D3768" t="n">
        <v>166.3200073242188</v>
      </c>
      <c r="E3768" t="n">
        <v>66.06999969482422</v>
      </c>
      <c r="F3768" t="n">
        <v>17.44228744506836</v>
      </c>
      <c r="G3768" t="n">
        <v>77.52294158935547</v>
      </c>
      <c r="H3768">
        <f>AVERAGE(D3569:D3768)</f>
        <v/>
      </c>
      <c r="I3768">
        <f>AVERAGE(E3569:E3768)</f>
        <v/>
      </c>
      <c r="J3768">
        <f>AVERAGE(F3569:F3768)</f>
        <v/>
      </c>
    </row>
    <row r="3769">
      <c r="C3769" s="539" t="n">
        <v>44915</v>
      </c>
      <c r="D3769" t="n">
        <v>169.0800018310547</v>
      </c>
      <c r="E3769" t="n">
        <v>66.22000122070312</v>
      </c>
      <c r="F3769" t="n">
        <v>17.5753002166748</v>
      </c>
      <c r="G3769" t="n">
        <v>77.53140258789062</v>
      </c>
      <c r="H3769">
        <f>AVERAGE(D3570:D3769)</f>
        <v/>
      </c>
      <c r="I3769">
        <f>AVERAGE(E3570:E3769)</f>
        <v/>
      </c>
      <c r="J3769">
        <f>AVERAGE(F3570:F3769)</f>
        <v/>
      </c>
    </row>
    <row r="3770">
      <c r="C3770" s="539" t="n">
        <v>44916</v>
      </c>
      <c r="D3770" t="n">
        <v>168.8000030517578</v>
      </c>
      <c r="E3770" t="n">
        <v>68.05999755859375</v>
      </c>
      <c r="F3770" t="n">
        <v>17.77038383483887</v>
      </c>
      <c r="G3770" t="n">
        <v>77.53988647460938</v>
      </c>
      <c r="H3770">
        <f>AVERAGE(D3571:D3770)</f>
        <v/>
      </c>
      <c r="I3770">
        <f>AVERAGE(E3571:E3770)</f>
        <v/>
      </c>
      <c r="J3770">
        <f>AVERAGE(F3571:F3770)</f>
        <v/>
      </c>
    </row>
    <row r="3771">
      <c r="C3771" s="539" t="n">
        <v>44917</v>
      </c>
      <c r="D3771" t="n">
        <v>166.7599945068359</v>
      </c>
      <c r="E3771" t="n">
        <v>67.69999694824219</v>
      </c>
      <c r="F3771" t="n">
        <v>17.81472015380859</v>
      </c>
      <c r="G3771" t="n">
        <v>77.5908203125</v>
      </c>
      <c r="H3771">
        <f>AVERAGE(D3572:D3771)</f>
        <v/>
      </c>
      <c r="I3771">
        <f>AVERAGE(E3572:E3771)</f>
        <v/>
      </c>
      <c r="J3771">
        <f>AVERAGE(F3572:F3771)</f>
        <v/>
      </c>
    </row>
    <row r="3772">
      <c r="C3772" s="539" t="n">
        <v>44918</v>
      </c>
      <c r="D3772" t="n">
        <v>167.2599945068359</v>
      </c>
      <c r="E3772" t="n">
        <v>69.31999969482422</v>
      </c>
      <c r="F3772" t="n">
        <v>17.91226196289062</v>
      </c>
      <c r="G3772" t="n">
        <v>77.5908203125</v>
      </c>
      <c r="H3772">
        <f>AVERAGE(D3573:D3772)</f>
        <v/>
      </c>
      <c r="I3772">
        <f>AVERAGE(E3573:E3772)</f>
        <v/>
      </c>
      <c r="J3772">
        <f>AVERAGE(F3573:F3772)</f>
        <v/>
      </c>
    </row>
    <row r="3773">
      <c r="C3773" s="539" t="n">
        <v>44922</v>
      </c>
      <c r="D3773" t="n">
        <v>168.6699981689453</v>
      </c>
      <c r="E3773" t="n">
        <v>69.52999877929688</v>
      </c>
      <c r="F3773" t="n">
        <v>17.83245658874512</v>
      </c>
      <c r="G3773" t="n">
        <v>77.5908203125</v>
      </c>
      <c r="H3773">
        <f>AVERAGE(D3574:D3773)</f>
        <v/>
      </c>
      <c r="I3773">
        <f>AVERAGE(E3574:E3773)</f>
        <v/>
      </c>
      <c r="J3773">
        <f>AVERAGE(F3574:F3773)</f>
        <v/>
      </c>
    </row>
    <row r="3774">
      <c r="C3774" s="539" t="n">
        <v>44923</v>
      </c>
      <c r="D3774" t="n">
        <v>167.9100036621094</v>
      </c>
      <c r="E3774" t="n">
        <v>68.58000183105469</v>
      </c>
      <c r="F3774" t="n">
        <v>17.95660018920898</v>
      </c>
      <c r="G3774" t="n">
        <v>77.61627960205078</v>
      </c>
      <c r="H3774">
        <f>AVERAGE(D3575:D3774)</f>
        <v/>
      </c>
      <c r="I3774">
        <f>AVERAGE(E3575:E3774)</f>
        <v/>
      </c>
      <c r="J3774">
        <f>AVERAGE(F3575:F3774)</f>
        <v/>
      </c>
    </row>
    <row r="3775">
      <c r="C3775" s="539" t="n">
        <v>44924</v>
      </c>
      <c r="D3775" t="n">
        <v>168.8500061035156</v>
      </c>
      <c r="E3775" t="n">
        <v>68.52999877929688</v>
      </c>
      <c r="F3775" t="n">
        <v>17.8679256439209</v>
      </c>
      <c r="G3775" t="n">
        <v>77.65026092529297</v>
      </c>
      <c r="H3775">
        <f>AVERAGE(D3576:D3775)</f>
        <v/>
      </c>
      <c r="I3775">
        <f>AVERAGE(E3576:E3775)</f>
        <v/>
      </c>
      <c r="J3775">
        <f>AVERAGE(F3576:F3775)</f>
        <v/>
      </c>
    </row>
    <row r="3776">
      <c r="C3776" s="539" t="n">
        <v>44925</v>
      </c>
      <c r="D3776" t="n">
        <v>169.6399993896484</v>
      </c>
      <c r="E3776" t="n">
        <v>70.11000061035156</v>
      </c>
      <c r="F3776" t="n">
        <v>17.8679256439209</v>
      </c>
      <c r="G3776" t="n">
        <v>77.64176940917969</v>
      </c>
      <c r="H3776">
        <f>AVERAGE(D3577:D3776)</f>
        <v/>
      </c>
      <c r="I3776">
        <f>AVERAGE(E3577:E3776)</f>
        <v/>
      </c>
      <c r="J3776">
        <f>AVERAGE(F3577:F3776)</f>
        <v/>
      </c>
    </row>
    <row r="3777">
      <c r="C3777" s="539" t="n">
        <v>44929</v>
      </c>
      <c r="D3777" t="n">
        <v>171.0599975585938</v>
      </c>
      <c r="E3777" t="n">
        <v>67.63999938964844</v>
      </c>
      <c r="F3777" t="n">
        <v>17.67284202575684</v>
      </c>
      <c r="G3777" t="n">
        <v>77.65026092529297</v>
      </c>
      <c r="H3777">
        <f>AVERAGE(D3578:D3777)</f>
        <v/>
      </c>
      <c r="I3777">
        <f>AVERAGE(E3578:E3777)</f>
        <v/>
      </c>
      <c r="J3777">
        <f>AVERAGE(F3578:F3777)</f>
        <v/>
      </c>
    </row>
    <row r="3778">
      <c r="C3778" s="539" t="n">
        <v>44930</v>
      </c>
      <c r="D3778" t="n">
        <v>172.6699981689453</v>
      </c>
      <c r="E3778" t="n">
        <v>64.30000305175781</v>
      </c>
      <c r="F3778" t="n">
        <v>17.46002197265625</v>
      </c>
      <c r="G3778" t="n">
        <v>77.64176940917969</v>
      </c>
      <c r="H3778">
        <f>AVERAGE(D3579:D3778)</f>
        <v/>
      </c>
      <c r="I3778">
        <f>AVERAGE(E3579:E3778)</f>
        <v/>
      </c>
      <c r="J3778">
        <f>AVERAGE(F3579:F3778)</f>
        <v/>
      </c>
    </row>
    <row r="3779">
      <c r="C3779" s="539" t="n">
        <v>44931</v>
      </c>
      <c r="D3779" t="n">
        <v>170.5200042724609</v>
      </c>
      <c r="E3779" t="n">
        <v>64.77999877929688</v>
      </c>
      <c r="F3779" t="n">
        <v>17.41568565368652</v>
      </c>
      <c r="G3779" t="n">
        <v>77.667236328125</v>
      </c>
      <c r="H3779">
        <f>AVERAGE(D3580:D3779)</f>
        <v/>
      </c>
      <c r="I3779">
        <f>AVERAGE(E3580:E3779)</f>
        <v/>
      </c>
      <c r="J3779">
        <f>AVERAGE(F3580:F3779)</f>
        <v/>
      </c>
    </row>
    <row r="3780">
      <c r="C3780" s="539" t="n">
        <v>44932</v>
      </c>
      <c r="D3780" t="n">
        <v>173.7100067138672</v>
      </c>
      <c r="E3780" t="n">
        <v>64.83000183105469</v>
      </c>
      <c r="F3780" t="n">
        <v>17.34474563598633</v>
      </c>
      <c r="G3780" t="n">
        <v>77.65872955322266</v>
      </c>
      <c r="H3780">
        <f>AVERAGE(D3581:D3780)</f>
        <v/>
      </c>
      <c r="I3780">
        <f>AVERAGE(E3581:E3780)</f>
        <v/>
      </c>
      <c r="J3780">
        <f>AVERAGE(F3581:F3780)</f>
        <v/>
      </c>
    </row>
    <row r="3781">
      <c r="C3781" s="539" t="n">
        <v>44935</v>
      </c>
      <c r="D3781" t="n">
        <v>174.1000061035156</v>
      </c>
      <c r="E3781" t="n">
        <v>65.87999725341797</v>
      </c>
      <c r="F3781" t="n">
        <v>17.40681838989258</v>
      </c>
      <c r="G3781" t="n">
        <v>77.67571258544922</v>
      </c>
      <c r="H3781">
        <f>AVERAGE(D3582:D3781)</f>
        <v/>
      </c>
      <c r="I3781">
        <f>AVERAGE(E3582:E3781)</f>
        <v/>
      </c>
      <c r="J3781">
        <f>AVERAGE(F3582:F3781)</f>
        <v/>
      </c>
    </row>
    <row r="3782">
      <c r="C3782" s="539" t="n">
        <v>44936</v>
      </c>
      <c r="D3782" t="n">
        <v>174.7400054931641</v>
      </c>
      <c r="E3782" t="n">
        <v>65.90000152587891</v>
      </c>
      <c r="F3782" t="n">
        <v>17.22060203552246</v>
      </c>
      <c r="G3782" t="n">
        <v>77.667236328125</v>
      </c>
      <c r="H3782">
        <f>AVERAGE(D3583:D3782)</f>
        <v/>
      </c>
      <c r="I3782">
        <f>AVERAGE(E3583:E3782)</f>
        <v/>
      </c>
      <c r="J3782">
        <f>AVERAGE(F3583:F3782)</f>
        <v/>
      </c>
    </row>
    <row r="3783">
      <c r="C3783" s="539" t="n">
        <v>44937</v>
      </c>
      <c r="D3783" t="n">
        <v>174.6199951171875</v>
      </c>
      <c r="E3783" t="n">
        <v>68.05000305175781</v>
      </c>
      <c r="F3783" t="n">
        <v>17.17626571655273</v>
      </c>
      <c r="G3783" t="n">
        <v>77.667236328125</v>
      </c>
      <c r="H3783">
        <f>AVERAGE(D3584:D3783)</f>
        <v/>
      </c>
      <c r="I3783">
        <f>AVERAGE(E3584:E3783)</f>
        <v/>
      </c>
      <c r="J3783">
        <f>AVERAGE(F3584:F3783)</f>
        <v/>
      </c>
    </row>
    <row r="3784">
      <c r="C3784" s="539" t="n">
        <v>44938</v>
      </c>
      <c r="D3784" t="n">
        <v>176.6399993896484</v>
      </c>
      <c r="E3784" t="n">
        <v>68.61000061035156</v>
      </c>
      <c r="F3784" t="n">
        <v>17.29154205322266</v>
      </c>
      <c r="G3784" t="n">
        <v>77.72661590576172</v>
      </c>
      <c r="H3784">
        <f>AVERAGE(D3585:D3784)</f>
        <v/>
      </c>
      <c r="I3784">
        <f>AVERAGE(E3585:E3784)</f>
        <v/>
      </c>
      <c r="J3784">
        <f>AVERAGE(F3585:F3784)</f>
        <v/>
      </c>
    </row>
    <row r="3785">
      <c r="C3785" s="539" t="n">
        <v>44939</v>
      </c>
      <c r="D3785" t="n">
        <v>178.7599945068359</v>
      </c>
      <c r="E3785" t="n">
        <v>70.05000305175781</v>
      </c>
      <c r="F3785" t="n">
        <v>17.31814193725586</v>
      </c>
      <c r="G3785" t="n">
        <v>77.73512268066406</v>
      </c>
      <c r="H3785">
        <f>AVERAGE(D3586:D3785)</f>
        <v/>
      </c>
      <c r="I3785">
        <f>AVERAGE(E3586:E3785)</f>
        <v/>
      </c>
      <c r="J3785">
        <f>AVERAGE(F3586:F3785)</f>
        <v/>
      </c>
    </row>
    <row r="3786">
      <c r="C3786" s="539" t="n">
        <v>44943</v>
      </c>
      <c r="D3786" t="n">
        <v>177.5899963378906</v>
      </c>
      <c r="E3786" t="n">
        <v>70.86000061035156</v>
      </c>
      <c r="F3786" t="n">
        <v>17.38021659851074</v>
      </c>
      <c r="G3786" t="n">
        <v>77.73512268066406</v>
      </c>
      <c r="H3786">
        <f>AVERAGE(D3587:D3786)</f>
        <v/>
      </c>
      <c r="I3786">
        <f>AVERAGE(E3587:E3786)</f>
        <v/>
      </c>
      <c r="J3786">
        <f>AVERAGE(F3587:F3786)</f>
        <v/>
      </c>
    </row>
    <row r="3787">
      <c r="C3787" s="539" t="n">
        <v>44944</v>
      </c>
      <c r="D3787" t="n">
        <v>177.0800018310547</v>
      </c>
      <c r="E3787" t="n">
        <v>69.51000213623047</v>
      </c>
      <c r="F3787" t="n">
        <v>17.26493835449219</v>
      </c>
      <c r="G3787" t="n">
        <v>77.74362182617188</v>
      </c>
      <c r="H3787">
        <f>AVERAGE(D3588:D3787)</f>
        <v/>
      </c>
      <c r="I3787">
        <f>AVERAGE(E3588:E3787)</f>
        <v/>
      </c>
      <c r="J3787">
        <f>AVERAGE(F3588:F3787)</f>
        <v/>
      </c>
    </row>
    <row r="3788">
      <c r="C3788" s="539" t="n">
        <v>44945</v>
      </c>
      <c r="D3788" t="n">
        <v>179.8899993896484</v>
      </c>
      <c r="E3788" t="n">
        <v>70.58999633789062</v>
      </c>
      <c r="F3788" t="n">
        <v>17.16739654541016</v>
      </c>
      <c r="G3788" t="n">
        <v>77.77758026123047</v>
      </c>
      <c r="H3788">
        <f>AVERAGE(D3589:D3788)</f>
        <v/>
      </c>
      <c r="I3788">
        <f>AVERAGE(E3589:E3788)</f>
        <v/>
      </c>
      <c r="J3788">
        <f>AVERAGE(F3589:F3788)</f>
        <v/>
      </c>
    </row>
    <row r="3789">
      <c r="C3789" s="539" t="n">
        <v>44946</v>
      </c>
      <c r="D3789" t="n">
        <v>179.2899932861328</v>
      </c>
      <c r="E3789" t="n">
        <v>71.55000305175781</v>
      </c>
      <c r="F3789" t="n">
        <v>17.21173286437988</v>
      </c>
      <c r="G3789" t="n">
        <v>77.78604125976562</v>
      </c>
      <c r="H3789">
        <f>AVERAGE(D3590:D3789)</f>
        <v/>
      </c>
      <c r="I3789">
        <f>AVERAGE(E3590:E3789)</f>
        <v/>
      </c>
      <c r="J3789">
        <f>AVERAGE(F3590:F3789)</f>
        <v/>
      </c>
    </row>
    <row r="3790">
      <c r="C3790" s="539" t="n">
        <v>44949</v>
      </c>
      <c r="D3790" t="n">
        <v>179.6300048828125</v>
      </c>
      <c r="E3790" t="n">
        <v>71.5</v>
      </c>
      <c r="F3790" t="n">
        <v>17.18512916564941</v>
      </c>
      <c r="G3790" t="n">
        <v>77.78604125976562</v>
      </c>
      <c r="H3790">
        <f>AVERAGE(D3591:D3790)</f>
        <v/>
      </c>
      <c r="I3790">
        <f>AVERAGE(E3591:E3790)</f>
        <v/>
      </c>
      <c r="J3790">
        <f>AVERAGE(F3591:F3790)</f>
        <v/>
      </c>
    </row>
    <row r="3791">
      <c r="C3791" s="539" t="n">
        <v>44950</v>
      </c>
      <c r="D3791" t="n">
        <v>180.2799987792969</v>
      </c>
      <c r="E3791" t="n">
        <v>70.22000122070312</v>
      </c>
      <c r="F3791" t="n">
        <v>17.30040740966797</v>
      </c>
      <c r="G3791" t="n">
        <v>77.79454803466797</v>
      </c>
      <c r="H3791">
        <f>AVERAGE(D3592:D3791)</f>
        <v/>
      </c>
      <c r="I3791">
        <f>AVERAGE(E3592:E3791)</f>
        <v/>
      </c>
      <c r="J3791">
        <f>AVERAGE(F3592:F3791)</f>
        <v/>
      </c>
    </row>
    <row r="3792">
      <c r="C3792" s="539" t="n">
        <v>44951</v>
      </c>
      <c r="D3792" t="n">
        <v>181.1100006103516</v>
      </c>
      <c r="E3792" t="n">
        <v>70.51000213623047</v>
      </c>
      <c r="F3792" t="n">
        <v>17.34474563598633</v>
      </c>
      <c r="G3792" t="n">
        <v>77.80302429199219</v>
      </c>
      <c r="H3792">
        <f>AVERAGE(D3593:D3792)</f>
        <v/>
      </c>
      <c r="I3792">
        <f>AVERAGE(E3593:E3792)</f>
        <v/>
      </c>
      <c r="J3792">
        <f>AVERAGE(F3593:F3792)</f>
        <v/>
      </c>
    </row>
    <row r="3793">
      <c r="C3793" s="539" t="n">
        <v>44952</v>
      </c>
      <c r="D3793" t="n">
        <v>179.4700012207031</v>
      </c>
      <c r="E3793" t="n">
        <v>70.93000030517578</v>
      </c>
      <c r="F3793" t="n">
        <v>17.58416938781738</v>
      </c>
      <c r="G3793" t="n">
        <v>77.84547424316406</v>
      </c>
      <c r="H3793">
        <f>AVERAGE(D3594:D3793)</f>
        <v/>
      </c>
      <c r="I3793">
        <f>AVERAGE(E3594:E3793)</f>
        <v/>
      </c>
      <c r="J3793">
        <f>AVERAGE(F3594:F3793)</f>
        <v/>
      </c>
    </row>
    <row r="3794">
      <c r="C3794" s="539" t="n">
        <v>44953</v>
      </c>
      <c r="D3794" t="n">
        <v>179.2200012207031</v>
      </c>
      <c r="E3794" t="n">
        <v>69.5</v>
      </c>
      <c r="F3794" t="n">
        <v>17.61963653564453</v>
      </c>
      <c r="G3794" t="n">
        <v>77.85395812988281</v>
      </c>
      <c r="H3794">
        <f>AVERAGE(D3595:D3794)</f>
        <v/>
      </c>
      <c r="I3794">
        <f>AVERAGE(E3595:E3794)</f>
        <v/>
      </c>
      <c r="J3794">
        <f>AVERAGE(F3595:F3794)</f>
        <v/>
      </c>
    </row>
    <row r="3795">
      <c r="C3795" s="539" t="n">
        <v>44956</v>
      </c>
      <c r="D3795" t="n">
        <v>178.7599945068359</v>
      </c>
      <c r="E3795" t="n">
        <v>68.09999847412109</v>
      </c>
      <c r="F3795" t="n">
        <v>17.7171802520752</v>
      </c>
      <c r="G3795" t="n">
        <v>77.85395812988281</v>
      </c>
      <c r="H3795">
        <f>AVERAGE(D3596:D3795)</f>
        <v/>
      </c>
      <c r="I3795">
        <f>AVERAGE(E3596:E3795)</f>
        <v/>
      </c>
      <c r="J3795">
        <f>AVERAGE(F3596:F3795)</f>
        <v/>
      </c>
    </row>
    <row r="3796">
      <c r="C3796" s="539" t="n">
        <v>44957</v>
      </c>
      <c r="D3796" t="n">
        <v>179.4100036621094</v>
      </c>
      <c r="E3796" t="n">
        <v>69.31999969482422</v>
      </c>
      <c r="F3796" t="n">
        <v>17.93886566162109</v>
      </c>
      <c r="G3796" t="n">
        <v>77.86244964599609</v>
      </c>
      <c r="H3796">
        <f>AVERAGE(D3597:D3796)</f>
        <v/>
      </c>
      <c r="I3796">
        <f>AVERAGE(E3597:E3796)</f>
        <v/>
      </c>
      <c r="J3796">
        <f>AVERAGE(F3597:F3796)</f>
        <v/>
      </c>
    </row>
    <row r="3797">
      <c r="C3797" s="539" t="n">
        <v>44958</v>
      </c>
      <c r="D3797" t="n">
        <v>181.6699981689453</v>
      </c>
      <c r="E3797" t="n">
        <v>67.36000061035156</v>
      </c>
      <c r="F3797" t="n">
        <v>17.81472015380859</v>
      </c>
      <c r="G3797" t="n">
        <v>77.86756896972656</v>
      </c>
      <c r="H3797">
        <f>AVERAGE(D3598:D3797)</f>
        <v/>
      </c>
      <c r="I3797">
        <f>AVERAGE(E3598:E3797)</f>
        <v/>
      </c>
      <c r="J3797">
        <f>AVERAGE(F3598:F3797)</f>
        <v/>
      </c>
    </row>
    <row r="3798">
      <c r="C3798" s="539" t="n">
        <v>44959</v>
      </c>
      <c r="D3798" t="n">
        <v>177.8999938964844</v>
      </c>
      <c r="E3798" t="n">
        <v>66.56999969482422</v>
      </c>
      <c r="F3798" t="n">
        <v>17.88566207885742</v>
      </c>
      <c r="G3798" t="n">
        <v>77.90162658691406</v>
      </c>
      <c r="H3798">
        <f>AVERAGE(D3599:D3798)</f>
        <v/>
      </c>
      <c r="I3798">
        <f>AVERAGE(E3599:E3798)</f>
        <v/>
      </c>
      <c r="J3798">
        <f>AVERAGE(F3599:F3798)</f>
        <v/>
      </c>
    </row>
    <row r="3799">
      <c r="C3799" s="539" t="n">
        <v>44960</v>
      </c>
      <c r="D3799" t="n">
        <v>173.4600067138672</v>
      </c>
      <c r="E3799" t="n">
        <v>64.40000152587891</v>
      </c>
      <c r="F3799" t="n">
        <v>17.78811836242676</v>
      </c>
      <c r="G3799" t="n">
        <v>77.91867065429688</v>
      </c>
      <c r="H3799">
        <f>AVERAGE(D3600:D3799)</f>
        <v/>
      </c>
      <c r="I3799">
        <f>AVERAGE(E3600:E3799)</f>
        <v/>
      </c>
      <c r="J3799">
        <f>AVERAGE(F3600:F3799)</f>
        <v/>
      </c>
    </row>
    <row r="3800">
      <c r="C3800" s="539" t="n">
        <v>44963</v>
      </c>
      <c r="D3800" t="n">
        <v>173.8200073242188</v>
      </c>
      <c r="E3800" t="n">
        <v>65.5</v>
      </c>
      <c r="F3800" t="n">
        <v>17.7437801361084</v>
      </c>
      <c r="G3800" t="n">
        <v>77.92718505859375</v>
      </c>
      <c r="H3800">
        <f>AVERAGE(D3601:D3800)</f>
        <v/>
      </c>
      <c r="I3800">
        <f>AVERAGE(E3601:E3800)</f>
        <v/>
      </c>
      <c r="J3800">
        <f>AVERAGE(F3601:F3800)</f>
        <v/>
      </c>
    </row>
    <row r="3801">
      <c r="C3801" s="539" t="n">
        <v>44964</v>
      </c>
      <c r="D3801" t="n">
        <v>173.9799957275391</v>
      </c>
      <c r="E3801" t="n">
        <v>67.76000213623047</v>
      </c>
      <c r="F3801" t="n">
        <v>17.78811836242676</v>
      </c>
      <c r="G3801" t="n">
        <v>77.93572998046875</v>
      </c>
      <c r="H3801">
        <f>AVERAGE(D3602:D3801)</f>
        <v/>
      </c>
      <c r="I3801">
        <f>AVERAGE(E3602:E3801)</f>
        <v/>
      </c>
      <c r="J3801">
        <f>AVERAGE(F3602:F3801)</f>
        <v/>
      </c>
    </row>
    <row r="3802">
      <c r="C3802" s="539" t="n">
        <v>44965</v>
      </c>
      <c r="D3802" t="n">
        <v>174.4100036621094</v>
      </c>
      <c r="E3802" t="n">
        <v>68.68000030517578</v>
      </c>
      <c r="F3802" t="n">
        <v>17.84132385253906</v>
      </c>
      <c r="G3802" t="n">
        <v>77.93572998046875</v>
      </c>
      <c r="H3802">
        <f>AVERAGE(D3603:D3802)</f>
        <v/>
      </c>
      <c r="I3802">
        <f>AVERAGE(E3603:E3802)</f>
        <v/>
      </c>
      <c r="J3802">
        <f>AVERAGE(F3603:F3802)</f>
        <v/>
      </c>
    </row>
    <row r="3803">
      <c r="C3803" s="539" t="n">
        <v>44966</v>
      </c>
      <c r="D3803" t="n">
        <v>173.0299987792969</v>
      </c>
      <c r="E3803" t="n">
        <v>67.91999816894531</v>
      </c>
      <c r="F3803" t="n">
        <v>17.72604560852051</v>
      </c>
      <c r="G3803" t="n">
        <v>77.96126556396484</v>
      </c>
      <c r="H3803">
        <f>AVERAGE(D3604:D3803)</f>
        <v/>
      </c>
      <c r="I3803">
        <f>AVERAGE(E3604:E3803)</f>
        <v/>
      </c>
      <c r="J3803">
        <f>AVERAGE(F3604:F3803)</f>
        <v/>
      </c>
    </row>
    <row r="3804">
      <c r="C3804" s="539" t="n">
        <v>44967</v>
      </c>
      <c r="D3804" t="n">
        <v>173.3600006103516</v>
      </c>
      <c r="E3804" t="n">
        <v>69.87000274658203</v>
      </c>
      <c r="F3804" t="n">
        <v>17.89452743530273</v>
      </c>
      <c r="G3804" t="n">
        <v>77.96980285644531</v>
      </c>
      <c r="H3804">
        <f>AVERAGE(D3605:D3804)</f>
        <v/>
      </c>
      <c r="I3804">
        <f>AVERAGE(E3605:E3804)</f>
        <v/>
      </c>
      <c r="J3804">
        <f>AVERAGE(F3605:F3804)</f>
        <v/>
      </c>
    </row>
    <row r="3805">
      <c r="C3805" s="539" t="n">
        <v>44970</v>
      </c>
      <c r="D3805" t="n">
        <v>172.4799957275391</v>
      </c>
      <c r="E3805" t="n">
        <v>69.5</v>
      </c>
      <c r="F3805" t="n">
        <v>18.00093650817871</v>
      </c>
      <c r="G3805" t="n">
        <v>77.98686218261719</v>
      </c>
      <c r="H3805">
        <f>AVERAGE(D3606:D3805)</f>
        <v/>
      </c>
      <c r="I3805">
        <f>AVERAGE(E3606:E3805)</f>
        <v/>
      </c>
      <c r="J3805">
        <f>AVERAGE(F3606:F3805)</f>
        <v/>
      </c>
    </row>
    <row r="3806">
      <c r="C3806" s="539" t="n">
        <v>44971</v>
      </c>
      <c r="D3806" t="n">
        <v>172.6100006103516</v>
      </c>
      <c r="E3806" t="n">
        <v>69.40000152587891</v>
      </c>
      <c r="F3806" t="n">
        <v>18.1428165435791</v>
      </c>
      <c r="G3806" t="n">
        <v>77.98686218261719</v>
      </c>
      <c r="H3806">
        <f>AVERAGE(D3607:D3806)</f>
        <v/>
      </c>
      <c r="I3806">
        <f>AVERAGE(E3607:E3806)</f>
        <v/>
      </c>
      <c r="J3806">
        <f>AVERAGE(F3607:F3806)</f>
        <v/>
      </c>
    </row>
    <row r="3807">
      <c r="C3807" s="539" t="n">
        <v>44972</v>
      </c>
      <c r="D3807" t="n">
        <v>170.8899993896484</v>
      </c>
      <c r="E3807" t="n">
        <v>69.01999664306641</v>
      </c>
      <c r="F3807" t="n">
        <v>17.99207305908203</v>
      </c>
      <c r="G3807" t="n">
        <v>78.00386047363281</v>
      </c>
      <c r="H3807">
        <f>AVERAGE(D3608:D3807)</f>
        <v/>
      </c>
      <c r="I3807">
        <f>AVERAGE(E3608:E3807)</f>
        <v/>
      </c>
      <c r="J3807">
        <f>AVERAGE(F3608:F3807)</f>
        <v/>
      </c>
    </row>
    <row r="3808">
      <c r="C3808" s="539" t="n">
        <v>44973</v>
      </c>
      <c r="D3808" t="n">
        <v>170.75</v>
      </c>
      <c r="E3808" t="n">
        <v>68.44999694824219</v>
      </c>
      <c r="F3808" t="n">
        <v>18.07187652587891</v>
      </c>
      <c r="G3808" t="n">
        <v>78.04647064208984</v>
      </c>
      <c r="H3808">
        <f>AVERAGE(D3609:D3808)</f>
        <v/>
      </c>
      <c r="I3808">
        <f>AVERAGE(E3609:E3808)</f>
        <v/>
      </c>
      <c r="J3808">
        <f>AVERAGE(F3609:F3808)</f>
        <v/>
      </c>
    </row>
    <row r="3809">
      <c r="C3809" s="539" t="n">
        <v>44974</v>
      </c>
      <c r="D3809" t="n">
        <v>171.2599945068359</v>
      </c>
      <c r="E3809" t="n">
        <v>67.01999664306641</v>
      </c>
      <c r="F3809" t="n">
        <v>18.16055297851562</v>
      </c>
      <c r="G3809" t="n">
        <v>78.05497741699219</v>
      </c>
      <c r="H3809">
        <f>AVERAGE(D3610:D3809)</f>
        <v/>
      </c>
      <c r="I3809">
        <f>AVERAGE(E3610:E3809)</f>
        <v/>
      </c>
      <c r="J3809">
        <f>AVERAGE(F3610:F3809)</f>
        <v/>
      </c>
    </row>
    <row r="3810">
      <c r="C3810" s="539" t="n">
        <v>44978</v>
      </c>
      <c r="D3810" t="n">
        <v>170.6199951171875</v>
      </c>
      <c r="E3810" t="n">
        <v>66.69000244140625</v>
      </c>
      <c r="F3810" t="n">
        <v>18.33790016174316</v>
      </c>
      <c r="G3810" t="n">
        <v>78.05497741699219</v>
      </c>
      <c r="H3810">
        <f>AVERAGE(D3611:D3810)</f>
        <v/>
      </c>
      <c r="I3810">
        <f>AVERAGE(E3611:E3810)</f>
        <v/>
      </c>
      <c r="J3810">
        <f>AVERAGE(F3611:F3810)</f>
        <v/>
      </c>
    </row>
    <row r="3811">
      <c r="C3811" s="539" t="n">
        <v>44979</v>
      </c>
      <c r="D3811" t="n">
        <v>169.6600036621094</v>
      </c>
      <c r="E3811" t="n">
        <v>64.91999816894531</v>
      </c>
      <c r="F3811" t="n">
        <v>18.24922561645508</v>
      </c>
      <c r="G3811" t="n">
        <v>78.08055114746094</v>
      </c>
      <c r="H3811">
        <f>AVERAGE(D3612:D3811)</f>
        <v/>
      </c>
      <c r="I3811">
        <f>AVERAGE(E3612:E3811)</f>
        <v/>
      </c>
      <c r="J3811">
        <f>AVERAGE(F3612:F3811)</f>
        <v/>
      </c>
    </row>
    <row r="3812">
      <c r="C3812" s="539" t="n">
        <v>44980</v>
      </c>
      <c r="D3812" t="n">
        <v>169.5700073242188</v>
      </c>
      <c r="E3812" t="n">
        <v>66.37999725341797</v>
      </c>
      <c r="F3812" t="n">
        <v>18.23148918151855</v>
      </c>
      <c r="G3812" t="n">
        <v>78.10611724853516</v>
      </c>
      <c r="H3812">
        <f>AVERAGE(D3613:D3812)</f>
        <v/>
      </c>
      <c r="I3812">
        <f>AVERAGE(E3613:E3812)</f>
        <v/>
      </c>
      <c r="J3812">
        <f>AVERAGE(F3613:F3812)</f>
        <v/>
      </c>
    </row>
    <row r="3813">
      <c r="C3813" s="539" t="n">
        <v>44981</v>
      </c>
      <c r="D3813" t="n">
        <v>168.3500061035156</v>
      </c>
      <c r="E3813" t="n">
        <v>67.09999847412109</v>
      </c>
      <c r="F3813" t="n">
        <v>17.96546745300293</v>
      </c>
      <c r="G3813" t="n">
        <v>78.11465454101562</v>
      </c>
      <c r="H3813">
        <f>AVERAGE(D3614:D3813)</f>
        <v/>
      </c>
      <c r="I3813">
        <f>AVERAGE(E3614:E3813)</f>
        <v/>
      </c>
      <c r="J3813">
        <f>AVERAGE(F3614:F3813)</f>
        <v/>
      </c>
    </row>
    <row r="3814">
      <c r="C3814" s="539" t="n">
        <v>44984</v>
      </c>
      <c r="D3814" t="n">
        <v>169.0099945068359</v>
      </c>
      <c r="E3814" t="n">
        <v>66.25</v>
      </c>
      <c r="F3814" t="n">
        <v>17.94773292541504</v>
      </c>
      <c r="G3814" t="n">
        <v>78.12312316894531</v>
      </c>
      <c r="H3814">
        <f>AVERAGE(D3615:D3814)</f>
        <v/>
      </c>
      <c r="I3814">
        <f>AVERAGE(E3615:E3814)</f>
        <v/>
      </c>
      <c r="J3814">
        <f>AVERAGE(F3615:F3814)</f>
        <v/>
      </c>
    </row>
    <row r="3815">
      <c r="C3815" s="539" t="n">
        <v>44985</v>
      </c>
      <c r="D3815" t="n">
        <v>169.7799987792969</v>
      </c>
      <c r="E3815" t="n">
        <v>67.20999908447266</v>
      </c>
      <c r="F3815" t="n">
        <v>17.90339469909668</v>
      </c>
      <c r="G3815" t="n">
        <v>78.13165283203125</v>
      </c>
      <c r="H3815">
        <f>AVERAGE(D3616:D3815)</f>
        <v/>
      </c>
      <c r="I3815">
        <f>AVERAGE(E3616:E3815)</f>
        <v/>
      </c>
      <c r="J3815">
        <f>AVERAGE(F3616:F3815)</f>
        <v/>
      </c>
    </row>
    <row r="3816">
      <c r="C3816" s="539" t="n">
        <v>44986</v>
      </c>
      <c r="D3816" t="n">
        <v>170.7599945068359</v>
      </c>
      <c r="E3816" t="n">
        <v>68.06999969482422</v>
      </c>
      <c r="F3816" t="n">
        <v>18.01867294311523</v>
      </c>
      <c r="G3816" t="n">
        <v>78.13592529296875</v>
      </c>
      <c r="H3816">
        <f>AVERAGE(D3617:D3816)</f>
        <v/>
      </c>
      <c r="I3816">
        <f>AVERAGE(E3617:E3816)</f>
        <v/>
      </c>
      <c r="J3816">
        <f>AVERAGE(F3617:F3816)</f>
        <v/>
      </c>
    </row>
    <row r="3817">
      <c r="C3817" s="539" t="n">
        <v>44987</v>
      </c>
      <c r="D3817" t="n">
        <v>170.6600036621094</v>
      </c>
      <c r="E3817" t="n">
        <v>68.30000305175781</v>
      </c>
      <c r="F3817" t="n">
        <v>17.91226196289062</v>
      </c>
      <c r="G3817" t="n">
        <v>78.16157531738281</v>
      </c>
      <c r="H3817">
        <f>AVERAGE(D3618:D3817)</f>
        <v/>
      </c>
      <c r="I3817">
        <f>AVERAGE(E3618:E3817)</f>
        <v/>
      </c>
      <c r="J3817">
        <f>AVERAGE(F3618:F3817)</f>
        <v/>
      </c>
    </row>
    <row r="3818">
      <c r="C3818" s="539" t="n">
        <v>44988</v>
      </c>
      <c r="D3818" t="n">
        <v>172.4900054931641</v>
      </c>
      <c r="E3818" t="n">
        <v>69.86000061035156</v>
      </c>
      <c r="F3818" t="n">
        <v>18.01867294311523</v>
      </c>
      <c r="G3818" t="n">
        <v>78.17866516113281</v>
      </c>
      <c r="H3818">
        <f>AVERAGE(D3619:D3818)</f>
        <v/>
      </c>
      <c r="I3818">
        <f>AVERAGE(E3619:E3818)</f>
        <v/>
      </c>
      <c r="J3818">
        <f>AVERAGE(F3619:F3818)</f>
        <v/>
      </c>
    </row>
    <row r="3819">
      <c r="C3819" s="539" t="n">
        <v>44991</v>
      </c>
      <c r="D3819" t="n">
        <v>171.6199951171875</v>
      </c>
      <c r="E3819" t="n">
        <v>70.48999786376953</v>
      </c>
      <c r="F3819" t="n">
        <v>17.95660018920898</v>
      </c>
      <c r="G3819" t="n">
        <v>78.18718719482422</v>
      </c>
      <c r="H3819">
        <f>AVERAGE(D3620:D3819)</f>
        <v/>
      </c>
      <c r="I3819">
        <f>AVERAGE(E3620:E3819)</f>
        <v/>
      </c>
      <c r="J3819">
        <f>AVERAGE(F3620:F3819)</f>
        <v/>
      </c>
    </row>
    <row r="3820">
      <c r="C3820" s="539" t="n">
        <v>44992</v>
      </c>
      <c r="D3820" t="n">
        <v>168.6199951171875</v>
      </c>
      <c r="E3820" t="n">
        <v>67.84999847412109</v>
      </c>
      <c r="F3820" t="n">
        <v>17.92999649047852</v>
      </c>
      <c r="G3820" t="n">
        <v>78.18718719482422</v>
      </c>
      <c r="H3820">
        <f>AVERAGE(D3621:D3820)</f>
        <v/>
      </c>
      <c r="I3820">
        <f>AVERAGE(E3621:E3820)</f>
        <v/>
      </c>
      <c r="J3820">
        <f>AVERAGE(F3621:F3820)</f>
        <v/>
      </c>
    </row>
    <row r="3821">
      <c r="C3821" s="539" t="n">
        <v>44993</v>
      </c>
      <c r="D3821" t="n">
        <v>168.5399932861328</v>
      </c>
      <c r="E3821" t="n">
        <v>67.09999847412109</v>
      </c>
      <c r="F3821" t="n">
        <v>17.7969856262207</v>
      </c>
      <c r="G3821" t="n">
        <v>78.20429229736328</v>
      </c>
      <c r="H3821">
        <f>AVERAGE(D3622:D3821)</f>
        <v/>
      </c>
      <c r="I3821">
        <f>AVERAGE(E3622:E3821)</f>
        <v/>
      </c>
      <c r="J3821">
        <f>AVERAGE(F3622:F3821)</f>
        <v/>
      </c>
    </row>
    <row r="3822">
      <c r="C3822" s="539" t="n">
        <v>44994</v>
      </c>
      <c r="D3822" t="n">
        <v>170.1999969482422</v>
      </c>
      <c r="E3822" t="n">
        <v>66.23999786376953</v>
      </c>
      <c r="F3822" t="n">
        <v>17.69057655334473</v>
      </c>
      <c r="G3822" t="n">
        <v>78.22138214111328</v>
      </c>
      <c r="H3822">
        <f>AVERAGE(D3623:D3822)</f>
        <v/>
      </c>
      <c r="I3822">
        <f>AVERAGE(E3623:E3822)</f>
        <v/>
      </c>
      <c r="J3822">
        <f>AVERAGE(F3623:F3822)</f>
        <v/>
      </c>
    </row>
    <row r="3823">
      <c r="C3823" s="539" t="n">
        <v>44995</v>
      </c>
      <c r="D3823" t="n">
        <v>173.8699951171875</v>
      </c>
      <c r="E3823" t="n">
        <v>67.13999938964844</v>
      </c>
      <c r="F3823" t="n">
        <v>17.76151657104492</v>
      </c>
      <c r="G3823" t="n">
        <v>78.23845672607422</v>
      </c>
      <c r="H3823">
        <f>AVERAGE(D3624:D3823)</f>
        <v/>
      </c>
      <c r="I3823">
        <f>AVERAGE(E3624:E3823)</f>
        <v/>
      </c>
      <c r="J3823">
        <f>AVERAGE(F3624:F3823)</f>
        <v/>
      </c>
    </row>
    <row r="3824">
      <c r="C3824" s="539" t="n">
        <v>44998</v>
      </c>
      <c r="D3824" t="n">
        <v>177.8600006103516</v>
      </c>
      <c r="E3824" t="n">
        <v>65.25</v>
      </c>
      <c r="F3824" t="n">
        <v>17.67284202575684</v>
      </c>
      <c r="G3824" t="n">
        <v>78.25553894042969</v>
      </c>
      <c r="H3824">
        <f>AVERAGE(D3625:D3824)</f>
        <v/>
      </c>
      <c r="I3824">
        <f>AVERAGE(E3625:E3824)</f>
        <v/>
      </c>
      <c r="J3824">
        <f>AVERAGE(F3625:F3824)</f>
        <v/>
      </c>
    </row>
    <row r="3825">
      <c r="C3825" s="539" t="n">
        <v>44999</v>
      </c>
      <c r="D3825" t="n">
        <v>176.8300018310547</v>
      </c>
      <c r="E3825" t="n">
        <v>62.93000030517578</v>
      </c>
      <c r="F3825" t="n">
        <v>17.67284202575684</v>
      </c>
      <c r="G3825" t="n">
        <v>78.26410675048828</v>
      </c>
      <c r="H3825">
        <f>AVERAGE(D3626:D3825)</f>
        <v/>
      </c>
      <c r="I3825">
        <f>AVERAGE(E3626:E3825)</f>
        <v/>
      </c>
      <c r="J3825">
        <f>AVERAGE(F3626:F3825)</f>
        <v/>
      </c>
    </row>
    <row r="3826">
      <c r="C3826" s="539" t="n">
        <v>45000</v>
      </c>
      <c r="D3826" t="n">
        <v>178.2100067138672</v>
      </c>
      <c r="E3826" t="n">
        <v>60.02000045776367</v>
      </c>
      <c r="F3826" t="n">
        <v>17.47775650024414</v>
      </c>
      <c r="G3826" t="n">
        <v>78.30680847167969</v>
      </c>
      <c r="H3826">
        <f>AVERAGE(D3627:D3826)</f>
        <v/>
      </c>
      <c r="I3826">
        <f>AVERAGE(E3627:E3826)</f>
        <v/>
      </c>
      <c r="J3826">
        <f>AVERAGE(F3627:F3826)</f>
        <v/>
      </c>
    </row>
    <row r="3827">
      <c r="C3827" s="539" t="n">
        <v>45001</v>
      </c>
      <c r="D3827" t="n">
        <v>178.5700073242188</v>
      </c>
      <c r="E3827" t="n">
        <v>60.04999923706055</v>
      </c>
      <c r="F3827" t="n">
        <v>17.60190200805664</v>
      </c>
      <c r="G3827" t="n">
        <v>78.34098052978516</v>
      </c>
      <c r="H3827">
        <f>AVERAGE(D3628:D3827)</f>
        <v/>
      </c>
      <c r="I3827">
        <f>AVERAGE(E3628:E3827)</f>
        <v/>
      </c>
      <c r="J3827">
        <f>AVERAGE(F3628:F3827)</f>
        <v/>
      </c>
    </row>
    <row r="3828">
      <c r="C3828" s="539" t="n">
        <v>45002</v>
      </c>
      <c r="D3828" t="n">
        <v>183.7700042724609</v>
      </c>
      <c r="E3828" t="n">
        <v>58.65999984741211</v>
      </c>
      <c r="F3828" t="n">
        <v>17.58416938781738</v>
      </c>
      <c r="G3828" t="n">
        <v>78.35807800292969</v>
      </c>
      <c r="H3828">
        <f>AVERAGE(D3629:D3828)</f>
        <v/>
      </c>
      <c r="I3828">
        <f>AVERAGE(E3629:E3828)</f>
        <v/>
      </c>
      <c r="J3828">
        <f>AVERAGE(F3629:F3828)</f>
        <v/>
      </c>
    </row>
    <row r="3829">
      <c r="C3829" s="539" t="n">
        <v>45005</v>
      </c>
      <c r="D3829" t="n">
        <v>183.8399963378906</v>
      </c>
      <c r="E3829" t="n">
        <v>59.79000091552734</v>
      </c>
      <c r="F3829" t="n">
        <v>17.5753002166748</v>
      </c>
      <c r="G3829" t="n">
        <v>78.36663055419922</v>
      </c>
      <c r="H3829">
        <f>AVERAGE(D3630:D3829)</f>
        <v/>
      </c>
      <c r="I3829">
        <f>AVERAGE(E3630:E3829)</f>
        <v/>
      </c>
      <c r="J3829">
        <f>AVERAGE(F3630:F3829)</f>
        <v/>
      </c>
    </row>
    <row r="3830">
      <c r="C3830" s="539" t="n">
        <v>45006</v>
      </c>
      <c r="D3830" t="n">
        <v>180.3699951171875</v>
      </c>
      <c r="E3830" t="n">
        <v>61.22999954223633</v>
      </c>
      <c r="F3830" t="n">
        <v>17.5930347442627</v>
      </c>
      <c r="G3830" t="n">
        <v>78.36663055419922</v>
      </c>
      <c r="H3830">
        <f>AVERAGE(D3631:D3830)</f>
        <v/>
      </c>
      <c r="I3830">
        <f>AVERAGE(E3631:E3830)</f>
        <v/>
      </c>
      <c r="J3830">
        <f>AVERAGE(F3631:F3830)</f>
        <v/>
      </c>
    </row>
    <row r="3831">
      <c r="C3831" s="539" t="n">
        <v>45007</v>
      </c>
      <c r="D3831" t="n">
        <v>183.4400024414062</v>
      </c>
      <c r="E3831" t="n">
        <v>61.61000061035156</v>
      </c>
      <c r="F3831" t="n">
        <v>17.53096389770508</v>
      </c>
      <c r="G3831" t="n">
        <v>78.38368225097656</v>
      </c>
      <c r="H3831">
        <f>AVERAGE(D3632:D3831)</f>
        <v/>
      </c>
      <c r="I3831">
        <f>AVERAGE(E3632:E3831)</f>
        <v/>
      </c>
      <c r="J3831">
        <f>AVERAGE(F3632:F3831)</f>
        <v/>
      </c>
    </row>
    <row r="3832">
      <c r="C3832" s="539" t="n">
        <v>45008</v>
      </c>
      <c r="D3832" t="n">
        <v>185.7400054931641</v>
      </c>
      <c r="E3832" t="n">
        <v>60.9900016784668</v>
      </c>
      <c r="F3832" t="n">
        <v>17.43342018127441</v>
      </c>
      <c r="G3832" t="n">
        <v>78.41785430908203</v>
      </c>
      <c r="H3832">
        <f>AVERAGE(D3633:D3832)</f>
        <v/>
      </c>
      <c r="I3832">
        <f>AVERAGE(E3633:E3832)</f>
        <v/>
      </c>
      <c r="J3832">
        <f>AVERAGE(F3633:F3832)</f>
        <v/>
      </c>
    </row>
    <row r="3833">
      <c r="C3833" s="539" t="n">
        <v>45009</v>
      </c>
      <c r="D3833" t="n">
        <v>183.6499938964844</v>
      </c>
      <c r="E3833" t="n">
        <v>60.95999908447266</v>
      </c>
      <c r="F3833" t="n">
        <v>17.69944381713867</v>
      </c>
      <c r="G3833" t="n">
        <v>78.43494415283203</v>
      </c>
      <c r="H3833">
        <f>AVERAGE(D3634:D3833)</f>
        <v/>
      </c>
      <c r="I3833">
        <f>AVERAGE(E3634:E3833)</f>
        <v/>
      </c>
      <c r="J3833">
        <f>AVERAGE(F3634:F3833)</f>
        <v/>
      </c>
    </row>
    <row r="3834">
      <c r="C3834" s="539" t="n">
        <v>45012</v>
      </c>
      <c r="D3834" t="n">
        <v>181.9499969482422</v>
      </c>
      <c r="E3834" t="n">
        <v>64.15000152587891</v>
      </c>
      <c r="F3834" t="n">
        <v>17.8679256439209</v>
      </c>
      <c r="G3834" t="n">
        <v>78.42639923095703</v>
      </c>
      <c r="H3834">
        <f>AVERAGE(D3635:D3834)</f>
        <v/>
      </c>
      <c r="I3834">
        <f>AVERAGE(E3635:E3834)</f>
        <v/>
      </c>
      <c r="J3834">
        <f>AVERAGE(F3635:F3834)</f>
        <v/>
      </c>
    </row>
    <row r="3835">
      <c r="C3835" s="539" t="n">
        <v>45013</v>
      </c>
      <c r="D3835" t="n">
        <v>183.4400024414062</v>
      </c>
      <c r="E3835" t="n">
        <v>64.55000305175781</v>
      </c>
      <c r="F3835" t="n">
        <v>17.94773292541504</v>
      </c>
      <c r="G3835" t="n">
        <v>78.44349670410156</v>
      </c>
      <c r="H3835">
        <f>AVERAGE(D3636:D3835)</f>
        <v/>
      </c>
      <c r="I3835">
        <f>AVERAGE(E3636:E3835)</f>
        <v/>
      </c>
      <c r="J3835">
        <f>AVERAGE(F3636:F3835)</f>
        <v/>
      </c>
    </row>
    <row r="3836">
      <c r="C3836" s="539" t="n">
        <v>45014</v>
      </c>
      <c r="D3836" t="n">
        <v>182.5299987792969</v>
      </c>
      <c r="E3836" t="n">
        <v>64.15000152587891</v>
      </c>
      <c r="F3836" t="n">
        <v>17.84132385253906</v>
      </c>
      <c r="G3836" t="n">
        <v>78.44349670410156</v>
      </c>
      <c r="H3836">
        <f>AVERAGE(D3637:D3836)</f>
        <v/>
      </c>
      <c r="I3836">
        <f>AVERAGE(E3637:E3836)</f>
        <v/>
      </c>
      <c r="J3836">
        <f>AVERAGE(F3637:F3836)</f>
        <v/>
      </c>
    </row>
    <row r="3837">
      <c r="C3837" s="539" t="n">
        <v>45015</v>
      </c>
      <c r="D3837" t="n">
        <v>184.1799926757812</v>
      </c>
      <c r="E3837" t="n">
        <v>65.31999969482422</v>
      </c>
      <c r="F3837" t="n">
        <v>18.00980567932129</v>
      </c>
      <c r="G3837" t="n">
        <v>78.4605712890625</v>
      </c>
      <c r="H3837">
        <f>AVERAGE(D3638:D3837)</f>
        <v/>
      </c>
      <c r="I3837">
        <f>AVERAGE(E3638:E3837)</f>
        <v/>
      </c>
      <c r="J3837">
        <f>AVERAGE(F3638:F3837)</f>
        <v/>
      </c>
    </row>
    <row r="3838">
      <c r="C3838" s="539" t="n">
        <v>45016</v>
      </c>
      <c r="D3838" t="n">
        <v>183.2200012207031</v>
      </c>
      <c r="E3838" t="n">
        <v>66.44000244140625</v>
      </c>
      <c r="F3838" t="n">
        <v>18.11621475219727</v>
      </c>
      <c r="G3838" t="n">
        <v>78.44349670410156</v>
      </c>
      <c r="H3838">
        <f>AVERAGE(D3639:D3838)</f>
        <v/>
      </c>
      <c r="I3838">
        <f>AVERAGE(E3639:E3838)</f>
        <v/>
      </c>
      <c r="J3838">
        <f>AVERAGE(F3639:F3838)</f>
        <v/>
      </c>
    </row>
    <row r="3839">
      <c r="C3839" s="539" t="n">
        <v>45019</v>
      </c>
      <c r="D3839" t="n">
        <v>184.5399932861328</v>
      </c>
      <c r="E3839" t="n">
        <v>70.26999664306641</v>
      </c>
      <c r="F3839" t="n">
        <v>18.13394927978516</v>
      </c>
      <c r="G3839" t="n">
        <v>78.46237182617188</v>
      </c>
      <c r="H3839">
        <f>AVERAGE(D3640:D3839)</f>
        <v/>
      </c>
      <c r="I3839">
        <f>AVERAGE(E3640:E3839)</f>
        <v/>
      </c>
      <c r="J3839">
        <f>AVERAGE(F3640:F3839)</f>
        <v/>
      </c>
    </row>
    <row r="3840">
      <c r="C3840" s="539" t="n">
        <v>45020</v>
      </c>
      <c r="D3840" t="n">
        <v>187.9799957275391</v>
      </c>
      <c r="E3840" t="n">
        <v>70.26999664306641</v>
      </c>
      <c r="F3840" t="n">
        <v>18.04527282714844</v>
      </c>
      <c r="G3840" t="n">
        <v>78.47093200683594</v>
      </c>
      <c r="H3840">
        <f>AVERAGE(D3641:D3840)</f>
        <v/>
      </c>
      <c r="I3840">
        <f>AVERAGE(E3641:E3840)</f>
        <v/>
      </c>
      <c r="J3840">
        <f>AVERAGE(F3641:F3840)</f>
        <v/>
      </c>
    </row>
    <row r="3841">
      <c r="C3841" s="539" t="n">
        <v>45021</v>
      </c>
      <c r="D3841" t="n">
        <v>187.8300018310547</v>
      </c>
      <c r="E3841" t="n">
        <v>70.23999786376953</v>
      </c>
      <c r="F3841" t="n">
        <v>18.13394927978516</v>
      </c>
      <c r="G3841" t="n">
        <v>78.51383972167969</v>
      </c>
      <c r="H3841">
        <f>AVERAGE(D3642:D3841)</f>
        <v/>
      </c>
      <c r="I3841">
        <f>AVERAGE(E3642:E3841)</f>
        <v/>
      </c>
      <c r="J3841">
        <f>AVERAGE(F3642:F3841)</f>
        <v/>
      </c>
    </row>
    <row r="3842">
      <c r="C3842" s="539" t="n">
        <v>45022</v>
      </c>
      <c r="D3842" t="n">
        <v>186.4900054931641</v>
      </c>
      <c r="E3842" t="n">
        <v>70.26000213623047</v>
      </c>
      <c r="F3842" t="n">
        <v>18.31129837036133</v>
      </c>
      <c r="G3842" t="n">
        <v>78.52241516113281</v>
      </c>
      <c r="H3842">
        <f>AVERAGE(D3643:D3842)</f>
        <v/>
      </c>
      <c r="I3842">
        <f>AVERAGE(E3643:E3842)</f>
        <v/>
      </c>
      <c r="J3842">
        <f>AVERAGE(F3643:F3842)</f>
        <v/>
      </c>
    </row>
    <row r="3843">
      <c r="C3843" s="539" t="n">
        <v>45026</v>
      </c>
      <c r="D3843" t="n">
        <v>185.1100006103516</v>
      </c>
      <c r="E3843" t="n">
        <v>69.76000213623047</v>
      </c>
      <c r="F3843" t="n">
        <v>18.35563468933105</v>
      </c>
      <c r="G3843" t="n">
        <v>78.53096008300781</v>
      </c>
      <c r="H3843">
        <f>AVERAGE(D3644:D3843)</f>
        <v/>
      </c>
      <c r="I3843">
        <f>AVERAGE(E3644:E3843)</f>
        <v/>
      </c>
      <c r="J3843">
        <f>AVERAGE(F3644:F3843)</f>
        <v/>
      </c>
    </row>
    <row r="3844">
      <c r="C3844" s="539" t="n">
        <v>45027</v>
      </c>
      <c r="D3844" t="n">
        <v>186.2799987792969</v>
      </c>
      <c r="E3844" t="n">
        <v>71.06999969482422</v>
      </c>
      <c r="F3844" t="n">
        <v>18.47978019714355</v>
      </c>
      <c r="G3844" t="n">
        <v>78.53956604003906</v>
      </c>
      <c r="H3844">
        <f>AVERAGE(D3645:D3844)</f>
        <v/>
      </c>
      <c r="I3844">
        <f>AVERAGE(E3645:E3844)</f>
        <v/>
      </c>
      <c r="J3844">
        <f>AVERAGE(F3645:F3844)</f>
        <v/>
      </c>
    </row>
    <row r="3845">
      <c r="C3845" s="539" t="n">
        <v>45028</v>
      </c>
      <c r="D3845" t="n">
        <v>187.1900024414062</v>
      </c>
      <c r="E3845" t="n">
        <v>72.43000030517578</v>
      </c>
      <c r="F3845" t="n">
        <v>18.4177074432373</v>
      </c>
      <c r="G3845" t="n">
        <v>78.55673217773438</v>
      </c>
      <c r="H3845">
        <f>AVERAGE(D3646:D3845)</f>
        <v/>
      </c>
      <c r="I3845">
        <f>AVERAGE(E3646:E3845)</f>
        <v/>
      </c>
      <c r="J3845">
        <f>AVERAGE(F3646:F3845)</f>
        <v/>
      </c>
    </row>
    <row r="3846">
      <c r="C3846" s="539" t="n">
        <v>45029</v>
      </c>
      <c r="D3846" t="n">
        <v>189.7200012207031</v>
      </c>
      <c r="E3846" t="n">
        <v>71.80000305175781</v>
      </c>
      <c r="F3846" t="n">
        <v>18.50638198852539</v>
      </c>
      <c r="G3846" t="n">
        <v>78.59960174560547</v>
      </c>
      <c r="H3846">
        <f>AVERAGE(D3647:D3846)</f>
        <v/>
      </c>
      <c r="I3846">
        <f>AVERAGE(E3647:E3846)</f>
        <v/>
      </c>
      <c r="J3846">
        <f>AVERAGE(F3647:F3846)</f>
        <v/>
      </c>
    </row>
    <row r="3847">
      <c r="C3847" s="539" t="n">
        <v>45030</v>
      </c>
      <c r="D3847" t="n">
        <v>186.3600006103516</v>
      </c>
      <c r="E3847" t="n">
        <v>72.08999633789062</v>
      </c>
      <c r="F3847" t="n">
        <v>18.54185104370117</v>
      </c>
      <c r="G3847" t="n">
        <v>78.59960174560547</v>
      </c>
      <c r="H3847">
        <f>AVERAGE(D3648:D3847)</f>
        <v/>
      </c>
      <c r="I3847">
        <f>AVERAGE(E3648:E3847)</f>
        <v/>
      </c>
      <c r="J3847">
        <f>AVERAGE(F3648:F3847)</f>
        <v/>
      </c>
    </row>
    <row r="3848">
      <c r="C3848" s="539" t="n">
        <v>45033</v>
      </c>
      <c r="D3848" t="n">
        <v>185.5299987792969</v>
      </c>
      <c r="E3848" t="n">
        <v>70.83999633789062</v>
      </c>
      <c r="F3848" t="n">
        <v>18.79900932312012</v>
      </c>
      <c r="G3848" t="n">
        <v>78.61676788330078</v>
      </c>
      <c r="H3848">
        <f>AVERAGE(D3649:D3848)</f>
        <v/>
      </c>
      <c r="I3848">
        <f>AVERAGE(E3649:E3848)</f>
        <v/>
      </c>
      <c r="J3848">
        <f>AVERAGE(F3649:F3848)</f>
        <v/>
      </c>
    </row>
    <row r="3849">
      <c r="C3849" s="539" t="n">
        <v>45034</v>
      </c>
      <c r="D3849" t="n">
        <v>186.25</v>
      </c>
      <c r="E3849" t="n">
        <v>70.73000335693359</v>
      </c>
      <c r="F3849" t="n">
        <v>18.8876838684082</v>
      </c>
      <c r="G3849" t="n">
        <v>78.62535095214844</v>
      </c>
      <c r="H3849">
        <f>AVERAGE(D3650:D3849)</f>
        <v/>
      </c>
      <c r="I3849">
        <f>AVERAGE(E3650:E3849)</f>
        <v/>
      </c>
      <c r="J3849">
        <f>AVERAGE(F3650:F3849)</f>
        <v/>
      </c>
    </row>
    <row r="3850">
      <c r="C3850" s="539" t="n">
        <v>45035</v>
      </c>
      <c r="D3850" t="n">
        <v>185.3600006103516</v>
      </c>
      <c r="E3850" t="n">
        <v>69.30000305175781</v>
      </c>
      <c r="F3850" t="n">
        <v>18.71920204162598</v>
      </c>
      <c r="G3850" t="n">
        <v>78.6339111328125</v>
      </c>
      <c r="H3850">
        <f>AVERAGE(D3651:D3850)</f>
        <v/>
      </c>
      <c r="I3850">
        <f>AVERAGE(E3651:E3850)</f>
        <v/>
      </c>
      <c r="J3850">
        <f>AVERAGE(F3651:F3850)</f>
        <v/>
      </c>
    </row>
    <row r="3851">
      <c r="C3851" s="539" t="n">
        <v>45036</v>
      </c>
      <c r="D3851" t="n">
        <v>186.0899963378906</v>
      </c>
      <c r="E3851" t="n">
        <v>67.59999847412109</v>
      </c>
      <c r="F3851" t="n">
        <v>18.69259834289551</v>
      </c>
      <c r="G3851" t="n">
        <v>78.6939697265625</v>
      </c>
      <c r="H3851">
        <f>AVERAGE(D3652:D3851)</f>
        <v/>
      </c>
      <c r="I3851">
        <f>AVERAGE(E3652:E3851)</f>
        <v/>
      </c>
      <c r="J3851">
        <f>AVERAGE(F3652:F3851)</f>
        <v/>
      </c>
    </row>
    <row r="3852">
      <c r="C3852" s="539" t="n">
        <v>45037</v>
      </c>
      <c r="D3852" t="n">
        <v>184.25</v>
      </c>
      <c r="E3852" t="n">
        <v>68.20999908447266</v>
      </c>
      <c r="F3852" t="n">
        <v>18.56845664978027</v>
      </c>
      <c r="G3852" t="n">
        <v>78.68540954589844</v>
      </c>
      <c r="H3852">
        <f>AVERAGE(D3653:D3852)</f>
        <v/>
      </c>
      <c r="I3852">
        <f>AVERAGE(E3653:E3852)</f>
        <v/>
      </c>
      <c r="J3852">
        <f>AVERAGE(F3653:F3852)</f>
        <v/>
      </c>
    </row>
    <row r="3853">
      <c r="C3853" s="539" t="n">
        <v>45040</v>
      </c>
      <c r="D3853" t="n">
        <v>184.8099975585938</v>
      </c>
      <c r="E3853" t="n">
        <v>69.25</v>
      </c>
      <c r="F3853" t="n">
        <v>18.67486190795898</v>
      </c>
      <c r="G3853" t="n">
        <v>78.6939697265625</v>
      </c>
      <c r="H3853">
        <f>AVERAGE(D3654:D3853)</f>
        <v/>
      </c>
      <c r="I3853">
        <f>AVERAGE(E3654:E3853)</f>
        <v/>
      </c>
      <c r="J3853">
        <f>AVERAGE(F3654:F3853)</f>
        <v/>
      </c>
    </row>
    <row r="3854">
      <c r="C3854" s="539" t="n">
        <v>45041</v>
      </c>
      <c r="D3854" t="n">
        <v>185.75</v>
      </c>
      <c r="E3854" t="n">
        <v>67.62000274658203</v>
      </c>
      <c r="F3854" t="n">
        <v>18.61279296875</v>
      </c>
      <c r="G3854" t="n">
        <v>78.68540954589844</v>
      </c>
      <c r="H3854">
        <f>AVERAGE(D3655:D3854)</f>
        <v/>
      </c>
      <c r="I3854">
        <f>AVERAGE(E3655:E3854)</f>
        <v/>
      </c>
      <c r="J3854">
        <f>AVERAGE(F3655:F3854)</f>
        <v/>
      </c>
    </row>
    <row r="3855">
      <c r="C3855" s="539" t="n">
        <v>45042</v>
      </c>
      <c r="D3855" t="n">
        <v>184.7400054931641</v>
      </c>
      <c r="E3855" t="n">
        <v>65.36000061035156</v>
      </c>
      <c r="F3855" t="n">
        <v>18.6393928527832</v>
      </c>
      <c r="G3855" t="n">
        <v>78.70253753662109</v>
      </c>
      <c r="H3855">
        <f>AVERAGE(D3656:D3855)</f>
        <v/>
      </c>
      <c r="I3855">
        <f>AVERAGE(E3656:E3855)</f>
        <v/>
      </c>
      <c r="J3855">
        <f>AVERAGE(F3656:F3855)</f>
        <v/>
      </c>
    </row>
    <row r="3856">
      <c r="C3856" s="539" t="n">
        <v>45043</v>
      </c>
      <c r="D3856" t="n">
        <v>184.75</v>
      </c>
      <c r="E3856" t="n">
        <v>65.80999755859375</v>
      </c>
      <c r="F3856" t="n">
        <v>18.60392570495605</v>
      </c>
      <c r="G3856" t="n">
        <v>78.72826385498047</v>
      </c>
      <c r="H3856">
        <f>AVERAGE(D3657:D3856)</f>
        <v/>
      </c>
      <c r="I3856">
        <f>AVERAGE(E3657:E3856)</f>
        <v/>
      </c>
      <c r="J3856">
        <f>AVERAGE(F3657:F3856)</f>
        <v/>
      </c>
    </row>
    <row r="3857">
      <c r="C3857" s="539" t="n">
        <v>45044</v>
      </c>
      <c r="D3857" t="n">
        <v>184.8000030517578</v>
      </c>
      <c r="E3857" t="n">
        <v>67.5</v>
      </c>
      <c r="F3857" t="n">
        <v>18.57732391357422</v>
      </c>
      <c r="G3857" t="n">
        <v>78.72826385498047</v>
      </c>
      <c r="H3857">
        <f>AVERAGE(D3658:D3857)</f>
        <v/>
      </c>
      <c r="I3857">
        <f>AVERAGE(E3658:E3857)</f>
        <v/>
      </c>
      <c r="J3857">
        <f>AVERAGE(F3658:F3857)</f>
        <v/>
      </c>
    </row>
    <row r="3858">
      <c r="C3858" s="539" t="n">
        <v>45047</v>
      </c>
      <c r="D3858" t="n">
        <v>183.9700012207031</v>
      </c>
      <c r="E3858" t="n">
        <v>66.55000305175781</v>
      </c>
      <c r="F3858" t="n">
        <v>18.38223838806152</v>
      </c>
      <c r="G3858" t="n">
        <v>78.73085784912109</v>
      </c>
      <c r="H3858">
        <f>AVERAGE(D3659:D3858)</f>
        <v/>
      </c>
      <c r="I3858">
        <f>AVERAGE(E3659:E3858)</f>
        <v/>
      </c>
      <c r="J3858">
        <f>AVERAGE(F3659:F3858)</f>
        <v/>
      </c>
    </row>
    <row r="3859">
      <c r="C3859" s="539" t="n">
        <v>45048</v>
      </c>
      <c r="D3859" t="n">
        <v>187.5200042724609</v>
      </c>
      <c r="E3859" t="n">
        <v>63.04999923706055</v>
      </c>
      <c r="F3859" t="n">
        <v>18.2137565612793</v>
      </c>
      <c r="G3859" t="n">
        <v>78.713623046875</v>
      </c>
      <c r="H3859">
        <f>AVERAGE(D3660:D3859)</f>
        <v/>
      </c>
      <c r="I3859">
        <f>AVERAGE(E3660:E3859)</f>
        <v/>
      </c>
      <c r="J3859">
        <f>AVERAGE(F3660:F3859)</f>
        <v/>
      </c>
    </row>
    <row r="3860">
      <c r="C3860" s="539" t="n">
        <v>45049</v>
      </c>
      <c r="D3860" t="n">
        <v>189.1100006103516</v>
      </c>
      <c r="E3860" t="n">
        <v>60.31000137329102</v>
      </c>
      <c r="F3860" t="n">
        <v>18.26696014404297</v>
      </c>
      <c r="G3860" t="n">
        <v>78.72225952148438</v>
      </c>
      <c r="H3860">
        <f>AVERAGE(D3661:D3860)</f>
        <v/>
      </c>
      <c r="I3860">
        <f>AVERAGE(E3661:E3860)</f>
        <v/>
      </c>
      <c r="J3860">
        <f>AVERAGE(F3661:F3860)</f>
        <v/>
      </c>
    </row>
    <row r="3861">
      <c r="C3861" s="539" t="n">
        <v>45050</v>
      </c>
      <c r="D3861" t="n">
        <v>190.4400024414062</v>
      </c>
      <c r="E3861" t="n">
        <v>60.70000076293945</v>
      </c>
      <c r="F3861" t="n">
        <v>18.35563468933105</v>
      </c>
      <c r="G3861" t="n">
        <v>78.74806213378906</v>
      </c>
      <c r="H3861">
        <f>AVERAGE(D3662:D3861)</f>
        <v/>
      </c>
      <c r="I3861">
        <f>AVERAGE(E3662:E3861)</f>
        <v/>
      </c>
      <c r="J3861">
        <f>AVERAGE(F3662:F3861)</f>
        <v/>
      </c>
    </row>
    <row r="3862">
      <c r="C3862" s="539" t="n">
        <v>45051</v>
      </c>
      <c r="D3862" t="n">
        <v>187.4600067138672</v>
      </c>
      <c r="E3862" t="n">
        <v>63.02999877929688</v>
      </c>
      <c r="F3862" t="n">
        <v>18.64826202392578</v>
      </c>
      <c r="G3862" t="n">
        <v>78.76532745361328</v>
      </c>
      <c r="H3862">
        <f>AVERAGE(D3663:D3862)</f>
        <v/>
      </c>
      <c r="I3862">
        <f>AVERAGE(E3663:E3862)</f>
        <v/>
      </c>
      <c r="J3862">
        <f>AVERAGE(F3663:F3862)</f>
        <v/>
      </c>
    </row>
    <row r="3863">
      <c r="C3863" s="539" t="n">
        <v>45054</v>
      </c>
      <c r="D3863" t="n">
        <v>187.6900024414062</v>
      </c>
      <c r="E3863" t="n">
        <v>64.26000213623047</v>
      </c>
      <c r="F3863" t="n">
        <v>18.54185104370117</v>
      </c>
      <c r="G3863" t="n">
        <v>78.77392578125</v>
      </c>
      <c r="H3863">
        <f>AVERAGE(D3664:D3863)</f>
        <v/>
      </c>
      <c r="I3863">
        <f>AVERAGE(E3664:E3863)</f>
        <v/>
      </c>
      <c r="J3863">
        <f>AVERAGE(F3664:F3863)</f>
        <v/>
      </c>
    </row>
    <row r="3864">
      <c r="C3864" s="539" t="n">
        <v>45055</v>
      </c>
      <c r="D3864" t="n">
        <v>189.0200042724609</v>
      </c>
      <c r="E3864" t="n">
        <v>64.87000274658203</v>
      </c>
      <c r="F3864" t="n">
        <v>18.58618927001953</v>
      </c>
      <c r="G3864" t="n">
        <v>78.78255462646484</v>
      </c>
      <c r="H3864">
        <f>AVERAGE(D3665:D3864)</f>
        <v/>
      </c>
      <c r="I3864">
        <f>AVERAGE(E3665:E3864)</f>
        <v/>
      </c>
      <c r="J3864">
        <f>AVERAGE(F3665:F3864)</f>
        <v/>
      </c>
    </row>
    <row r="3865">
      <c r="C3865" s="539" t="n">
        <v>45056</v>
      </c>
      <c r="D3865" t="n">
        <v>188.75</v>
      </c>
      <c r="E3865" t="n">
        <v>64.38999938964844</v>
      </c>
      <c r="F3865" t="n">
        <v>18.64826202392578</v>
      </c>
      <c r="G3865" t="n">
        <v>78.79114532470703</v>
      </c>
      <c r="H3865">
        <f>AVERAGE(D3666:D3865)</f>
        <v/>
      </c>
      <c r="I3865">
        <f>AVERAGE(E3666:E3865)</f>
        <v/>
      </c>
      <c r="J3865">
        <f>AVERAGE(F3666:F3865)</f>
        <v/>
      </c>
    </row>
    <row r="3866">
      <c r="C3866" s="539" t="n">
        <v>45057</v>
      </c>
      <c r="D3866" t="n">
        <v>187.1300048828125</v>
      </c>
      <c r="E3866" t="n">
        <v>63.25</v>
      </c>
      <c r="F3866" t="n">
        <v>18.42657661437988</v>
      </c>
      <c r="G3866" t="n">
        <v>78.84282684326172</v>
      </c>
      <c r="H3866">
        <f>AVERAGE(D3667:D3866)</f>
        <v/>
      </c>
      <c r="I3866">
        <f>AVERAGE(E3667:E3866)</f>
        <v/>
      </c>
      <c r="J3866">
        <f>AVERAGE(F3667:F3866)</f>
        <v/>
      </c>
    </row>
    <row r="3867">
      <c r="C3867" s="539" t="n">
        <v>45058</v>
      </c>
      <c r="D3867" t="n">
        <v>186.8099975585938</v>
      </c>
      <c r="E3867" t="n">
        <v>62.06999969482422</v>
      </c>
      <c r="F3867" t="n">
        <v>18.47091293334961</v>
      </c>
      <c r="G3867" t="n">
        <v>78.86002349853516</v>
      </c>
      <c r="H3867">
        <f>AVERAGE(D3668:D3867)</f>
        <v/>
      </c>
      <c r="I3867">
        <f>AVERAGE(E3668:E3867)</f>
        <v/>
      </c>
      <c r="J3867">
        <f>AVERAGE(F3668:F3867)</f>
        <v/>
      </c>
    </row>
    <row r="3868">
      <c r="C3868" s="539" t="n">
        <v>45061</v>
      </c>
      <c r="D3868" t="n">
        <v>187.2100067138672</v>
      </c>
      <c r="E3868" t="n">
        <v>62.9900016784668</v>
      </c>
      <c r="F3868" t="n">
        <v>18.70146751403809</v>
      </c>
      <c r="G3868" t="n">
        <v>78.86862945556641</v>
      </c>
      <c r="H3868">
        <f>AVERAGE(D3669:D3868)</f>
        <v/>
      </c>
      <c r="I3868">
        <f>AVERAGE(E3669:E3868)</f>
        <v/>
      </c>
      <c r="J3868">
        <f>AVERAGE(F3669:F3868)</f>
        <v/>
      </c>
    </row>
    <row r="3869">
      <c r="C3869" s="539" t="n">
        <v>45062</v>
      </c>
      <c r="D3869" t="n">
        <v>184.8699951171875</v>
      </c>
      <c r="E3869" t="n">
        <v>62.54000091552734</v>
      </c>
      <c r="F3869" t="n">
        <v>18.56845664978027</v>
      </c>
      <c r="G3869" t="n">
        <v>78.86002349853516</v>
      </c>
      <c r="H3869">
        <f>AVERAGE(D3670:D3869)</f>
        <v/>
      </c>
      <c r="I3869">
        <f>AVERAGE(E3670:E3869)</f>
        <v/>
      </c>
      <c r="J3869">
        <f>AVERAGE(F3670:F3869)</f>
        <v/>
      </c>
    </row>
    <row r="3870">
      <c r="C3870" s="539" t="n">
        <v>45063</v>
      </c>
      <c r="D3870" t="n">
        <v>184.2299957275391</v>
      </c>
      <c r="E3870" t="n">
        <v>64.59999847412109</v>
      </c>
      <c r="F3870" t="n">
        <v>18.42657661437988</v>
      </c>
      <c r="G3870" t="n">
        <v>78.87725830078125</v>
      </c>
      <c r="H3870">
        <f>AVERAGE(D3671:D3870)</f>
        <v/>
      </c>
      <c r="I3870">
        <f>AVERAGE(E3671:E3870)</f>
        <v/>
      </c>
      <c r="J3870">
        <f>AVERAGE(F3671:F3870)</f>
        <v/>
      </c>
    </row>
    <row r="3871">
      <c r="C3871" s="539" t="n">
        <v>45064</v>
      </c>
      <c r="D3871" t="n">
        <v>181.8399963378906</v>
      </c>
      <c r="E3871" t="n">
        <v>64.04000091552734</v>
      </c>
      <c r="F3871" t="n">
        <v>18.35563468933105</v>
      </c>
      <c r="G3871" t="n">
        <v>78.92031097412109</v>
      </c>
      <c r="H3871">
        <f>AVERAGE(D3672:D3871)</f>
        <v/>
      </c>
      <c r="I3871">
        <f>AVERAGE(E3672:E3871)</f>
        <v/>
      </c>
      <c r="J3871">
        <f>AVERAGE(F3672:F3871)</f>
        <v/>
      </c>
    </row>
    <row r="3872">
      <c r="C3872" s="539" t="n">
        <v>45065</v>
      </c>
      <c r="D3872" t="n">
        <v>183.6399993896484</v>
      </c>
      <c r="E3872" t="n">
        <v>63.90000152587891</v>
      </c>
      <c r="F3872" t="n">
        <v>18.42657661437988</v>
      </c>
      <c r="G3872" t="n">
        <v>78.92031097412109</v>
      </c>
      <c r="H3872">
        <f>AVERAGE(D3673:D3872)</f>
        <v/>
      </c>
      <c r="I3872">
        <f>AVERAGE(E3673:E3872)</f>
        <v/>
      </c>
      <c r="J3872">
        <f>AVERAGE(F3673:F3872)</f>
        <v/>
      </c>
    </row>
    <row r="3873">
      <c r="C3873" s="539" t="n">
        <v>45068</v>
      </c>
      <c r="D3873" t="n">
        <v>183.2100067138672</v>
      </c>
      <c r="E3873" t="n">
        <v>63.90999984741211</v>
      </c>
      <c r="F3873" t="n">
        <v>18.40884017944336</v>
      </c>
      <c r="G3873" t="n">
        <v>78.92893218994141</v>
      </c>
      <c r="H3873">
        <f>AVERAGE(D3674:D3873)</f>
        <v/>
      </c>
      <c r="I3873">
        <f>AVERAGE(E3674:E3873)</f>
        <v/>
      </c>
      <c r="J3873">
        <f>AVERAGE(F3674:F3873)</f>
        <v/>
      </c>
    </row>
    <row r="3874">
      <c r="C3874" s="539" t="n">
        <v>45069</v>
      </c>
      <c r="D3874" t="n">
        <v>183.4299926757812</v>
      </c>
      <c r="E3874" t="n">
        <v>64.87000274658203</v>
      </c>
      <c r="F3874" t="n">
        <v>18.39110565185547</v>
      </c>
      <c r="G3874" t="n">
        <v>78.92893218994141</v>
      </c>
      <c r="H3874">
        <f>AVERAGE(D3675:D3874)</f>
        <v/>
      </c>
      <c r="I3874">
        <f>AVERAGE(E3675:E3874)</f>
        <v/>
      </c>
      <c r="J3874">
        <f>AVERAGE(F3675:F3874)</f>
        <v/>
      </c>
    </row>
    <row r="3875">
      <c r="C3875" s="539" t="n">
        <v>45070</v>
      </c>
      <c r="D3875" t="n">
        <v>181.9499969482422</v>
      </c>
      <c r="E3875" t="n">
        <v>65.66000366210938</v>
      </c>
      <c r="F3875" t="n">
        <v>18.29356384277344</v>
      </c>
      <c r="G3875" t="n">
        <v>78.92893218994141</v>
      </c>
      <c r="H3875">
        <f>AVERAGE(D3676:D3875)</f>
        <v/>
      </c>
      <c r="I3875">
        <f>AVERAGE(E3676:E3875)</f>
        <v/>
      </c>
      <c r="J3875">
        <f>AVERAGE(F3676:F3875)</f>
        <v/>
      </c>
    </row>
    <row r="3876">
      <c r="C3876" s="539" t="n">
        <v>45071</v>
      </c>
      <c r="D3876" t="n">
        <v>180.1999969482422</v>
      </c>
      <c r="E3876" t="n">
        <v>64.08999633789062</v>
      </c>
      <c r="F3876" t="n">
        <v>18.0896110534668</v>
      </c>
      <c r="G3876" t="n">
        <v>78.98057556152344</v>
      </c>
      <c r="H3876">
        <f>AVERAGE(D3677:D3876)</f>
        <v/>
      </c>
      <c r="I3876">
        <f>AVERAGE(E3677:E3876)</f>
        <v/>
      </c>
      <c r="J3876">
        <f>AVERAGE(F3677:F3876)</f>
        <v/>
      </c>
    </row>
    <row r="3877">
      <c r="C3877" s="539" t="n">
        <v>45072</v>
      </c>
      <c r="D3877" t="n">
        <v>180.9199981689453</v>
      </c>
      <c r="E3877" t="n">
        <v>64.80000305175781</v>
      </c>
      <c r="F3877" t="n">
        <v>18.24035835266113</v>
      </c>
      <c r="G3877" t="n">
        <v>78.99782562255859</v>
      </c>
      <c r="H3877">
        <f>AVERAGE(D3678:D3877)</f>
        <v/>
      </c>
      <c r="I3877">
        <f>AVERAGE(E3678:E3877)</f>
        <v/>
      </c>
      <c r="J3877">
        <f>AVERAGE(F3678:F3877)</f>
        <v/>
      </c>
    </row>
    <row r="3878">
      <c r="C3878" s="539" t="n">
        <v>45076</v>
      </c>
      <c r="D3878" t="n">
        <v>182.0399932861328</v>
      </c>
      <c r="E3878" t="n">
        <v>62.29999923706055</v>
      </c>
      <c r="F3878" t="n">
        <v>18.12508392333984</v>
      </c>
      <c r="G3878" t="n">
        <v>79.00642395019531</v>
      </c>
      <c r="H3878">
        <f>AVERAGE(D3679:D3878)</f>
        <v/>
      </c>
      <c r="I3878">
        <f>AVERAGE(E3679:E3878)</f>
        <v/>
      </c>
      <c r="J3878">
        <f>AVERAGE(F3679:F3878)</f>
        <v/>
      </c>
    </row>
    <row r="3879">
      <c r="C3879" s="539" t="n">
        <v>45077</v>
      </c>
      <c r="D3879" t="n">
        <v>182.3200073242188</v>
      </c>
      <c r="E3879" t="n">
        <v>60.63000106811523</v>
      </c>
      <c r="F3879" t="n">
        <v>18.1428165435791</v>
      </c>
      <c r="G3879" t="n">
        <v>79.02364349365234</v>
      </c>
      <c r="H3879">
        <f>AVERAGE(D3680:D3879)</f>
        <v/>
      </c>
      <c r="I3879">
        <f>AVERAGE(E3680:E3879)</f>
        <v/>
      </c>
      <c r="J3879">
        <f>AVERAGE(F3680:F3879)</f>
        <v/>
      </c>
    </row>
    <row r="3880">
      <c r="C3880" s="539" t="n">
        <v>45078</v>
      </c>
      <c r="D3880" t="n">
        <v>183.7599945068359</v>
      </c>
      <c r="E3880" t="n">
        <v>62.54999923706055</v>
      </c>
      <c r="F3880" t="n">
        <v>18.40884017944336</v>
      </c>
      <c r="G3880" t="n">
        <v>79.06771087646484</v>
      </c>
      <c r="H3880">
        <f>AVERAGE(D3681:D3880)</f>
        <v/>
      </c>
      <c r="I3880">
        <f>AVERAGE(E3681:E3880)</f>
        <v/>
      </c>
      <c r="J3880">
        <f>AVERAGE(F3681:F3880)</f>
        <v/>
      </c>
    </row>
    <row r="3881">
      <c r="C3881" s="539" t="n">
        <v>45079</v>
      </c>
      <c r="D3881" t="n">
        <v>181.0500030517578</v>
      </c>
      <c r="E3881" t="n">
        <v>64.15000152587891</v>
      </c>
      <c r="F3881" t="n">
        <v>18.51524925231934</v>
      </c>
      <c r="G3881" t="n">
        <v>79.07636260986328</v>
      </c>
      <c r="H3881">
        <f>AVERAGE(D3682:D3881)</f>
        <v/>
      </c>
      <c r="I3881">
        <f>AVERAGE(E3682:E3881)</f>
        <v/>
      </c>
      <c r="J3881">
        <f>AVERAGE(F3682:F3881)</f>
        <v/>
      </c>
    </row>
    <row r="3882">
      <c r="C3882" s="539" t="n">
        <v>45082</v>
      </c>
      <c r="D3882" t="n">
        <v>182.1399993896484</v>
      </c>
      <c r="E3882" t="n">
        <v>64.02999877929688</v>
      </c>
      <c r="F3882" t="n">
        <v>18.4886474609375</v>
      </c>
      <c r="G3882" t="n">
        <v>79.07636260986328</v>
      </c>
      <c r="H3882">
        <f>AVERAGE(D3683:D3882)</f>
        <v/>
      </c>
      <c r="I3882">
        <f>AVERAGE(E3683:E3882)</f>
        <v/>
      </c>
      <c r="J3882">
        <f>AVERAGE(F3683:F3882)</f>
        <v/>
      </c>
    </row>
    <row r="3883">
      <c r="C3883" s="539" t="n">
        <v>45083</v>
      </c>
      <c r="D3883" t="n">
        <v>182.3399963378906</v>
      </c>
      <c r="E3883" t="n">
        <v>63.79000091552734</v>
      </c>
      <c r="F3883" t="n">
        <v>18.6393928527832</v>
      </c>
      <c r="G3883" t="n">
        <v>79.09366607666016</v>
      </c>
      <c r="H3883">
        <f>AVERAGE(D3684:D3883)</f>
        <v/>
      </c>
      <c r="I3883">
        <f>AVERAGE(E3684:E3883)</f>
        <v/>
      </c>
      <c r="J3883">
        <f>AVERAGE(F3684:F3883)</f>
        <v/>
      </c>
    </row>
    <row r="3884">
      <c r="C3884" s="539" t="n">
        <v>45084</v>
      </c>
      <c r="D3884" t="n">
        <v>180.1499938964844</v>
      </c>
      <c r="E3884" t="n">
        <v>64.70999908447266</v>
      </c>
      <c r="F3884" t="n">
        <v>18.52411651611328</v>
      </c>
      <c r="G3884" t="n">
        <v>79.10233306884766</v>
      </c>
      <c r="H3884">
        <f>AVERAGE(D3685:D3884)</f>
        <v/>
      </c>
      <c r="I3884">
        <f>AVERAGE(E3685:E3884)</f>
        <v/>
      </c>
      <c r="J3884">
        <f>AVERAGE(F3685:F3884)</f>
        <v/>
      </c>
    </row>
    <row r="3885">
      <c r="C3885" s="539" t="n">
        <v>45085</v>
      </c>
      <c r="D3885" t="n">
        <v>182.5299987792969</v>
      </c>
      <c r="E3885" t="n">
        <v>63.45999908447266</v>
      </c>
      <c r="F3885" t="n">
        <v>18.8344783782959</v>
      </c>
      <c r="G3885" t="n">
        <v>79.14555358886719</v>
      </c>
      <c r="H3885">
        <f>AVERAGE(D3686:D3885)</f>
        <v/>
      </c>
      <c r="I3885">
        <f>AVERAGE(E3686:E3885)</f>
        <v/>
      </c>
      <c r="J3885">
        <f>AVERAGE(F3686:F3885)</f>
        <v/>
      </c>
    </row>
    <row r="3886">
      <c r="C3886" s="539" t="n">
        <v>45086</v>
      </c>
      <c r="D3886" t="n">
        <v>182.0399932861328</v>
      </c>
      <c r="E3886" t="n">
        <v>62.93000030517578</v>
      </c>
      <c r="F3886" t="n">
        <v>18.79014205932617</v>
      </c>
      <c r="G3886" t="n">
        <v>79.15418243408203</v>
      </c>
      <c r="H3886">
        <f>AVERAGE(D3687:D3886)</f>
        <v/>
      </c>
      <c r="I3886">
        <f>AVERAGE(E3687:E3886)</f>
        <v/>
      </c>
      <c r="J3886">
        <f>AVERAGE(F3687:F3886)</f>
        <v/>
      </c>
    </row>
    <row r="3887">
      <c r="C3887" s="539" t="n">
        <v>45089</v>
      </c>
      <c r="D3887" t="n">
        <v>181.8800048828125</v>
      </c>
      <c r="E3887" t="n">
        <v>60.2400016784668</v>
      </c>
      <c r="F3887" t="n">
        <v>18.8344783782959</v>
      </c>
      <c r="G3887" t="n">
        <v>79.16285705566406</v>
      </c>
      <c r="H3887">
        <f>AVERAGE(D3688:D3887)</f>
        <v/>
      </c>
      <c r="I3887">
        <f>AVERAGE(E3688:E3887)</f>
        <v/>
      </c>
      <c r="J3887">
        <f>AVERAGE(F3688:F3887)</f>
        <v/>
      </c>
    </row>
    <row r="3888">
      <c r="C3888" s="539" t="n">
        <v>45090</v>
      </c>
      <c r="D3888" t="n">
        <v>180.5399932861328</v>
      </c>
      <c r="E3888" t="n">
        <v>62.13999938964844</v>
      </c>
      <c r="F3888" t="n">
        <v>18.8876838684082</v>
      </c>
      <c r="G3888" t="n">
        <v>79.18012237548828</v>
      </c>
      <c r="H3888">
        <f>AVERAGE(D3689:D3888)</f>
        <v/>
      </c>
      <c r="I3888">
        <f>AVERAGE(E3689:E3888)</f>
        <v/>
      </c>
      <c r="J3888">
        <f>AVERAGE(F3689:F3888)</f>
        <v/>
      </c>
    </row>
    <row r="3889">
      <c r="C3889" s="539" t="n">
        <v>45091</v>
      </c>
      <c r="D3889" t="n">
        <v>180.6399993896484</v>
      </c>
      <c r="E3889" t="n">
        <v>61.83000183105469</v>
      </c>
      <c r="F3889" t="n">
        <v>18.91428565979004</v>
      </c>
      <c r="G3889" t="n">
        <v>79.19741821289062</v>
      </c>
      <c r="H3889">
        <f>AVERAGE(D3690:D3889)</f>
        <v/>
      </c>
      <c r="I3889">
        <f>AVERAGE(E3690:E3889)</f>
        <v/>
      </c>
      <c r="J3889">
        <f>AVERAGE(F3690:F3889)</f>
        <v/>
      </c>
    </row>
    <row r="3890">
      <c r="C3890" s="539" t="n">
        <v>45092</v>
      </c>
      <c r="D3890" t="n">
        <v>181.9100036621094</v>
      </c>
      <c r="E3890" t="n">
        <v>63.40999984741211</v>
      </c>
      <c r="F3890" t="n">
        <v>19.24238204956055</v>
      </c>
      <c r="G3890" t="n">
        <v>79.23200225830078</v>
      </c>
      <c r="H3890">
        <f>AVERAGE(D3691:D3890)</f>
        <v/>
      </c>
      <c r="I3890">
        <f>AVERAGE(E3691:E3890)</f>
        <v/>
      </c>
      <c r="J3890">
        <f>AVERAGE(F3691:F3890)</f>
        <v/>
      </c>
    </row>
    <row r="3891">
      <c r="C3891" s="539" t="n">
        <v>45093</v>
      </c>
      <c r="D3891" t="n">
        <v>181.6300048828125</v>
      </c>
      <c r="E3891" t="n">
        <v>64.34999847412109</v>
      </c>
      <c r="F3891" t="n">
        <v>19.49953842163086</v>
      </c>
      <c r="G3891" t="n">
        <v>79.24064636230469</v>
      </c>
      <c r="H3891">
        <f>AVERAGE(D3692:D3891)</f>
        <v/>
      </c>
      <c r="I3891">
        <f>AVERAGE(E3692:E3891)</f>
        <v/>
      </c>
      <c r="J3891">
        <f>AVERAGE(F3692:F3891)</f>
        <v/>
      </c>
    </row>
    <row r="3892">
      <c r="C3892" s="539" t="n">
        <v>45097</v>
      </c>
      <c r="D3892" t="n">
        <v>179.75</v>
      </c>
      <c r="E3892" t="n">
        <v>63.91999816894531</v>
      </c>
      <c r="F3892" t="n">
        <v>19.41972923278809</v>
      </c>
      <c r="G3892" t="n">
        <v>79.25794982910156</v>
      </c>
      <c r="H3892">
        <f>AVERAGE(D3693:D3892)</f>
        <v/>
      </c>
      <c r="I3892">
        <f>AVERAGE(E3693:E3892)</f>
        <v/>
      </c>
      <c r="J3892">
        <f>AVERAGE(F3693:F3892)</f>
        <v/>
      </c>
    </row>
    <row r="3893">
      <c r="C3893" s="539" t="n">
        <v>45098</v>
      </c>
      <c r="D3893" t="n">
        <v>179.4900054931641</v>
      </c>
      <c r="E3893" t="n">
        <v>65.04000091552734</v>
      </c>
      <c r="F3893" t="n">
        <v>19.62368011474609</v>
      </c>
      <c r="G3893" t="n">
        <v>79.25794982910156</v>
      </c>
      <c r="H3893">
        <f>AVERAGE(D3694:D3893)</f>
        <v/>
      </c>
      <c r="I3893">
        <f>AVERAGE(E3694:E3893)</f>
        <v/>
      </c>
      <c r="J3893">
        <f>AVERAGE(F3694:F3893)</f>
        <v/>
      </c>
    </row>
    <row r="3894">
      <c r="C3894" s="539" t="n">
        <v>45099</v>
      </c>
      <c r="D3894" t="n">
        <v>177.7100067138672</v>
      </c>
      <c r="E3894" t="n">
        <v>62.52000045776367</v>
      </c>
      <c r="F3894" t="n">
        <v>19.46406936645508</v>
      </c>
      <c r="G3894" t="n">
        <v>79.29252624511719</v>
      </c>
      <c r="H3894">
        <f>AVERAGE(D3695:D3894)</f>
        <v/>
      </c>
      <c r="I3894">
        <f>AVERAGE(E3695:E3894)</f>
        <v/>
      </c>
      <c r="J3894">
        <f>AVERAGE(F3695:F3894)</f>
        <v/>
      </c>
    </row>
    <row r="3895">
      <c r="C3895" s="539" t="n">
        <v>45100</v>
      </c>
      <c r="D3895" t="n">
        <v>178.1999969482422</v>
      </c>
      <c r="E3895" t="n">
        <v>62.41999816894531</v>
      </c>
      <c r="F3895" t="n">
        <v>19.09163475036621</v>
      </c>
      <c r="G3895" t="n">
        <v>79.30119323730469</v>
      </c>
      <c r="H3895">
        <f>AVERAGE(D3696:D3895)</f>
        <v/>
      </c>
      <c r="I3895">
        <f>AVERAGE(E3696:E3895)</f>
        <v/>
      </c>
      <c r="J3895">
        <f>AVERAGE(F3696:F3895)</f>
        <v/>
      </c>
    </row>
    <row r="3896">
      <c r="C3896" s="539" t="n">
        <v>45103</v>
      </c>
      <c r="D3896" t="n">
        <v>178.5099945068359</v>
      </c>
      <c r="E3896" t="n">
        <v>62.72999954223633</v>
      </c>
      <c r="F3896" t="n">
        <v>19.07390022277832</v>
      </c>
      <c r="G3896" t="n">
        <v>79.30984497070312</v>
      </c>
      <c r="H3896">
        <f>AVERAGE(D3697:D3896)</f>
        <v/>
      </c>
      <c r="I3896">
        <f>AVERAGE(E3697:E3896)</f>
        <v/>
      </c>
      <c r="J3896">
        <f>AVERAGE(F3697:F3896)</f>
        <v/>
      </c>
    </row>
    <row r="3897">
      <c r="C3897" s="539" t="n">
        <v>45104</v>
      </c>
      <c r="D3897" t="n">
        <v>177.6900024414062</v>
      </c>
      <c r="E3897" t="n">
        <v>61.29999923706055</v>
      </c>
      <c r="F3897" t="n">
        <v>18.87881660461426</v>
      </c>
      <c r="G3897" t="n">
        <v>79.32711791992188</v>
      </c>
      <c r="H3897">
        <f>AVERAGE(D3698:D3897)</f>
        <v/>
      </c>
      <c r="I3897">
        <f>AVERAGE(E3698:E3897)</f>
        <v/>
      </c>
      <c r="J3897">
        <f>AVERAGE(F3698:F3897)</f>
        <v/>
      </c>
    </row>
    <row r="3898">
      <c r="C3898" s="539" t="n">
        <v>45105</v>
      </c>
      <c r="D3898" t="n">
        <v>177.2799987792969</v>
      </c>
      <c r="E3898" t="n">
        <v>62.52000045776367</v>
      </c>
      <c r="F3898" t="n">
        <v>18.66599655151367</v>
      </c>
      <c r="G3898" t="n">
        <v>79.33576965332031</v>
      </c>
      <c r="H3898">
        <f>AVERAGE(D3699:D3898)</f>
        <v/>
      </c>
      <c r="I3898">
        <f>AVERAGE(E3699:E3898)</f>
        <v/>
      </c>
      <c r="J3898">
        <f>AVERAGE(F3699:F3898)</f>
        <v/>
      </c>
    </row>
    <row r="3899">
      <c r="C3899" s="539" t="n">
        <v>45106</v>
      </c>
      <c r="D3899" t="n">
        <v>177.0899963378906</v>
      </c>
      <c r="E3899" t="n">
        <v>62.95999908447266</v>
      </c>
      <c r="F3899" t="n">
        <v>18.5595874786377</v>
      </c>
      <c r="G3899" t="n">
        <v>79.36170196533203</v>
      </c>
      <c r="H3899">
        <f>AVERAGE(D3700:D3899)</f>
        <v/>
      </c>
      <c r="I3899">
        <f>AVERAGE(E3700:E3899)</f>
        <v/>
      </c>
      <c r="J3899">
        <f>AVERAGE(F3700:F3899)</f>
        <v/>
      </c>
    </row>
    <row r="3900">
      <c r="C3900" s="539" t="n">
        <v>45107</v>
      </c>
      <c r="D3900" t="n">
        <v>178.2700042724609</v>
      </c>
      <c r="E3900" t="n">
        <v>63.54999923706055</v>
      </c>
      <c r="F3900" t="n">
        <v>18.68373107910156</v>
      </c>
      <c r="G3900" t="n">
        <v>79.38764190673828</v>
      </c>
      <c r="H3900">
        <f>AVERAGE(D3701:D3900)</f>
        <v/>
      </c>
      <c r="I3900">
        <f>AVERAGE(E3701:E3900)</f>
        <v/>
      </c>
      <c r="J3900">
        <f>AVERAGE(F3701:F3900)</f>
        <v/>
      </c>
    </row>
    <row r="3901">
      <c r="C3901" s="539" t="n">
        <v>45110</v>
      </c>
      <c r="D3901" t="n">
        <v>178.4700012207031</v>
      </c>
      <c r="E3901" t="n">
        <v>63.38999938964844</v>
      </c>
      <c r="F3901" t="n">
        <v>18.89654922485352</v>
      </c>
      <c r="G3901" t="n">
        <v>79.40760803222656</v>
      </c>
      <c r="H3901">
        <f>AVERAGE(D3702:D3901)</f>
        <v/>
      </c>
      <c r="I3901">
        <f>AVERAGE(E3702:E3901)</f>
        <v/>
      </c>
      <c r="J3901">
        <f>AVERAGE(F3702:F3901)</f>
        <v/>
      </c>
    </row>
    <row r="3902">
      <c r="C3902" s="539" t="n">
        <v>45112</v>
      </c>
      <c r="D3902" t="n">
        <v>177.8399963378906</v>
      </c>
      <c r="E3902" t="n">
        <v>64.62999725341797</v>
      </c>
      <c r="F3902" t="n">
        <v>18.8344783782959</v>
      </c>
      <c r="G3902" t="n">
        <v>79.41626739501953</v>
      </c>
      <c r="H3902">
        <f>AVERAGE(D3703:D3902)</f>
        <v/>
      </c>
      <c r="I3902">
        <f>AVERAGE(E3703:E3902)</f>
        <v/>
      </c>
      <c r="J3902">
        <f>AVERAGE(F3703:F3902)</f>
        <v/>
      </c>
    </row>
    <row r="3903">
      <c r="C3903" s="539" t="n">
        <v>45113</v>
      </c>
      <c r="D3903" t="n">
        <v>177.3099975585938</v>
      </c>
      <c r="E3903" t="n">
        <v>64.44000244140625</v>
      </c>
      <c r="F3903" t="n">
        <v>18.81674194335938</v>
      </c>
      <c r="G3903" t="n">
        <v>79.44231414794922</v>
      </c>
      <c r="H3903">
        <f>AVERAGE(D3704:D3903)</f>
        <v/>
      </c>
      <c r="I3903">
        <f>AVERAGE(E3704:E3903)</f>
        <v/>
      </c>
      <c r="J3903">
        <f>AVERAGE(F3704:F3903)</f>
        <v/>
      </c>
    </row>
    <row r="3904">
      <c r="C3904" s="539" t="n">
        <v>45114</v>
      </c>
      <c r="D3904" t="n">
        <v>178.6399993896484</v>
      </c>
      <c r="E3904" t="n">
        <v>65.84999847412109</v>
      </c>
      <c r="F3904" t="n">
        <v>18.7635383605957</v>
      </c>
      <c r="G3904" t="n">
        <v>79.45099639892578</v>
      </c>
      <c r="H3904">
        <f>AVERAGE(D3705:D3904)</f>
        <v/>
      </c>
      <c r="I3904">
        <f>AVERAGE(E3705:E3904)</f>
        <v/>
      </c>
      <c r="J3904">
        <f>AVERAGE(F3705:F3904)</f>
        <v/>
      </c>
    </row>
    <row r="3905">
      <c r="C3905" s="539" t="n">
        <v>45117</v>
      </c>
      <c r="D3905" t="n">
        <v>178.7799987792969</v>
      </c>
      <c r="E3905" t="n">
        <v>65.54000091552734</v>
      </c>
      <c r="F3905" t="n">
        <v>18.78127288818359</v>
      </c>
      <c r="G3905" t="n">
        <v>79.46836853027344</v>
      </c>
      <c r="H3905">
        <f>AVERAGE(D3706:D3905)</f>
        <v/>
      </c>
      <c r="I3905">
        <f>AVERAGE(E3706:E3905)</f>
        <v/>
      </c>
      <c r="J3905">
        <f>AVERAGE(F3706:F3905)</f>
        <v/>
      </c>
    </row>
    <row r="3906">
      <c r="C3906" s="539" t="n">
        <v>45118</v>
      </c>
      <c r="D3906" t="n">
        <v>179.4499969482422</v>
      </c>
      <c r="E3906" t="n">
        <v>67.02999877929688</v>
      </c>
      <c r="F3906" t="n">
        <v>18.96748924255371</v>
      </c>
      <c r="G3906" t="n">
        <v>79.47704315185547</v>
      </c>
      <c r="H3906">
        <f>AVERAGE(D3707:D3906)</f>
        <v/>
      </c>
      <c r="I3906">
        <f>AVERAGE(E3707:E3906)</f>
        <v/>
      </c>
      <c r="J3906">
        <f>AVERAGE(F3707:F3906)</f>
        <v/>
      </c>
    </row>
    <row r="3907">
      <c r="C3907" s="539" t="n">
        <v>45119</v>
      </c>
      <c r="D3907" t="n">
        <v>181.8800048828125</v>
      </c>
      <c r="E3907" t="n">
        <v>67.87000274658203</v>
      </c>
      <c r="F3907" t="n">
        <v>18.80787467956543</v>
      </c>
      <c r="G3907" t="n">
        <v>79.49442291259766</v>
      </c>
      <c r="H3907">
        <f>AVERAGE(D3708:D3907)</f>
        <v/>
      </c>
      <c r="I3907">
        <f>AVERAGE(E3708:E3907)</f>
        <v/>
      </c>
      <c r="J3907">
        <f>AVERAGE(F3708:F3907)</f>
        <v/>
      </c>
    </row>
    <row r="3908">
      <c r="C3908" s="539" t="n">
        <v>45120</v>
      </c>
      <c r="D3908" t="n">
        <v>182.0099945068359</v>
      </c>
      <c r="E3908" t="n">
        <v>69.08999633789062</v>
      </c>
      <c r="F3908" t="n">
        <v>18.93202018737793</v>
      </c>
      <c r="G3908" t="n">
        <v>79.52912902832031</v>
      </c>
      <c r="H3908">
        <f>AVERAGE(D3709:D3908)</f>
        <v/>
      </c>
      <c r="I3908">
        <f>AVERAGE(E3709:E3908)</f>
        <v/>
      </c>
      <c r="J3908">
        <f>AVERAGE(F3709:F3908)</f>
        <v/>
      </c>
    </row>
    <row r="3909">
      <c r="C3909" s="539" t="n">
        <v>45121</v>
      </c>
      <c r="D3909" t="n">
        <v>181.4299926757812</v>
      </c>
      <c r="E3909" t="n">
        <v>67.47000122070312</v>
      </c>
      <c r="F3909" t="n">
        <v>19.14484024047852</v>
      </c>
      <c r="G3909" t="n">
        <v>79.53781127929688</v>
      </c>
      <c r="H3909">
        <f>AVERAGE(D3710:D3909)</f>
        <v/>
      </c>
      <c r="I3909">
        <f>AVERAGE(E3710:E3909)</f>
        <v/>
      </c>
      <c r="J3909">
        <f>AVERAGE(F3710:F3909)</f>
        <v/>
      </c>
    </row>
    <row r="3910">
      <c r="C3910" s="539" t="n">
        <v>45124</v>
      </c>
      <c r="D3910" t="n">
        <v>181.5599975585938</v>
      </c>
      <c r="E3910" t="n">
        <v>66.58000183105469</v>
      </c>
      <c r="F3910" t="n">
        <v>19.01182746887207</v>
      </c>
      <c r="G3910" t="n">
        <v>79.54650115966797</v>
      </c>
      <c r="H3910">
        <f>AVERAGE(D3711:D3910)</f>
        <v/>
      </c>
      <c r="I3910">
        <f>AVERAGE(E3711:E3910)</f>
        <v/>
      </c>
      <c r="J3910">
        <f>AVERAGE(F3711:F3910)</f>
        <v/>
      </c>
    </row>
    <row r="3911">
      <c r="C3911" s="539" t="n">
        <v>45125</v>
      </c>
      <c r="D3911" t="n">
        <v>183.6399993896484</v>
      </c>
      <c r="E3911" t="n">
        <v>67.95999908447266</v>
      </c>
      <c r="F3911" t="n">
        <v>19.27785110473633</v>
      </c>
      <c r="G3911" t="n">
        <v>79.54650115966797</v>
      </c>
      <c r="H3911">
        <f>AVERAGE(D3712:D3911)</f>
        <v/>
      </c>
      <c r="I3911">
        <f>AVERAGE(E3712:E3911)</f>
        <v/>
      </c>
      <c r="J3911">
        <f>AVERAGE(F3712:F3911)</f>
        <v/>
      </c>
    </row>
    <row r="3912">
      <c r="C3912" s="539" t="n">
        <v>45126</v>
      </c>
      <c r="D3912" t="n">
        <v>183.6699981689453</v>
      </c>
      <c r="E3912" t="n">
        <v>67.69000244140625</v>
      </c>
      <c r="F3912" t="n">
        <v>19.5084056854248</v>
      </c>
      <c r="G3912" t="n">
        <v>79.56385040283203</v>
      </c>
      <c r="H3912">
        <f>AVERAGE(D3713:D3912)</f>
        <v/>
      </c>
      <c r="I3912">
        <f>AVERAGE(E3713:E3912)</f>
        <v/>
      </c>
      <c r="J3912">
        <f>AVERAGE(F3713:F3912)</f>
        <v/>
      </c>
    </row>
    <row r="3913">
      <c r="C3913" s="539" t="n">
        <v>45127</v>
      </c>
      <c r="D3913" t="n">
        <v>182.7400054931641</v>
      </c>
      <c r="E3913" t="n">
        <v>68.05000305175781</v>
      </c>
      <c r="F3913" t="n">
        <v>19.55274200439453</v>
      </c>
      <c r="G3913" t="n">
        <v>79.60729217529297</v>
      </c>
      <c r="H3913">
        <f>AVERAGE(D3714:D3913)</f>
        <v/>
      </c>
      <c r="I3913">
        <f>AVERAGE(E3714:E3913)</f>
        <v/>
      </c>
      <c r="J3913">
        <f>AVERAGE(F3714:F3913)</f>
        <v/>
      </c>
    </row>
    <row r="3914">
      <c r="C3914" s="539" t="n">
        <v>45128</v>
      </c>
      <c r="D3914" t="n">
        <v>182.1799926757812</v>
      </c>
      <c r="E3914" t="n">
        <v>68.98999786376953</v>
      </c>
      <c r="F3914" t="n">
        <v>19.51727485656738</v>
      </c>
      <c r="G3914" t="n">
        <v>79.60729217529297</v>
      </c>
      <c r="H3914">
        <f>AVERAGE(D3715:D3914)</f>
        <v/>
      </c>
      <c r="I3914">
        <f>AVERAGE(E3715:E3914)</f>
        <v/>
      </c>
      <c r="J3914">
        <f>AVERAGE(F3715:F3914)</f>
        <v/>
      </c>
    </row>
    <row r="3915">
      <c r="C3915" s="539" t="n">
        <v>45131</v>
      </c>
      <c r="D3915" t="n">
        <v>181.3999938964844</v>
      </c>
      <c r="E3915" t="n">
        <v>70.69000244140625</v>
      </c>
      <c r="F3915" t="n">
        <v>19.81876564025879</v>
      </c>
      <c r="G3915" t="n">
        <v>79.61593627929688</v>
      </c>
      <c r="H3915">
        <f>AVERAGE(D3716:D3915)</f>
        <v/>
      </c>
      <c r="I3915">
        <f>AVERAGE(E3716:E3915)</f>
        <v/>
      </c>
      <c r="J3915">
        <f>AVERAGE(F3716:F3915)</f>
        <v/>
      </c>
    </row>
    <row r="3916">
      <c r="C3916" s="539" t="n">
        <v>45132</v>
      </c>
      <c r="D3916" t="n">
        <v>182.4100036621094</v>
      </c>
      <c r="E3916" t="n">
        <v>71.16000366210938</v>
      </c>
      <c r="F3916" t="n">
        <v>19.82763290405273</v>
      </c>
      <c r="G3916" t="n">
        <v>79.62464904785156</v>
      </c>
      <c r="H3916">
        <f>AVERAGE(D3717:D3916)</f>
        <v/>
      </c>
      <c r="I3916">
        <f>AVERAGE(E3717:E3916)</f>
        <v/>
      </c>
      <c r="J3916">
        <f>AVERAGE(F3717:F3916)</f>
        <v/>
      </c>
    </row>
    <row r="3917">
      <c r="C3917" s="539" t="n">
        <v>45133</v>
      </c>
      <c r="D3917" t="n">
        <v>183.3000030517578</v>
      </c>
      <c r="E3917" t="n">
        <v>70.66000366210938</v>
      </c>
      <c r="F3917" t="n">
        <v>19.78329658508301</v>
      </c>
      <c r="G3917" t="n">
        <v>79.63331604003906</v>
      </c>
      <c r="H3917">
        <f>AVERAGE(D3718:D3917)</f>
        <v/>
      </c>
      <c r="I3917">
        <f>AVERAGE(E3718:E3917)</f>
        <v/>
      </c>
      <c r="J3917">
        <f>AVERAGE(F3718:F3917)</f>
        <v/>
      </c>
    </row>
    <row r="3918">
      <c r="C3918" s="539" t="n">
        <v>45134</v>
      </c>
      <c r="D3918" t="n">
        <v>180.4199981689453</v>
      </c>
      <c r="E3918" t="n">
        <v>71.43000030517578</v>
      </c>
      <c r="F3918" t="n">
        <v>19.60594749450684</v>
      </c>
      <c r="G3918" t="n">
        <v>79.67673492431641</v>
      </c>
      <c r="H3918">
        <f>AVERAGE(D3719:D3918)</f>
        <v/>
      </c>
      <c r="I3918">
        <f>AVERAGE(E3719:E3918)</f>
        <v/>
      </c>
      <c r="J3918">
        <f>AVERAGE(F3719:F3918)</f>
        <v/>
      </c>
    </row>
    <row r="3919">
      <c r="C3919" s="539" t="n">
        <v>45135</v>
      </c>
      <c r="D3919" t="n">
        <v>181.8600006103516</v>
      </c>
      <c r="E3919" t="n">
        <v>72.08999633789062</v>
      </c>
      <c r="F3919" t="n">
        <v>19.49953842163086</v>
      </c>
      <c r="G3919" t="n">
        <v>79.68540954589844</v>
      </c>
      <c r="H3919">
        <f>AVERAGE(D3720:D3919)</f>
        <v/>
      </c>
      <c r="I3919">
        <f>AVERAGE(E3720:E3919)</f>
        <v/>
      </c>
      <c r="J3919">
        <f>AVERAGE(F3720:F3919)</f>
        <v/>
      </c>
    </row>
    <row r="3920">
      <c r="C3920" s="539" t="n">
        <v>45138</v>
      </c>
      <c r="D3920" t="n">
        <v>182.3500061035156</v>
      </c>
      <c r="E3920" t="n">
        <v>73.16999816894531</v>
      </c>
      <c r="F3920" t="n">
        <v>19.44633293151855</v>
      </c>
      <c r="G3920" t="n">
        <v>79.694091796875</v>
      </c>
      <c r="H3920">
        <f>AVERAGE(D3721:D3920)</f>
        <v/>
      </c>
      <c r="I3920">
        <f>AVERAGE(E3721:E3920)</f>
        <v/>
      </c>
      <c r="J3920">
        <f>AVERAGE(F3721:F3920)</f>
        <v/>
      </c>
    </row>
    <row r="3921">
      <c r="C3921" s="539" t="n">
        <v>45139</v>
      </c>
      <c r="D3921" t="n">
        <v>180.4600067138672</v>
      </c>
      <c r="E3921" t="n">
        <v>72.95999908447266</v>
      </c>
      <c r="F3921" t="n">
        <v>19.47293472290039</v>
      </c>
      <c r="G3921" t="n">
        <v>79.71501922607422</v>
      </c>
      <c r="H3921">
        <f>AVERAGE(D3722:D3921)</f>
        <v/>
      </c>
      <c r="I3921">
        <f>AVERAGE(E3722:E3921)</f>
        <v/>
      </c>
      <c r="J3921">
        <f>AVERAGE(F3722:F3921)</f>
        <v/>
      </c>
    </row>
    <row r="3922">
      <c r="C3922" s="539" t="n">
        <v>45140</v>
      </c>
      <c r="D3922" t="n">
        <v>179.6000061035156</v>
      </c>
      <c r="E3922" t="n">
        <v>71.48000335693359</v>
      </c>
      <c r="F3922" t="n">
        <v>19.32218933105469</v>
      </c>
      <c r="G3922" t="n">
        <v>79.72373199462891</v>
      </c>
      <c r="H3922">
        <f>AVERAGE(D3723:D3922)</f>
        <v/>
      </c>
      <c r="I3922">
        <f>AVERAGE(E3723:E3922)</f>
        <v/>
      </c>
      <c r="J3922">
        <f>AVERAGE(F3723:F3922)</f>
        <v/>
      </c>
    </row>
    <row r="3923">
      <c r="C3923" s="539" t="n">
        <v>45141</v>
      </c>
      <c r="D3923" t="n">
        <v>179.5399932861328</v>
      </c>
      <c r="E3923" t="n">
        <v>73.13999938964844</v>
      </c>
      <c r="F3923" t="n">
        <v>19.17144203186035</v>
      </c>
      <c r="G3923" t="n">
        <v>79.75860595703125</v>
      </c>
      <c r="H3923">
        <f>AVERAGE(D3724:D3923)</f>
        <v/>
      </c>
      <c r="I3923">
        <f>AVERAGE(E3724:E3923)</f>
        <v/>
      </c>
      <c r="J3923">
        <f>AVERAGE(F3724:F3923)</f>
        <v/>
      </c>
    </row>
    <row r="3924">
      <c r="C3924" s="539" t="n">
        <v>45142</v>
      </c>
      <c r="D3924" t="n">
        <v>180.1900024414062</v>
      </c>
      <c r="E3924" t="n">
        <v>73.79000091552734</v>
      </c>
      <c r="F3924" t="n">
        <v>19.18917655944824</v>
      </c>
      <c r="G3924" t="n">
        <v>79.77603149414062</v>
      </c>
      <c r="H3924">
        <f>AVERAGE(D3725:D3924)</f>
        <v/>
      </c>
      <c r="I3924">
        <f>AVERAGE(E3725:E3924)</f>
        <v/>
      </c>
      <c r="J3924">
        <f>AVERAGE(F3725:F3924)</f>
        <v/>
      </c>
    </row>
    <row r="3925">
      <c r="C3925" s="539" t="n">
        <v>45145</v>
      </c>
      <c r="D3925" t="n">
        <v>179.7799987792969</v>
      </c>
      <c r="E3925" t="n">
        <v>73.81999969482422</v>
      </c>
      <c r="F3925" t="n">
        <v>19.14484024047852</v>
      </c>
      <c r="G3925" t="n">
        <v>79.77603149414062</v>
      </c>
      <c r="H3925">
        <f>AVERAGE(D3726:D3925)</f>
        <v/>
      </c>
      <c r="I3925">
        <f>AVERAGE(E3726:E3925)</f>
        <v/>
      </c>
      <c r="J3925">
        <f>AVERAGE(F3726:F3925)</f>
        <v/>
      </c>
    </row>
    <row r="3926">
      <c r="C3926" s="539" t="n">
        <v>45146</v>
      </c>
      <c r="D3926" t="n">
        <v>178.6399993896484</v>
      </c>
      <c r="E3926" t="n">
        <v>74.05999755859375</v>
      </c>
      <c r="F3926" t="n">
        <v>19.00296020507812</v>
      </c>
      <c r="G3926" t="n">
        <v>79.79346466064453</v>
      </c>
      <c r="H3926">
        <f>AVERAGE(D3727:D3926)</f>
        <v/>
      </c>
      <c r="I3926">
        <f>AVERAGE(E3727:E3926)</f>
        <v/>
      </c>
      <c r="J3926">
        <f>AVERAGE(F3727:F3926)</f>
        <v/>
      </c>
    </row>
    <row r="3927">
      <c r="C3927" s="539" t="n">
        <v>45147</v>
      </c>
      <c r="D3927" t="n">
        <v>177.7899932861328</v>
      </c>
      <c r="E3927" t="n">
        <v>75.09999847412109</v>
      </c>
      <c r="F3927" t="n">
        <v>18.96748924255371</v>
      </c>
      <c r="G3927" t="n">
        <v>79.80220031738281</v>
      </c>
      <c r="H3927">
        <f>AVERAGE(D3728:D3927)</f>
        <v/>
      </c>
      <c r="I3927">
        <f>AVERAGE(E3728:E3927)</f>
        <v/>
      </c>
      <c r="J3927">
        <f>AVERAGE(F3728:F3927)</f>
        <v/>
      </c>
    </row>
    <row r="3928">
      <c r="C3928" s="539" t="n">
        <v>45148</v>
      </c>
      <c r="D3928" t="n">
        <v>177.6000061035156</v>
      </c>
      <c r="E3928" t="n">
        <v>74.19999694824219</v>
      </c>
      <c r="F3928" t="n">
        <v>18.9852237701416</v>
      </c>
      <c r="G3928" t="n">
        <v>79.84578704833984</v>
      </c>
      <c r="H3928">
        <f>AVERAGE(D3729:D3928)</f>
        <v/>
      </c>
      <c r="I3928">
        <f>AVERAGE(E3729:E3928)</f>
        <v/>
      </c>
      <c r="J3928">
        <f>AVERAGE(F3729:F3928)</f>
        <v/>
      </c>
    </row>
    <row r="3929">
      <c r="C3929" s="539" t="n">
        <v>45149</v>
      </c>
      <c r="D3929" t="n">
        <v>177.6000061035156</v>
      </c>
      <c r="E3929" t="n">
        <v>74.25</v>
      </c>
      <c r="F3929" t="n">
        <v>18.9852237701416</v>
      </c>
      <c r="G3929" t="n">
        <v>79.85450744628906</v>
      </c>
      <c r="H3929">
        <f>AVERAGE(D3730:D3929)</f>
        <v/>
      </c>
      <c r="I3929">
        <f>AVERAGE(E3730:E3929)</f>
        <v/>
      </c>
      <c r="J3929">
        <f>AVERAGE(F3730:F3929)</f>
        <v/>
      </c>
    </row>
    <row r="3930">
      <c r="C3930" s="539" t="n">
        <v>45152</v>
      </c>
      <c r="D3930" t="n">
        <v>177.0599975585938</v>
      </c>
      <c r="E3930" t="n">
        <v>73.80999755859375</v>
      </c>
      <c r="F3930" t="n">
        <v>18.84334564208984</v>
      </c>
      <c r="G3930" t="n">
        <v>79.86320495605469</v>
      </c>
      <c r="H3930">
        <f>AVERAGE(D3731:D3930)</f>
        <v/>
      </c>
      <c r="I3930">
        <f>AVERAGE(E3731:E3930)</f>
        <v/>
      </c>
      <c r="J3930">
        <f>AVERAGE(F3731:F3930)</f>
        <v/>
      </c>
    </row>
    <row r="3931">
      <c r="C3931" s="539" t="n">
        <v>45153</v>
      </c>
      <c r="D3931" t="n">
        <v>176.5899963378906</v>
      </c>
      <c r="E3931" t="n">
        <v>72.62000274658203</v>
      </c>
      <c r="F3931" t="n">
        <v>18.69259834289551</v>
      </c>
      <c r="G3931" t="n">
        <v>79.8719482421875</v>
      </c>
      <c r="H3931">
        <f>AVERAGE(D3732:D3931)</f>
        <v/>
      </c>
      <c r="I3931">
        <f>AVERAGE(E3732:E3931)</f>
        <v/>
      </c>
      <c r="J3931">
        <f>AVERAGE(F3732:F3931)</f>
        <v/>
      </c>
    </row>
    <row r="3932">
      <c r="C3932" s="539" t="n">
        <v>45154</v>
      </c>
      <c r="D3932" t="n">
        <v>175.5700073242188</v>
      </c>
      <c r="E3932" t="n">
        <v>71.37000274658203</v>
      </c>
      <c r="F3932" t="n">
        <v>18.79014205932617</v>
      </c>
      <c r="G3932" t="n">
        <v>79.88938140869141</v>
      </c>
      <c r="H3932">
        <f>AVERAGE(D3733:D3932)</f>
        <v/>
      </c>
      <c r="I3932">
        <f>AVERAGE(E3733:E3932)</f>
        <v/>
      </c>
      <c r="J3932">
        <f>AVERAGE(F3733:F3932)</f>
        <v/>
      </c>
    </row>
    <row r="3933">
      <c r="C3933" s="539" t="n">
        <v>45155</v>
      </c>
      <c r="D3933" t="n">
        <v>175.3000030517578</v>
      </c>
      <c r="E3933" t="n">
        <v>71.98000335693359</v>
      </c>
      <c r="F3933" t="n">
        <v>18.78127288818359</v>
      </c>
      <c r="G3933" t="n">
        <v>79.92424774169922</v>
      </c>
      <c r="H3933">
        <f>AVERAGE(D3734:D3933)</f>
        <v/>
      </c>
      <c r="I3933">
        <f>AVERAGE(E3734:E3933)</f>
        <v/>
      </c>
      <c r="J3933">
        <f>AVERAGE(F3734:F3933)</f>
        <v/>
      </c>
    </row>
    <row r="3934">
      <c r="C3934" s="539" t="n">
        <v>45156</v>
      </c>
      <c r="D3934" t="n">
        <v>175.3300018310547</v>
      </c>
      <c r="E3934" t="n">
        <v>72.79000091552734</v>
      </c>
      <c r="F3934" t="n">
        <v>18.93202018737793</v>
      </c>
      <c r="G3934" t="n">
        <v>79.93300628662109</v>
      </c>
      <c r="H3934">
        <f>AVERAGE(D3735:D3934)</f>
        <v/>
      </c>
      <c r="I3934">
        <f>AVERAGE(E3735:E3934)</f>
        <v/>
      </c>
      <c r="J3934">
        <f>AVERAGE(F3735:F3934)</f>
        <v/>
      </c>
    </row>
    <row r="3935">
      <c r="C3935" s="539" t="n">
        <v>45159</v>
      </c>
      <c r="D3935" t="n">
        <v>175.8099975585938</v>
      </c>
      <c r="E3935" t="n">
        <v>72.58000183105469</v>
      </c>
      <c r="F3935" t="n">
        <v>18.87881660461426</v>
      </c>
      <c r="G3935" t="n">
        <v>79.94168090820312</v>
      </c>
      <c r="H3935">
        <f>AVERAGE(D3736:D3935)</f>
        <v/>
      </c>
      <c r="I3935">
        <f>AVERAGE(E3736:E3935)</f>
        <v/>
      </c>
      <c r="J3935">
        <f>AVERAGE(F3736:F3935)</f>
        <v/>
      </c>
    </row>
    <row r="3936">
      <c r="C3936" s="539" t="n">
        <v>45160</v>
      </c>
      <c r="D3936" t="n">
        <v>176.1000061035156</v>
      </c>
      <c r="E3936" t="n">
        <v>72.27999877929688</v>
      </c>
      <c r="F3936" t="n">
        <v>18.7635383605957</v>
      </c>
      <c r="G3936" t="n">
        <v>79.95043182373047</v>
      </c>
      <c r="H3936">
        <f>AVERAGE(D3737:D3936)</f>
        <v/>
      </c>
      <c r="I3936">
        <f>AVERAGE(E3737:E3936)</f>
        <v/>
      </c>
      <c r="J3936">
        <f>AVERAGE(F3737:F3936)</f>
        <v/>
      </c>
    </row>
    <row r="3937">
      <c r="C3937" s="539" t="n">
        <v>45161</v>
      </c>
      <c r="D3937" t="n">
        <v>177.8899993896484</v>
      </c>
      <c r="E3937" t="n">
        <v>71.36000061035156</v>
      </c>
      <c r="F3937" t="n">
        <v>18.95862197875977</v>
      </c>
      <c r="G3937" t="n">
        <v>79.96785736083984</v>
      </c>
      <c r="H3937">
        <f>AVERAGE(D3738:D3937)</f>
        <v/>
      </c>
      <c r="I3937">
        <f>AVERAGE(E3738:E3937)</f>
        <v/>
      </c>
      <c r="J3937">
        <f>AVERAGE(F3738:F3937)</f>
        <v/>
      </c>
    </row>
    <row r="3938">
      <c r="C3938" s="539" t="n">
        <v>45162</v>
      </c>
      <c r="D3938" t="n">
        <v>177.8500061035156</v>
      </c>
      <c r="E3938" t="n">
        <v>71.41000366210938</v>
      </c>
      <c r="F3938" t="n">
        <v>19.11823654174805</v>
      </c>
      <c r="G3938" t="n">
        <v>79.99400329589844</v>
      </c>
      <c r="H3938">
        <f>AVERAGE(D3739:D3938)</f>
        <v/>
      </c>
      <c r="I3938">
        <f>AVERAGE(E3739:E3938)</f>
        <v/>
      </c>
      <c r="J3938">
        <f>AVERAGE(F3739:F3938)</f>
        <v/>
      </c>
    </row>
    <row r="3939">
      <c r="C3939" s="539" t="n">
        <v>45163</v>
      </c>
      <c r="D3939" t="n">
        <v>177.6199951171875</v>
      </c>
      <c r="E3939" t="n">
        <v>72.44999694824219</v>
      </c>
      <c r="F3939" t="n">
        <v>19.17144203186035</v>
      </c>
      <c r="G3939" t="n">
        <v>80.01144409179688</v>
      </c>
      <c r="H3939">
        <f>AVERAGE(D3740:D3939)</f>
        <v/>
      </c>
      <c r="I3939">
        <f>AVERAGE(E3740:E3939)</f>
        <v/>
      </c>
      <c r="J3939">
        <f>AVERAGE(F3740:F3939)</f>
        <v/>
      </c>
    </row>
    <row r="3940">
      <c r="C3940" s="539" t="n">
        <v>45166</v>
      </c>
      <c r="D3940" t="n">
        <v>178.1300048828125</v>
      </c>
      <c r="E3940" t="n">
        <v>72.41000366210938</v>
      </c>
      <c r="F3940" t="n">
        <v>19.35765838623047</v>
      </c>
      <c r="G3940" t="n">
        <v>80.02890014648438</v>
      </c>
      <c r="H3940">
        <f>AVERAGE(D3741:D3940)</f>
        <v/>
      </c>
      <c r="I3940">
        <f>AVERAGE(E3741:E3940)</f>
        <v/>
      </c>
      <c r="J3940">
        <f>AVERAGE(F3741:F3940)</f>
        <v/>
      </c>
    </row>
    <row r="3941">
      <c r="C3941" s="539" t="n">
        <v>45167</v>
      </c>
      <c r="D3941" t="n">
        <v>179.8699951171875</v>
      </c>
      <c r="E3941" t="n">
        <v>73.31999969482422</v>
      </c>
      <c r="F3941" t="n">
        <v>19.33105659484863</v>
      </c>
      <c r="G3941" t="n">
        <v>80.02017974853516</v>
      </c>
      <c r="H3941">
        <f>AVERAGE(D3742:D3941)</f>
        <v/>
      </c>
      <c r="I3941">
        <f>AVERAGE(E3742:E3941)</f>
        <v/>
      </c>
      <c r="J3941">
        <f>AVERAGE(F3742:F3941)</f>
        <v/>
      </c>
    </row>
    <row r="3942">
      <c r="C3942" s="539" t="n">
        <v>45168</v>
      </c>
      <c r="D3942" t="n">
        <v>180.3200073242188</v>
      </c>
      <c r="E3942" t="n">
        <v>73.66000366210938</v>
      </c>
      <c r="F3942" t="n">
        <v>19.37539291381836</v>
      </c>
      <c r="G3942" t="n">
        <v>80.03762054443359</v>
      </c>
      <c r="H3942">
        <f>AVERAGE(D3743:D3942)</f>
        <v/>
      </c>
      <c r="I3942">
        <f>AVERAGE(E3743:E3942)</f>
        <v/>
      </c>
      <c r="J3942">
        <f>AVERAGE(F3743:F3942)</f>
        <v/>
      </c>
    </row>
    <row r="3943">
      <c r="C3943" s="539" t="n">
        <v>45169</v>
      </c>
      <c r="D3943" t="n">
        <v>180.0200042724609</v>
      </c>
      <c r="E3943" t="n">
        <v>75.05999755859375</v>
      </c>
      <c r="F3943" t="n">
        <v>19.27785110473633</v>
      </c>
      <c r="G3943" t="n">
        <v>80.08990478515625</v>
      </c>
      <c r="H3943">
        <f>AVERAGE(D3744:D3943)</f>
        <v/>
      </c>
      <c r="I3943">
        <f>AVERAGE(E3744:E3943)</f>
        <v/>
      </c>
      <c r="J3943">
        <f>AVERAGE(F3744:F3943)</f>
        <v/>
      </c>
    </row>
    <row r="3944">
      <c r="C3944" s="539" t="n">
        <v>45170</v>
      </c>
      <c r="D3944" t="n">
        <v>180.1100006103516</v>
      </c>
      <c r="E3944" t="n">
        <v>76.91999816894531</v>
      </c>
      <c r="F3944" t="n">
        <v>19.31332206726074</v>
      </c>
      <c r="G3944" t="n">
        <v>80.10305023193359</v>
      </c>
      <c r="H3944">
        <f>AVERAGE(D3745:D3944)</f>
        <v/>
      </c>
      <c r="I3944">
        <f>AVERAGE(E3745:E3944)</f>
        <v/>
      </c>
      <c r="J3944">
        <f>AVERAGE(F3745:F3944)</f>
        <v/>
      </c>
    </row>
    <row r="3945">
      <c r="C3945" s="539" t="n">
        <v>45174</v>
      </c>
      <c r="D3945" t="n">
        <v>178.6399993896484</v>
      </c>
      <c r="E3945" t="n">
        <v>77.76000213623047</v>
      </c>
      <c r="F3945" t="n">
        <v>19.43746376037598</v>
      </c>
      <c r="G3945" t="n">
        <v>80.12056732177734</v>
      </c>
      <c r="H3945">
        <f>AVERAGE(D3746:D3945)</f>
        <v/>
      </c>
      <c r="I3945">
        <f>AVERAGE(E3746:E3945)</f>
        <v/>
      </c>
      <c r="J3945">
        <f>AVERAGE(F3746:F3945)</f>
        <v/>
      </c>
    </row>
    <row r="3946">
      <c r="C3946" s="539" t="n">
        <v>45175</v>
      </c>
      <c r="D3946" t="n">
        <v>177.8300018310547</v>
      </c>
      <c r="E3946" t="n">
        <v>78.51999664306641</v>
      </c>
      <c r="F3946" t="n">
        <v>19.4552001953125</v>
      </c>
      <c r="G3946" t="n">
        <v>80.12056732177734</v>
      </c>
      <c r="H3946">
        <f>AVERAGE(D3747:D3946)</f>
        <v/>
      </c>
      <c r="I3946">
        <f>AVERAGE(E3747:E3946)</f>
        <v/>
      </c>
      <c r="J3946">
        <f>AVERAGE(F3747:F3946)</f>
        <v/>
      </c>
    </row>
    <row r="3947">
      <c r="C3947" s="539" t="n">
        <v>45176</v>
      </c>
      <c r="D3947" t="n">
        <v>178.0200042724609</v>
      </c>
      <c r="E3947" t="n">
        <v>77.94999694824219</v>
      </c>
      <c r="F3947" t="n">
        <v>19.41972923278809</v>
      </c>
      <c r="G3947" t="n">
        <v>80.16435241699219</v>
      </c>
      <c r="H3947">
        <f>AVERAGE(D3748:D3947)</f>
        <v/>
      </c>
      <c r="I3947">
        <f>AVERAGE(E3748:E3947)</f>
        <v/>
      </c>
      <c r="J3947">
        <f>AVERAGE(F3748:F3947)</f>
        <v/>
      </c>
    </row>
    <row r="3948">
      <c r="C3948" s="539" t="n">
        <v>45177</v>
      </c>
      <c r="D3948" t="n">
        <v>178.0800018310547</v>
      </c>
      <c r="E3948" t="n">
        <v>78.30000305175781</v>
      </c>
      <c r="F3948" t="n">
        <v>19.37539291381836</v>
      </c>
      <c r="G3948" t="n">
        <v>80.17311859130859</v>
      </c>
      <c r="H3948">
        <f>AVERAGE(D3749:D3948)</f>
        <v/>
      </c>
      <c r="I3948">
        <f>AVERAGE(E3749:E3948)</f>
        <v/>
      </c>
      <c r="J3948">
        <f>AVERAGE(F3749:F3948)</f>
        <v/>
      </c>
    </row>
    <row r="3949">
      <c r="C3949" s="539" t="n">
        <v>45180</v>
      </c>
      <c r="D3949" t="n">
        <v>178.4100036621094</v>
      </c>
      <c r="E3949" t="n">
        <v>78.37000274658203</v>
      </c>
      <c r="F3949" t="n">
        <v>19.51727485656738</v>
      </c>
      <c r="G3949" t="n">
        <v>80.17311859130859</v>
      </c>
      <c r="H3949">
        <f>AVERAGE(D3750:D3949)</f>
        <v/>
      </c>
      <c r="I3949">
        <f>AVERAGE(E3750:E3949)</f>
        <v/>
      </c>
      <c r="J3949">
        <f>AVERAGE(F3750:F3949)</f>
        <v/>
      </c>
    </row>
    <row r="3950">
      <c r="C3950" s="539" t="n">
        <v>45181</v>
      </c>
      <c r="D3950" t="n">
        <v>177.4900054931641</v>
      </c>
      <c r="E3950" t="n">
        <v>79.69999694824219</v>
      </c>
      <c r="F3950" t="n">
        <v>19.54387474060059</v>
      </c>
      <c r="G3950" t="n">
        <v>80.19937896728516</v>
      </c>
      <c r="H3950">
        <f>AVERAGE(D3751:D3950)</f>
        <v/>
      </c>
      <c r="I3950">
        <f>AVERAGE(E3751:E3950)</f>
        <v/>
      </c>
      <c r="J3950">
        <f>AVERAGE(F3751:F3950)</f>
        <v/>
      </c>
    </row>
    <row r="3951">
      <c r="C3951" s="539" t="n">
        <v>45182</v>
      </c>
      <c r="D3951" t="n">
        <v>177.0800018310547</v>
      </c>
      <c r="E3951" t="n">
        <v>79.68000030517578</v>
      </c>
      <c r="F3951" t="n">
        <v>19.60594749450684</v>
      </c>
      <c r="G3951" t="n">
        <v>80.2081298828125</v>
      </c>
      <c r="H3951">
        <f>AVERAGE(D3752:D3951)</f>
        <v/>
      </c>
      <c r="I3951">
        <f>AVERAGE(E3752:E3951)</f>
        <v/>
      </c>
      <c r="J3951">
        <f>AVERAGE(F3752:F3951)</f>
        <v/>
      </c>
    </row>
    <row r="3952">
      <c r="C3952" s="539" t="n">
        <v>45183</v>
      </c>
      <c r="D3952" t="n">
        <v>177.1699981689453</v>
      </c>
      <c r="E3952" t="n">
        <v>81.12000274658203</v>
      </c>
      <c r="F3952" t="n">
        <v>19.69462013244629</v>
      </c>
      <c r="G3952" t="n">
        <v>80.23440551757812</v>
      </c>
      <c r="H3952">
        <f>AVERAGE(D3753:D3952)</f>
        <v/>
      </c>
      <c r="I3952">
        <f>AVERAGE(E3753:E3952)</f>
        <v/>
      </c>
      <c r="J3952">
        <f>AVERAGE(F3753:F3952)</f>
        <v/>
      </c>
    </row>
    <row r="3953">
      <c r="C3953" s="539" t="n">
        <v>45184</v>
      </c>
      <c r="D3953" t="n">
        <v>178.3399963378906</v>
      </c>
      <c r="E3953" t="n">
        <v>81.29000091552734</v>
      </c>
      <c r="F3953" t="n">
        <v>19.80990028381348</v>
      </c>
      <c r="G3953" t="n">
        <v>80.25191497802734</v>
      </c>
      <c r="H3953">
        <f>AVERAGE(D3754:D3953)</f>
        <v/>
      </c>
      <c r="I3953">
        <f>AVERAGE(E3754:E3953)</f>
        <v/>
      </c>
      <c r="J3953">
        <f>AVERAGE(F3754:F3953)</f>
        <v/>
      </c>
    </row>
    <row r="3954">
      <c r="C3954" s="539" t="n">
        <v>45187</v>
      </c>
      <c r="D3954" t="n">
        <v>179.3899993896484</v>
      </c>
      <c r="E3954" t="n">
        <v>81.44999694824219</v>
      </c>
      <c r="F3954" t="n">
        <v>19.66802024841309</v>
      </c>
      <c r="G3954" t="n">
        <v>80.26067352294922</v>
      </c>
      <c r="H3954">
        <f>AVERAGE(D3755:D3954)</f>
        <v/>
      </c>
      <c r="I3954">
        <f>AVERAGE(E3755:E3954)</f>
        <v/>
      </c>
      <c r="J3954">
        <f>AVERAGE(F3755:F3954)</f>
        <v/>
      </c>
    </row>
    <row r="3955">
      <c r="C3955" s="539" t="n">
        <v>45188</v>
      </c>
      <c r="D3955" t="n">
        <v>179.2200012207031</v>
      </c>
      <c r="E3955" t="n">
        <v>81.5</v>
      </c>
      <c r="F3955" t="n">
        <v>19.74782752990723</v>
      </c>
      <c r="G3955" t="n">
        <v>80.26944732666016</v>
      </c>
      <c r="H3955">
        <f>AVERAGE(D3756:D3955)</f>
        <v/>
      </c>
      <c r="I3955">
        <f>AVERAGE(E3756:E3955)</f>
        <v/>
      </c>
      <c r="J3955">
        <f>AVERAGE(F3756:F3955)</f>
        <v/>
      </c>
    </row>
    <row r="3956">
      <c r="C3956" s="539" t="n">
        <v>45189</v>
      </c>
      <c r="D3956" t="n">
        <v>179.3500061035156</v>
      </c>
      <c r="E3956" t="n">
        <v>80.13999938964844</v>
      </c>
      <c r="F3956" t="n">
        <v>19.69462013244629</v>
      </c>
      <c r="G3956" t="n">
        <v>80.27820587158203</v>
      </c>
      <c r="H3956">
        <f>AVERAGE(D3757:D3956)</f>
        <v/>
      </c>
      <c r="I3956">
        <f>AVERAGE(E3757:E3956)</f>
        <v/>
      </c>
      <c r="J3956">
        <f>AVERAGE(F3757:F3956)</f>
        <v/>
      </c>
    </row>
    <row r="3957">
      <c r="C3957" s="539" t="n">
        <v>45190</v>
      </c>
      <c r="D3957" t="n">
        <v>178.0500030517578</v>
      </c>
      <c r="E3957" t="n">
        <v>80.41000366210938</v>
      </c>
      <c r="F3957" t="n">
        <v>19.41972923278809</v>
      </c>
      <c r="G3957" t="n">
        <v>80.32197570800781</v>
      </c>
      <c r="H3957">
        <f>AVERAGE(D3758:D3957)</f>
        <v/>
      </c>
      <c r="I3957">
        <f>AVERAGE(E3758:E3957)</f>
        <v/>
      </c>
      <c r="J3957">
        <f>AVERAGE(F3758:F3957)</f>
        <v/>
      </c>
    </row>
    <row r="3958">
      <c r="C3958" s="539" t="n">
        <v>45191</v>
      </c>
      <c r="D3958" t="n">
        <v>178.6199951171875</v>
      </c>
      <c r="E3958" t="n">
        <v>80.62999725341797</v>
      </c>
      <c r="F3958" t="n">
        <v>19.38426208496094</v>
      </c>
      <c r="G3958" t="n">
        <v>80.33074951171875</v>
      </c>
      <c r="H3958">
        <f>AVERAGE(D3759:D3958)</f>
        <v/>
      </c>
      <c r="I3958">
        <f>AVERAGE(E3759:E3958)</f>
        <v/>
      </c>
      <c r="J3958">
        <f>AVERAGE(F3759:F3958)</f>
        <v/>
      </c>
    </row>
    <row r="3959">
      <c r="C3959" s="539" t="n">
        <v>45194</v>
      </c>
      <c r="D3959" t="n">
        <v>177.6999969482422</v>
      </c>
      <c r="E3959" t="n">
        <v>80.38999938964844</v>
      </c>
      <c r="F3959" t="n">
        <v>19.28671836853027</v>
      </c>
      <c r="G3959" t="n">
        <v>80.33950805664062</v>
      </c>
      <c r="H3959">
        <f>AVERAGE(D3760:D3959)</f>
        <v/>
      </c>
      <c r="I3959">
        <f>AVERAGE(E3760:E3959)</f>
        <v/>
      </c>
      <c r="J3959">
        <f>AVERAGE(F3760:F3959)</f>
        <v/>
      </c>
    </row>
    <row r="3960">
      <c r="C3960" s="539" t="n">
        <v>45195</v>
      </c>
      <c r="D3960" t="n">
        <v>176.2799987792969</v>
      </c>
      <c r="E3960" t="n">
        <v>80.87999725341797</v>
      </c>
      <c r="F3960" t="n">
        <v>19.21577835083008</v>
      </c>
      <c r="G3960" t="n">
        <v>80.34825897216797</v>
      </c>
      <c r="H3960">
        <f>AVERAGE(D3761:D3960)</f>
        <v/>
      </c>
      <c r="I3960">
        <f>AVERAGE(E3761:E3960)</f>
        <v/>
      </c>
      <c r="J3960">
        <f>AVERAGE(F3761:F3960)</f>
        <v/>
      </c>
    </row>
    <row r="3961">
      <c r="C3961" s="539" t="n">
        <v>45196</v>
      </c>
      <c r="D3961" t="n">
        <v>174.1000061035156</v>
      </c>
      <c r="E3961" t="n">
        <v>82.90000152587891</v>
      </c>
      <c r="F3961" t="n">
        <v>19.16257667541504</v>
      </c>
      <c r="G3961" t="n">
        <v>80.37452697753906</v>
      </c>
      <c r="H3961">
        <f>AVERAGE(D3762:D3961)</f>
        <v/>
      </c>
      <c r="I3961">
        <f>AVERAGE(E3762:E3961)</f>
        <v/>
      </c>
      <c r="J3961">
        <f>AVERAGE(F3762:F3961)</f>
        <v/>
      </c>
    </row>
    <row r="3962">
      <c r="C3962" s="539" t="n">
        <v>45197</v>
      </c>
      <c r="D3962" t="n">
        <v>173.2299957275391</v>
      </c>
      <c r="E3962" t="n">
        <v>81.56999969482422</v>
      </c>
      <c r="F3962" t="n">
        <v>19.33105659484863</v>
      </c>
      <c r="G3962" t="n">
        <v>80.40080261230469</v>
      </c>
      <c r="H3962">
        <f>AVERAGE(D3763:D3962)</f>
        <v/>
      </c>
      <c r="I3962">
        <f>AVERAGE(E3763:E3962)</f>
        <v/>
      </c>
      <c r="J3962">
        <f>AVERAGE(F3763:F3962)</f>
        <v/>
      </c>
    </row>
    <row r="3963">
      <c r="C3963" s="539" t="n">
        <v>45198</v>
      </c>
      <c r="D3963" t="n">
        <v>171.4499969482422</v>
      </c>
      <c r="E3963" t="n">
        <v>80.86000061035156</v>
      </c>
      <c r="F3963" t="n">
        <v>18.9852237701416</v>
      </c>
      <c r="G3963" t="n">
        <v>80.4095458984375</v>
      </c>
      <c r="H3963">
        <f>AVERAGE(D3764:D3963)</f>
        <v/>
      </c>
      <c r="I3963">
        <f>AVERAGE(E3764:E3963)</f>
        <v/>
      </c>
      <c r="J3963">
        <f>AVERAGE(F3764:F3963)</f>
        <v/>
      </c>
    </row>
    <row r="3964">
      <c r="C3964" s="539" t="n">
        <v>45201</v>
      </c>
      <c r="D3964" t="n">
        <v>169.6499938964844</v>
      </c>
      <c r="E3964" t="n">
        <v>79.38999938964844</v>
      </c>
      <c r="F3964" t="n">
        <v>19.13597106933594</v>
      </c>
      <c r="G3964" t="n">
        <v>80.421875</v>
      </c>
      <c r="H3964">
        <f>AVERAGE(D3765:D3964)</f>
        <v/>
      </c>
      <c r="I3964">
        <f>AVERAGE(E3765:E3964)</f>
        <v/>
      </c>
      <c r="J3964">
        <f>AVERAGE(F3765:F3964)</f>
        <v/>
      </c>
    </row>
    <row r="3965">
      <c r="C3965" s="539" t="n">
        <v>45202</v>
      </c>
      <c r="D3965" t="n">
        <v>169.1600036621094</v>
      </c>
      <c r="E3965" t="n">
        <v>79.93000030517578</v>
      </c>
      <c r="F3965" t="n">
        <v>18.94975471496582</v>
      </c>
      <c r="G3965" t="n">
        <v>80.43946838378906</v>
      </c>
      <c r="H3965">
        <f>AVERAGE(D3766:D3965)</f>
        <v/>
      </c>
      <c r="I3965">
        <f>AVERAGE(E3766:E3965)</f>
        <v/>
      </c>
      <c r="J3965">
        <f>AVERAGE(F3766:F3965)</f>
        <v/>
      </c>
    </row>
    <row r="3966">
      <c r="C3966" s="539" t="n">
        <v>45203</v>
      </c>
      <c r="D3966" t="n">
        <v>169.1399993896484</v>
      </c>
      <c r="E3966" t="n">
        <v>75.58999633789062</v>
      </c>
      <c r="F3966" t="n">
        <v>18.90541839599609</v>
      </c>
      <c r="G3966" t="n">
        <v>80.4482421875</v>
      </c>
      <c r="H3966">
        <f>AVERAGE(D3767:D3966)</f>
        <v/>
      </c>
      <c r="I3966">
        <f>AVERAGE(E3767:E3966)</f>
        <v/>
      </c>
      <c r="J3966">
        <f>AVERAGE(F3767:F3966)</f>
        <v/>
      </c>
    </row>
    <row r="3967">
      <c r="C3967" s="539" t="n">
        <v>45204</v>
      </c>
      <c r="D3967" t="n">
        <v>168.8300018310547</v>
      </c>
      <c r="E3967" t="n">
        <v>73.98999786376953</v>
      </c>
      <c r="F3967" t="n">
        <v>19.01182746887207</v>
      </c>
      <c r="G3967" t="n">
        <v>80.50105285644531</v>
      </c>
      <c r="H3967">
        <f>AVERAGE(D3768:D3967)</f>
        <v/>
      </c>
      <c r="I3967">
        <f>AVERAGE(E3768:E3967)</f>
        <v/>
      </c>
      <c r="J3967">
        <f>AVERAGE(F3768:F3967)</f>
        <v/>
      </c>
    </row>
    <row r="3968">
      <c r="C3968" s="539" t="n">
        <v>45205</v>
      </c>
      <c r="D3968" t="n">
        <v>169.6999969482422</v>
      </c>
      <c r="E3968" t="n">
        <v>74.16000366210938</v>
      </c>
      <c r="F3968" t="n">
        <v>19.13597106933594</v>
      </c>
      <c r="G3968" t="n">
        <v>80.50105285644531</v>
      </c>
      <c r="H3968">
        <f>AVERAGE(D3769:D3968)</f>
        <v/>
      </c>
      <c r="I3968">
        <f>AVERAGE(E3769:E3968)</f>
        <v/>
      </c>
      <c r="J3968">
        <f>AVERAGE(F3769:F3968)</f>
        <v/>
      </c>
    </row>
    <row r="3969">
      <c r="C3969" s="539" t="n">
        <v>45208</v>
      </c>
      <c r="D3969" t="n">
        <v>172.8200073242188</v>
      </c>
      <c r="E3969" t="n">
        <v>77.12999725341797</v>
      </c>
      <c r="F3969" t="n">
        <v>19.12710380554199</v>
      </c>
      <c r="G3969" t="n">
        <v>80.50981140136719</v>
      </c>
      <c r="H3969">
        <f>AVERAGE(D3770:D3969)</f>
        <v/>
      </c>
      <c r="I3969">
        <f>AVERAGE(E3770:E3969)</f>
        <v/>
      </c>
      <c r="J3969">
        <f>AVERAGE(F3770:F3969)</f>
        <v/>
      </c>
    </row>
    <row r="3970">
      <c r="C3970" s="539" t="n">
        <v>45209</v>
      </c>
      <c r="D3970" t="n">
        <v>172.5299987792969</v>
      </c>
      <c r="E3970" t="n">
        <v>76.70999908447266</v>
      </c>
      <c r="F3970" t="n">
        <v>19.1093692779541</v>
      </c>
      <c r="G3970" t="n">
        <v>80.50981140136719</v>
      </c>
      <c r="H3970">
        <f>AVERAGE(D3771:D3970)</f>
        <v/>
      </c>
      <c r="I3970">
        <f>AVERAGE(E3771:E3970)</f>
        <v/>
      </c>
      <c r="J3970">
        <f>AVERAGE(F3771:F3970)</f>
        <v/>
      </c>
    </row>
    <row r="3971">
      <c r="C3971" s="539" t="n">
        <v>45210</v>
      </c>
      <c r="D3971" t="n">
        <v>173.7899932861328</v>
      </c>
      <c r="E3971" t="n">
        <v>75.66999816894531</v>
      </c>
      <c r="F3971" t="n">
        <v>18.9852237701416</v>
      </c>
      <c r="G3971" t="n">
        <v>80.52741241455078</v>
      </c>
      <c r="H3971">
        <f>AVERAGE(D3772:D3971)</f>
        <v/>
      </c>
      <c r="I3971">
        <f>AVERAGE(E3772:E3971)</f>
        <v/>
      </c>
      <c r="J3971">
        <f>AVERAGE(F3772:F3971)</f>
        <v/>
      </c>
    </row>
    <row r="3972">
      <c r="C3972" s="539" t="n">
        <v>45211</v>
      </c>
      <c r="D3972" t="n">
        <v>173.2599945068359</v>
      </c>
      <c r="E3972" t="n">
        <v>75.41999816894531</v>
      </c>
      <c r="F3972" t="n">
        <v>19.16257667541504</v>
      </c>
      <c r="G3972" t="n">
        <v>80.56258392333984</v>
      </c>
      <c r="H3972">
        <f>AVERAGE(D3773:D3972)</f>
        <v/>
      </c>
      <c r="I3972">
        <f>AVERAGE(E3773:E3972)</f>
        <v/>
      </c>
      <c r="J3972">
        <f>AVERAGE(F3773:F3972)</f>
        <v/>
      </c>
    </row>
    <row r="3973">
      <c r="C3973" s="539" t="n">
        <v>45212</v>
      </c>
      <c r="D3973" t="n">
        <v>178.8300018310547</v>
      </c>
      <c r="E3973" t="n">
        <v>78.98999786376953</v>
      </c>
      <c r="F3973" t="n">
        <v>19.25124740600586</v>
      </c>
      <c r="G3973" t="n">
        <v>80.58017730712891</v>
      </c>
      <c r="H3973">
        <f>AVERAGE(D3774:D3973)</f>
        <v/>
      </c>
      <c r="I3973">
        <f>AVERAGE(E3774:E3973)</f>
        <v/>
      </c>
      <c r="J3973">
        <f>AVERAGE(F3774:F3973)</f>
        <v/>
      </c>
    </row>
    <row r="3974">
      <c r="C3974" s="539" t="n">
        <v>45215</v>
      </c>
      <c r="D3974" t="n">
        <v>177.9600067138672</v>
      </c>
      <c r="E3974" t="n">
        <v>78.38999938964844</v>
      </c>
      <c r="F3974" t="n">
        <v>19.26898193359375</v>
      </c>
      <c r="G3974" t="n">
        <v>80.58898162841797</v>
      </c>
      <c r="H3974">
        <f>AVERAGE(D3775:D3974)</f>
        <v/>
      </c>
      <c r="I3974">
        <f>AVERAGE(E3775:E3974)</f>
        <v/>
      </c>
      <c r="J3974">
        <f>AVERAGE(F3775:F3974)</f>
        <v/>
      </c>
    </row>
    <row r="3975">
      <c r="C3975" s="539" t="n">
        <v>45216</v>
      </c>
      <c r="D3975" t="n">
        <v>178.2899932861328</v>
      </c>
      <c r="E3975" t="n">
        <v>78.80000305175781</v>
      </c>
      <c r="F3975" t="n">
        <v>19.38426208496094</v>
      </c>
      <c r="G3975" t="n">
        <v>80.5977783203125</v>
      </c>
      <c r="H3975">
        <f>AVERAGE(D3776:D3975)</f>
        <v/>
      </c>
      <c r="I3975">
        <f>AVERAGE(E3776:E3975)</f>
        <v/>
      </c>
      <c r="J3975">
        <f>AVERAGE(F3776:F3975)</f>
        <v/>
      </c>
    </row>
    <row r="3976">
      <c r="C3976" s="539" t="n">
        <v>45217</v>
      </c>
      <c r="D3976" t="n">
        <v>180.8699951171875</v>
      </c>
      <c r="E3976" t="n">
        <v>79.83999633789062</v>
      </c>
      <c r="F3976" t="n">
        <v>19.43746376037598</v>
      </c>
      <c r="G3976" t="n">
        <v>80.60658264160156</v>
      </c>
      <c r="H3976">
        <f>AVERAGE(D3777:D3976)</f>
        <v/>
      </c>
      <c r="I3976">
        <f>AVERAGE(E3777:E3976)</f>
        <v/>
      </c>
      <c r="J3976">
        <f>AVERAGE(F3777:F3976)</f>
        <v/>
      </c>
    </row>
    <row r="3977">
      <c r="C3977" s="539" t="n">
        <v>45218</v>
      </c>
      <c r="D3977" t="n">
        <v>183.0899963378906</v>
      </c>
      <c r="E3977" t="n">
        <v>81.68000030517578</v>
      </c>
      <c r="F3977" t="n">
        <v>19.48180198669434</v>
      </c>
      <c r="G3977" t="n">
        <v>80.64176177978516</v>
      </c>
      <c r="H3977">
        <f>AVERAGE(D3778:D3977)</f>
        <v/>
      </c>
      <c r="I3977">
        <f>AVERAGE(E3778:E3977)</f>
        <v/>
      </c>
      <c r="J3977">
        <f>AVERAGE(F3778:F3977)</f>
        <v/>
      </c>
    </row>
    <row r="3978">
      <c r="C3978" s="539" t="n">
        <v>45219</v>
      </c>
      <c r="D3978" t="n">
        <v>183.5899963378906</v>
      </c>
      <c r="E3978" t="n">
        <v>80.69999694824219</v>
      </c>
      <c r="F3978" t="n">
        <v>19.43746376037598</v>
      </c>
      <c r="G3978" t="n">
        <v>80.65934753417969</v>
      </c>
      <c r="H3978">
        <f>AVERAGE(D3779:D3978)</f>
        <v/>
      </c>
      <c r="I3978">
        <f>AVERAGE(E3779:E3978)</f>
        <v/>
      </c>
      <c r="J3978">
        <f>AVERAGE(F3779:F3978)</f>
        <v/>
      </c>
    </row>
    <row r="3979">
      <c r="C3979" s="539" t="n">
        <v>45222</v>
      </c>
      <c r="D3979" t="n">
        <v>182.9700012207031</v>
      </c>
      <c r="E3979" t="n">
        <v>78.88999938964844</v>
      </c>
      <c r="F3979" t="n">
        <v>19.44633293151855</v>
      </c>
      <c r="G3979" t="n">
        <v>80.66812896728516</v>
      </c>
      <c r="H3979">
        <f>AVERAGE(D3780:D3979)</f>
        <v/>
      </c>
      <c r="I3979">
        <f>AVERAGE(E3780:E3979)</f>
        <v/>
      </c>
      <c r="J3979">
        <f>AVERAGE(F3780:F3979)</f>
        <v/>
      </c>
    </row>
    <row r="3980">
      <c r="C3980" s="539" t="n">
        <v>45223</v>
      </c>
      <c r="D3980" t="n">
        <v>182.9499969482422</v>
      </c>
      <c r="E3980" t="n">
        <v>76.93000030517578</v>
      </c>
      <c r="F3980" t="n">
        <v>19.42859840393066</v>
      </c>
      <c r="G3980" t="n">
        <v>80.67695617675781</v>
      </c>
      <c r="H3980">
        <f>AVERAGE(D3781:D3980)</f>
        <v/>
      </c>
      <c r="I3980">
        <f>AVERAGE(E3781:E3980)</f>
        <v/>
      </c>
      <c r="J3980">
        <f>AVERAGE(F3781:F3980)</f>
        <v/>
      </c>
    </row>
    <row r="3981">
      <c r="C3981" s="539" t="n">
        <v>45224</v>
      </c>
      <c r="D3981" t="n">
        <v>183.7200012207031</v>
      </c>
      <c r="E3981" t="n">
        <v>78.45999908447266</v>
      </c>
      <c r="F3981" t="n">
        <v>19.33992385864258</v>
      </c>
      <c r="G3981" t="n">
        <v>80.68571472167969</v>
      </c>
      <c r="H3981">
        <f>AVERAGE(D3782:D3981)</f>
        <v/>
      </c>
      <c r="I3981">
        <f>AVERAGE(E3782:E3981)</f>
        <v/>
      </c>
      <c r="J3981">
        <f>AVERAGE(F3782:F3981)</f>
        <v/>
      </c>
    </row>
    <row r="3982">
      <c r="C3982" s="539" t="n">
        <v>45225</v>
      </c>
      <c r="D3982" t="n">
        <v>184.0099945068359</v>
      </c>
      <c r="E3982" t="n">
        <v>76.88999938964844</v>
      </c>
      <c r="F3982" t="n">
        <v>19.37539291381836</v>
      </c>
      <c r="G3982" t="n">
        <v>80.72092437744141</v>
      </c>
      <c r="H3982">
        <f>AVERAGE(D3783:D3982)</f>
        <v/>
      </c>
      <c r="I3982">
        <f>AVERAGE(E3783:E3982)</f>
        <v/>
      </c>
      <c r="J3982">
        <f>AVERAGE(F3783:F3982)</f>
        <v/>
      </c>
    </row>
    <row r="3983">
      <c r="C3983" s="539" t="n">
        <v>45226</v>
      </c>
      <c r="D3983" t="n">
        <v>186.1499938964844</v>
      </c>
      <c r="E3983" t="n">
        <v>78.36000061035156</v>
      </c>
      <c r="F3983" t="n">
        <v>19.55274200439453</v>
      </c>
      <c r="G3983" t="n">
        <v>80.74729156494141</v>
      </c>
      <c r="H3983">
        <f>AVERAGE(D3784:D3983)</f>
        <v/>
      </c>
      <c r="I3983">
        <f>AVERAGE(E3784:E3983)</f>
        <v/>
      </c>
      <c r="J3983">
        <f>AVERAGE(F3784:F3983)</f>
        <v/>
      </c>
    </row>
    <row r="3984">
      <c r="C3984" s="539" t="n">
        <v>45229</v>
      </c>
      <c r="D3984" t="n">
        <v>185.1000061035156</v>
      </c>
      <c r="E3984" t="n">
        <v>76.05000305175781</v>
      </c>
      <c r="F3984" t="n">
        <v>19.41972923278809</v>
      </c>
      <c r="G3984" t="n">
        <v>80.75606536865234</v>
      </c>
      <c r="H3984">
        <f>AVERAGE(D3785:D3984)</f>
        <v/>
      </c>
      <c r="I3984">
        <f>AVERAGE(E3785:E3984)</f>
        <v/>
      </c>
      <c r="J3984">
        <f>AVERAGE(F3785:F3984)</f>
        <v/>
      </c>
    </row>
    <row r="3985">
      <c r="C3985" s="539" t="n">
        <v>45230</v>
      </c>
      <c r="D3985" t="n">
        <v>184.0899963378906</v>
      </c>
      <c r="E3985" t="n">
        <v>75.01999664306641</v>
      </c>
      <c r="F3985" t="n">
        <v>19.51727485656738</v>
      </c>
      <c r="G3985" t="n">
        <v>80.75606536865234</v>
      </c>
      <c r="H3985">
        <f>AVERAGE(D3786:D3985)</f>
        <v/>
      </c>
      <c r="I3985">
        <f>AVERAGE(E3786:E3985)</f>
        <v/>
      </c>
      <c r="J3985">
        <f>AVERAGE(F3786:F3985)</f>
        <v/>
      </c>
    </row>
    <row r="3986">
      <c r="C3986" s="539" t="n">
        <v>45231</v>
      </c>
      <c r="D3986" t="n">
        <v>183.5099945068359</v>
      </c>
      <c r="E3986" t="n">
        <v>74.75</v>
      </c>
      <c r="F3986" t="n">
        <v>19.49066925048828</v>
      </c>
      <c r="G3986" t="n">
        <v>80.78083038330078</v>
      </c>
      <c r="H3986">
        <f>AVERAGE(D3787:D3986)</f>
        <v/>
      </c>
      <c r="I3986">
        <f>AVERAGE(E3787:E3986)</f>
        <v/>
      </c>
      <c r="J3986">
        <f>AVERAGE(F3787:F3986)</f>
        <v/>
      </c>
    </row>
    <row r="3987">
      <c r="C3987" s="539" t="n">
        <v>45232</v>
      </c>
      <c r="D3987" t="n">
        <v>184.1199951171875</v>
      </c>
      <c r="E3987" t="n">
        <v>76.18000030517578</v>
      </c>
      <c r="F3987" t="n">
        <v>19.72122383117676</v>
      </c>
      <c r="G3987" t="n">
        <v>80.80731964111328</v>
      </c>
      <c r="H3987">
        <f>AVERAGE(D3788:D3987)</f>
        <v/>
      </c>
      <c r="I3987">
        <f>AVERAGE(E3788:E3987)</f>
        <v/>
      </c>
      <c r="J3987">
        <f>AVERAGE(F3788:F3987)</f>
        <v/>
      </c>
    </row>
    <row r="3988">
      <c r="C3988" s="539" t="n">
        <v>45233</v>
      </c>
      <c r="D3988" t="n">
        <v>184.7899932861328</v>
      </c>
      <c r="E3988" t="n">
        <v>74.84999847412109</v>
      </c>
      <c r="F3988" t="n">
        <v>19.86310195922852</v>
      </c>
      <c r="G3988" t="n">
        <v>80.81615447998047</v>
      </c>
      <c r="H3988">
        <f>AVERAGE(D3789:D3988)</f>
        <v/>
      </c>
      <c r="I3988">
        <f>AVERAGE(E3789:E3988)</f>
        <v/>
      </c>
      <c r="J3988">
        <f>AVERAGE(F3789:F3988)</f>
        <v/>
      </c>
    </row>
    <row r="3989">
      <c r="C3989" s="539" t="n">
        <v>45236</v>
      </c>
      <c r="D3989" t="n">
        <v>183.3500061035156</v>
      </c>
      <c r="E3989" t="n">
        <v>74.91000366210938</v>
      </c>
      <c r="F3989" t="n">
        <v>19.91630744934082</v>
      </c>
      <c r="G3989" t="n">
        <v>80.82498931884766</v>
      </c>
      <c r="H3989">
        <f>AVERAGE(D3790:D3989)</f>
        <v/>
      </c>
      <c r="I3989">
        <f>AVERAGE(E3790:E3989)</f>
        <v/>
      </c>
      <c r="J3989">
        <f>AVERAGE(F3790:F3989)</f>
        <v/>
      </c>
    </row>
    <row r="3990">
      <c r="C3990" s="539" t="n">
        <v>45237</v>
      </c>
      <c r="D3990" t="n">
        <v>182.5899963378906</v>
      </c>
      <c r="E3990" t="n">
        <v>71.80000305175781</v>
      </c>
      <c r="F3990" t="n">
        <v>19.6502857208252</v>
      </c>
      <c r="G3990" t="n">
        <v>80.84265899658203</v>
      </c>
      <c r="H3990">
        <f>AVERAGE(D3791:D3990)</f>
        <v/>
      </c>
      <c r="I3990">
        <f>AVERAGE(E3791:E3990)</f>
        <v/>
      </c>
      <c r="J3990">
        <f>AVERAGE(F3791:F3990)</f>
        <v/>
      </c>
    </row>
    <row r="3991">
      <c r="C3991" s="539" t="n">
        <v>45238</v>
      </c>
      <c r="D3991" t="n">
        <v>180.7700042724609</v>
      </c>
      <c r="E3991" t="n">
        <v>70.19000244140625</v>
      </c>
      <c r="F3991" t="n">
        <v>19.73896026611328</v>
      </c>
      <c r="G3991" t="n">
        <v>80.85151672363281</v>
      </c>
      <c r="H3991">
        <f>AVERAGE(D3792:D3991)</f>
        <v/>
      </c>
      <c r="I3991">
        <f>AVERAGE(E3792:E3991)</f>
        <v/>
      </c>
      <c r="J3991">
        <f>AVERAGE(F3792:F3991)</f>
        <v/>
      </c>
    </row>
    <row r="3992">
      <c r="C3992" s="539" t="n">
        <v>45239</v>
      </c>
      <c r="D3992" t="n">
        <v>181.4900054931641</v>
      </c>
      <c r="E3992" t="n">
        <v>70.25</v>
      </c>
      <c r="F3992" t="n">
        <v>19.62368011474609</v>
      </c>
      <c r="G3992" t="n">
        <v>80.89566802978516</v>
      </c>
      <c r="H3992">
        <f>AVERAGE(D3793:D3992)</f>
        <v/>
      </c>
      <c r="I3992">
        <f>AVERAGE(E3793:E3992)</f>
        <v/>
      </c>
      <c r="J3992">
        <f>AVERAGE(F3793:F3992)</f>
        <v/>
      </c>
    </row>
    <row r="3993">
      <c r="C3993" s="539" t="n">
        <v>45240</v>
      </c>
      <c r="D3993" t="n">
        <v>179.5099945068359</v>
      </c>
      <c r="E3993" t="n">
        <v>71.79000091552734</v>
      </c>
      <c r="F3993" t="n">
        <v>19.54387474060059</v>
      </c>
      <c r="G3993" t="n">
        <v>80.90451812744141</v>
      </c>
      <c r="H3993">
        <f>AVERAGE(D3794:D3993)</f>
        <v/>
      </c>
      <c r="I3993">
        <f>AVERAGE(E3794:E3993)</f>
        <v/>
      </c>
      <c r="J3993">
        <f>AVERAGE(F3794:F3993)</f>
        <v/>
      </c>
    </row>
    <row r="3994">
      <c r="C3994" s="539" t="n">
        <v>45243</v>
      </c>
      <c r="D3994" t="n">
        <v>180.5099945068359</v>
      </c>
      <c r="E3994" t="n">
        <v>72.91999816894531</v>
      </c>
      <c r="F3994" t="n">
        <v>19.82763290405273</v>
      </c>
      <c r="G3994" t="n">
        <v>80.91334533691406</v>
      </c>
      <c r="H3994">
        <f>AVERAGE(D3795:D3994)</f>
        <v/>
      </c>
      <c r="I3994">
        <f>AVERAGE(E3795:E3994)</f>
        <v/>
      </c>
      <c r="J3994">
        <f>AVERAGE(F3795:F3994)</f>
        <v/>
      </c>
    </row>
    <row r="3995">
      <c r="C3995" s="539" t="n">
        <v>45244</v>
      </c>
      <c r="D3995" t="n">
        <v>182.1199951171875</v>
      </c>
      <c r="E3995" t="n">
        <v>72.69000244140625</v>
      </c>
      <c r="F3995" t="n">
        <v>19.7300910949707</v>
      </c>
      <c r="G3995" t="n">
        <v>80.92218780517578</v>
      </c>
      <c r="H3995">
        <f>AVERAGE(D3796:D3995)</f>
        <v/>
      </c>
      <c r="I3995">
        <f>AVERAGE(E3796:E3995)</f>
        <v/>
      </c>
      <c r="J3995">
        <f>AVERAGE(F3796:F3995)</f>
        <v/>
      </c>
    </row>
    <row r="3996">
      <c r="C3996" s="539" t="n">
        <v>45245</v>
      </c>
      <c r="D3996" t="n">
        <v>181.6399993896484</v>
      </c>
      <c r="E3996" t="n">
        <v>71.33999633789062</v>
      </c>
      <c r="F3996" t="n">
        <v>19.76556205749512</v>
      </c>
      <c r="G3996" t="n">
        <v>80.93983459472656</v>
      </c>
      <c r="H3996">
        <f>AVERAGE(D3797:D3996)</f>
        <v/>
      </c>
      <c r="I3996">
        <f>AVERAGE(E3797:E3996)</f>
        <v/>
      </c>
      <c r="J3996">
        <f>AVERAGE(F3797:F3996)</f>
        <v/>
      </c>
    </row>
    <row r="3997">
      <c r="C3997" s="539" t="n">
        <v>45246</v>
      </c>
      <c r="D3997" t="n">
        <v>183.6900024414062</v>
      </c>
      <c r="E3997" t="n">
        <v>68.05000305175781</v>
      </c>
      <c r="F3997" t="n">
        <v>19.61481475830078</v>
      </c>
      <c r="G3997" t="n">
        <v>80.97518157958984</v>
      </c>
      <c r="H3997">
        <f>AVERAGE(D3798:D3997)</f>
        <v/>
      </c>
      <c r="I3997">
        <f>AVERAGE(E3798:E3997)</f>
        <v/>
      </c>
      <c r="J3997">
        <f>AVERAGE(F3798:F3997)</f>
        <v/>
      </c>
    </row>
    <row r="3998">
      <c r="C3998" s="539" t="n">
        <v>45247</v>
      </c>
      <c r="D3998" t="n">
        <v>183.6699981689453</v>
      </c>
      <c r="E3998" t="n">
        <v>70.75</v>
      </c>
      <c r="F3998" t="n">
        <v>19.57934379577637</v>
      </c>
      <c r="G3998" t="n">
        <v>80.99284362792969</v>
      </c>
      <c r="H3998">
        <f>AVERAGE(D3799:D3998)</f>
        <v/>
      </c>
      <c r="I3998">
        <f>AVERAGE(E3799:E3998)</f>
        <v/>
      </c>
      <c r="J3998">
        <f>AVERAGE(F3799:F3998)</f>
        <v/>
      </c>
    </row>
    <row r="3999">
      <c r="C3999" s="539" t="n">
        <v>45250</v>
      </c>
      <c r="D3999" t="n">
        <v>183.3699951171875</v>
      </c>
      <c r="E3999" t="n">
        <v>72.30000305175781</v>
      </c>
      <c r="F3999" t="n">
        <v>19.63254928588867</v>
      </c>
      <c r="G3999" t="n">
        <v>80.99284362792969</v>
      </c>
      <c r="H3999">
        <f>AVERAGE(D3800:D3999)</f>
        <v/>
      </c>
      <c r="I3999">
        <f>AVERAGE(E3800:E3999)</f>
        <v/>
      </c>
      <c r="J3999">
        <f>AVERAGE(F3800:F3999)</f>
        <v/>
      </c>
    </row>
    <row r="4000">
      <c r="C4000" s="539" t="n">
        <v>45251</v>
      </c>
      <c r="D4000" t="n">
        <v>185.3500061035156</v>
      </c>
      <c r="E4000" t="n">
        <v>72.52999877929688</v>
      </c>
      <c r="F4000" t="n">
        <v>19.66802024841309</v>
      </c>
      <c r="G4000" t="n">
        <v>81.01934051513672</v>
      </c>
      <c r="H4000">
        <f>AVERAGE(D3801:D4000)</f>
        <v/>
      </c>
      <c r="I4000">
        <f>AVERAGE(E3801:E4000)</f>
        <v/>
      </c>
      <c r="J4000">
        <f>AVERAGE(F3801:F4000)</f>
        <v/>
      </c>
    </row>
    <row r="4001">
      <c r="C4001" s="539" t="n">
        <v>45252</v>
      </c>
      <c r="D4001" t="n">
        <v>184.5599975585938</v>
      </c>
      <c r="E4001" t="n">
        <v>71.61000061035156</v>
      </c>
      <c r="F4001" t="n">
        <v>19.57047843933105</v>
      </c>
      <c r="G4001" t="n">
        <v>81.05467224121094</v>
      </c>
      <c r="H4001">
        <f>AVERAGE(D3802:D4001)</f>
        <v/>
      </c>
      <c r="I4001">
        <f>AVERAGE(E3802:E4001)</f>
        <v/>
      </c>
      <c r="J4001">
        <f>AVERAGE(F3802:F4001)</f>
        <v/>
      </c>
    </row>
    <row r="4002">
      <c r="C4002" s="539" t="n">
        <v>45254</v>
      </c>
      <c r="D4002" t="n">
        <v>185.5200042724609</v>
      </c>
      <c r="E4002" t="n">
        <v>70.81999969482422</v>
      </c>
      <c r="F4002" t="n">
        <v>19.27785110473633</v>
      </c>
      <c r="G4002" t="n">
        <v>81.06351470947266</v>
      </c>
      <c r="H4002">
        <f>AVERAGE(D3803:D4002)</f>
        <v/>
      </c>
      <c r="I4002">
        <f>AVERAGE(E3803:E4002)</f>
        <v/>
      </c>
      <c r="J4002">
        <f>AVERAGE(F3803:F4002)</f>
        <v/>
      </c>
    </row>
    <row r="4003">
      <c r="C4003" s="539" t="n">
        <v>45257</v>
      </c>
      <c r="D4003" t="n">
        <v>186.7700042724609</v>
      </c>
      <c r="E4003" t="n">
        <v>69.95999908447266</v>
      </c>
      <c r="F4003" t="n">
        <v>19.14484024047852</v>
      </c>
      <c r="G4003" t="n">
        <v>81.07234954833984</v>
      </c>
      <c r="H4003">
        <f>AVERAGE(D3804:D4003)</f>
        <v/>
      </c>
      <c r="I4003">
        <f>AVERAGE(E3804:E4003)</f>
        <v/>
      </c>
      <c r="J4003">
        <f>AVERAGE(F3804:F4003)</f>
        <v/>
      </c>
    </row>
    <row r="4004">
      <c r="C4004" s="539" t="n">
        <v>45258</v>
      </c>
      <c r="D4004" t="n">
        <v>189.2599945068359</v>
      </c>
      <c r="E4004" t="n">
        <v>71.26000213623047</v>
      </c>
      <c r="F4004" t="n">
        <v>19.4552001953125</v>
      </c>
      <c r="G4004" t="n">
        <v>81.09001159667969</v>
      </c>
      <c r="H4004">
        <f>AVERAGE(D3805:D4004)</f>
        <v/>
      </c>
      <c r="I4004">
        <f>AVERAGE(E3805:E4004)</f>
        <v/>
      </c>
      <c r="J4004">
        <f>AVERAGE(F3805:F4004)</f>
        <v/>
      </c>
    </row>
    <row r="4005">
      <c r="C4005" s="539" t="n">
        <v>45259</v>
      </c>
      <c r="D4005" t="n">
        <v>189.5399932861328</v>
      </c>
      <c r="E4005" t="n">
        <v>72.51999664306641</v>
      </c>
      <c r="F4005" t="n">
        <v>19.57934379577637</v>
      </c>
      <c r="G4005" t="n">
        <v>81.09885406494141</v>
      </c>
      <c r="H4005">
        <f>AVERAGE(D3806:D4005)</f>
        <v/>
      </c>
      <c r="I4005">
        <f>AVERAGE(E3806:E4005)</f>
        <v/>
      </c>
      <c r="J4005">
        <f>AVERAGE(F3806:F4005)</f>
        <v/>
      </c>
    </row>
    <row r="4006">
      <c r="C4006" s="539" t="n">
        <v>45260</v>
      </c>
      <c r="D4006" t="n">
        <v>188.75</v>
      </c>
      <c r="E4006" t="n">
        <v>70.13999938964844</v>
      </c>
      <c r="F4006" t="n">
        <v>19.75669479370117</v>
      </c>
      <c r="G4006" t="n">
        <v>81.13419342041016</v>
      </c>
      <c r="H4006">
        <f>AVERAGE(D3807:D4006)</f>
        <v/>
      </c>
      <c r="I4006">
        <f>AVERAGE(E3807:E4006)</f>
        <v/>
      </c>
      <c r="J4006">
        <f>AVERAGE(F3807:F4006)</f>
        <v/>
      </c>
    </row>
    <row r="4007">
      <c r="C4007" s="539" t="n">
        <v>45261</v>
      </c>
      <c r="D4007" t="n">
        <v>192.0099945068359</v>
      </c>
      <c r="E4007" t="n">
        <v>69.23999786376953</v>
      </c>
      <c r="F4007" t="n">
        <v>19.52613830566406</v>
      </c>
      <c r="G4007" t="n">
        <v>81.15105438232422</v>
      </c>
      <c r="H4007">
        <f>AVERAGE(D3808:D4007)</f>
        <v/>
      </c>
      <c r="I4007">
        <f>AVERAGE(E3808:E4007)</f>
        <v/>
      </c>
      <c r="J4007">
        <f>AVERAGE(F3808:F4007)</f>
        <v/>
      </c>
    </row>
    <row r="4008">
      <c r="C4008" s="539" t="n">
        <v>45264</v>
      </c>
      <c r="D4008" t="n">
        <v>187.8600006103516</v>
      </c>
      <c r="E4008" t="n">
        <v>68.47000122070312</v>
      </c>
      <c r="F4008" t="n">
        <v>19.49066925048828</v>
      </c>
      <c r="G4008" t="n">
        <v>81.15105438232422</v>
      </c>
      <c r="H4008">
        <f>AVERAGE(D3809:D4008)</f>
        <v/>
      </c>
      <c r="I4008">
        <f>AVERAGE(E3809:E4008)</f>
        <v/>
      </c>
      <c r="J4008">
        <f>AVERAGE(F3809:F4008)</f>
        <v/>
      </c>
    </row>
    <row r="4009">
      <c r="C4009" s="539" t="n">
        <v>45265</v>
      </c>
      <c r="D4009" t="n">
        <v>187.1499938964844</v>
      </c>
      <c r="E4009" t="n">
        <v>67.58000183105469</v>
      </c>
      <c r="F4009" t="n">
        <v>19.51727485656738</v>
      </c>
      <c r="G4009" t="n">
        <v>81.16880035400391</v>
      </c>
      <c r="H4009">
        <f>AVERAGE(D3810:D4009)</f>
        <v/>
      </c>
      <c r="I4009">
        <f>AVERAGE(E3810:E4009)</f>
        <v/>
      </c>
      <c r="J4009">
        <f>AVERAGE(F3810:F4009)</f>
        <v/>
      </c>
    </row>
    <row r="4010">
      <c r="C4010" s="539" t="n">
        <v>45266</v>
      </c>
      <c r="D4010" t="n">
        <v>187.8399963378906</v>
      </c>
      <c r="E4010" t="n">
        <v>64.76000213623047</v>
      </c>
      <c r="F4010" t="n">
        <v>19.1093692779541</v>
      </c>
      <c r="G4010" t="n">
        <v>81.17766571044922</v>
      </c>
      <c r="H4010">
        <f>AVERAGE(D3811:D4010)</f>
        <v/>
      </c>
      <c r="I4010">
        <f>AVERAGE(E3811:E4010)</f>
        <v/>
      </c>
      <c r="J4010">
        <f>AVERAGE(F3811:F4010)</f>
        <v/>
      </c>
    </row>
    <row r="4011">
      <c r="C4011" s="539" t="n">
        <v>45267</v>
      </c>
      <c r="D4011" t="n">
        <v>188.1499938964844</v>
      </c>
      <c r="E4011" t="n">
        <v>65.11000061035156</v>
      </c>
      <c r="F4011" t="n">
        <v>19.22464752197266</v>
      </c>
      <c r="G4011" t="n">
        <v>81.21317291259766</v>
      </c>
      <c r="H4011">
        <f>AVERAGE(D3812:D4011)</f>
        <v/>
      </c>
      <c r="I4011">
        <f>AVERAGE(E3812:E4011)</f>
        <v/>
      </c>
      <c r="J4011">
        <f>AVERAGE(F3812:F4011)</f>
        <v/>
      </c>
    </row>
    <row r="4012">
      <c r="C4012" s="539" t="n">
        <v>45268</v>
      </c>
      <c r="D4012" t="n">
        <v>185.6399993896484</v>
      </c>
      <c r="E4012" t="n">
        <v>66.52999877929688</v>
      </c>
      <c r="F4012" t="n">
        <v>19.34879112243652</v>
      </c>
      <c r="G4012" t="n">
        <v>81.23094177246094</v>
      </c>
      <c r="H4012">
        <f>AVERAGE(D3813:D4012)</f>
        <v/>
      </c>
      <c r="I4012">
        <f>AVERAGE(E3813:E4012)</f>
        <v/>
      </c>
      <c r="J4012">
        <f>AVERAGE(F3813:F4012)</f>
        <v/>
      </c>
    </row>
    <row r="4013">
      <c r="C4013" s="539" t="n">
        <v>45271</v>
      </c>
      <c r="D4013" t="n">
        <v>183.5899963378906</v>
      </c>
      <c r="E4013" t="n">
        <v>66.80000305175781</v>
      </c>
      <c r="F4013" t="n">
        <v>19.25124740600586</v>
      </c>
      <c r="G4013" t="n">
        <v>81.24866485595703</v>
      </c>
      <c r="H4013">
        <f>AVERAGE(D3814:D4013)</f>
        <v/>
      </c>
      <c r="I4013">
        <f>AVERAGE(E3814:E4013)</f>
        <v/>
      </c>
      <c r="J4013">
        <f>AVERAGE(F3814:F4013)</f>
        <v/>
      </c>
    </row>
    <row r="4014">
      <c r="C4014" s="539" t="n">
        <v>45272</v>
      </c>
      <c r="D4014" t="n">
        <v>183.4900054931641</v>
      </c>
      <c r="E4014" t="n">
        <v>64.25</v>
      </c>
      <c r="F4014" t="n">
        <v>19.37539291381836</v>
      </c>
      <c r="G4014" t="n">
        <v>81.24866485595703</v>
      </c>
      <c r="H4014">
        <f>AVERAGE(D3815:D4014)</f>
        <v/>
      </c>
      <c r="I4014">
        <f>AVERAGE(E3815:E4014)</f>
        <v/>
      </c>
      <c r="J4014">
        <f>AVERAGE(F3815:F4014)</f>
        <v/>
      </c>
    </row>
    <row r="4015">
      <c r="C4015" s="539" t="n">
        <v>45273</v>
      </c>
      <c r="D4015" t="n">
        <v>187.6300048828125</v>
      </c>
      <c r="E4015" t="n">
        <v>65.33000183105469</v>
      </c>
      <c r="F4015" t="n">
        <v>19.2601146697998</v>
      </c>
      <c r="G4015" t="n">
        <v>81.25754547119141</v>
      </c>
      <c r="H4015">
        <f>AVERAGE(D3816:D4015)</f>
        <v/>
      </c>
      <c r="I4015">
        <f>AVERAGE(E3816:E4015)</f>
        <v/>
      </c>
      <c r="J4015">
        <f>AVERAGE(F3816:F4015)</f>
        <v/>
      </c>
    </row>
    <row r="4016">
      <c r="C4016" s="539" t="n">
        <v>45274</v>
      </c>
      <c r="D4016" t="n">
        <v>188.7299957275391</v>
      </c>
      <c r="E4016" t="n">
        <v>67.16000366210938</v>
      </c>
      <c r="F4016" t="n">
        <v>19.41972923278809</v>
      </c>
      <c r="G4016" t="n">
        <v>81.29306030273438</v>
      </c>
      <c r="H4016">
        <f>AVERAGE(D3817:D4016)</f>
        <v/>
      </c>
      <c r="I4016">
        <f>AVERAGE(E3817:E4016)</f>
        <v/>
      </c>
      <c r="J4016">
        <f>AVERAGE(F3817:F4016)</f>
        <v/>
      </c>
    </row>
    <row r="4017">
      <c r="C4017" s="539" t="n">
        <v>45275</v>
      </c>
      <c r="D4017" t="n">
        <v>187</v>
      </c>
      <c r="E4017" t="n">
        <v>67.15000152587891</v>
      </c>
      <c r="F4017" t="n">
        <v>19.47293472290039</v>
      </c>
      <c r="G4017" t="n">
        <v>81.31967163085938</v>
      </c>
      <c r="H4017">
        <f>AVERAGE(D3818:D4017)</f>
        <v/>
      </c>
      <c r="I4017">
        <f>AVERAGE(E3818:E4017)</f>
        <v/>
      </c>
      <c r="J4017">
        <f>AVERAGE(F3818:F4017)</f>
        <v/>
      </c>
    </row>
    <row r="4018">
      <c r="C4018" s="539" t="n">
        <v>45278</v>
      </c>
      <c r="D4018" t="n">
        <v>187.8500061035156</v>
      </c>
      <c r="E4018" t="n">
        <v>68.08999633789062</v>
      </c>
      <c r="F4018" t="n">
        <v>19.49147987365723</v>
      </c>
      <c r="G4018" t="n">
        <v>81.32948303222656</v>
      </c>
      <c r="H4018">
        <f>AVERAGE(D3819:D4018)</f>
        <v/>
      </c>
      <c r="I4018">
        <f>AVERAGE(E3819:E4018)</f>
        <v/>
      </c>
      <c r="J4018">
        <f>AVERAGE(F3819:F4018)</f>
        <v/>
      </c>
    </row>
    <row r="4019">
      <c r="C4019" s="539" t="n">
        <v>45279</v>
      </c>
      <c r="D4019" t="n">
        <v>189.1300048828125</v>
      </c>
      <c r="E4019" t="n">
        <v>69.36000061035156</v>
      </c>
      <c r="F4019" t="n">
        <v>19.53784561157227</v>
      </c>
      <c r="G4019" t="n">
        <v>81.32948303222656</v>
      </c>
      <c r="H4019">
        <f>AVERAGE(D3820:D4019)</f>
        <v/>
      </c>
      <c r="I4019">
        <f>AVERAGE(E3820:E4019)</f>
        <v/>
      </c>
      <c r="J4019">
        <f>AVERAGE(F3820:F4019)</f>
        <v/>
      </c>
    </row>
    <row r="4020">
      <c r="C4020" s="539" t="n">
        <v>45280</v>
      </c>
      <c r="D4020" t="n">
        <v>188.1000061035156</v>
      </c>
      <c r="E4020" t="n">
        <v>68.79000091552734</v>
      </c>
      <c r="F4020" t="n">
        <v>19.30602264404297</v>
      </c>
      <c r="G4020" t="n">
        <v>81.34731292724609</v>
      </c>
      <c r="H4020">
        <f>AVERAGE(D3821:D4020)</f>
        <v/>
      </c>
      <c r="I4020">
        <f>AVERAGE(E3821:E4020)</f>
        <v/>
      </c>
      <c r="J4020">
        <f>AVERAGE(F3821:F4020)</f>
        <v/>
      </c>
    </row>
    <row r="4021">
      <c r="C4021" s="539" t="n">
        <v>45281</v>
      </c>
      <c r="D4021" t="n">
        <v>189.4299926757812</v>
      </c>
      <c r="E4021" t="n">
        <v>69.02999877929688</v>
      </c>
      <c r="F4021" t="n">
        <v>19.27820777893066</v>
      </c>
      <c r="G4021" t="n">
        <v>81.40081787109375</v>
      </c>
      <c r="H4021">
        <f>AVERAGE(D3822:D4021)</f>
        <v/>
      </c>
      <c r="I4021">
        <f>AVERAGE(E3822:E4021)</f>
        <v/>
      </c>
      <c r="J4021">
        <f>AVERAGE(F3822:F4021)</f>
        <v/>
      </c>
    </row>
    <row r="4022">
      <c r="C4022" s="539" t="n">
        <v>45282</v>
      </c>
      <c r="D4022" t="n">
        <v>190.2700042724609</v>
      </c>
      <c r="E4022" t="n">
        <v>68.69000244140625</v>
      </c>
      <c r="F4022" t="n">
        <v>19.37093353271484</v>
      </c>
      <c r="G4022" t="n">
        <v>81.40972137451172</v>
      </c>
      <c r="H4022">
        <f>AVERAGE(D3823:D4022)</f>
        <v/>
      </c>
      <c r="I4022">
        <f>AVERAGE(E3823:E4022)</f>
        <v/>
      </c>
      <c r="J4022">
        <f>AVERAGE(F3823:F4022)</f>
        <v/>
      </c>
    </row>
    <row r="4023">
      <c r="C4023" s="539" t="n">
        <v>45286</v>
      </c>
      <c r="D4023" t="n">
        <v>191.7200012207031</v>
      </c>
      <c r="E4023" t="n">
        <v>70.20999908447266</v>
      </c>
      <c r="F4023" t="n">
        <v>19.45438766479492</v>
      </c>
      <c r="G4023" t="n">
        <v>81.42753601074219</v>
      </c>
      <c r="H4023">
        <f>AVERAGE(D3824:D4023)</f>
        <v/>
      </c>
      <c r="I4023">
        <f>AVERAGE(E3824:E4023)</f>
        <v/>
      </c>
      <c r="J4023">
        <f>AVERAGE(F3824:F4023)</f>
        <v/>
      </c>
    </row>
    <row r="4024">
      <c r="C4024" s="539" t="n">
        <v>45287</v>
      </c>
      <c r="D4024" t="n">
        <v>192.5899963378906</v>
      </c>
      <c r="E4024" t="n">
        <v>68.91999816894531</v>
      </c>
      <c r="F4024" t="n">
        <v>19.47293472290039</v>
      </c>
      <c r="G4024" t="n">
        <v>81.42753601074219</v>
      </c>
      <c r="H4024">
        <f>AVERAGE(D3825:D4024)</f>
        <v/>
      </c>
      <c r="I4024">
        <f>AVERAGE(E3825:E4024)</f>
        <v/>
      </c>
      <c r="J4024">
        <f>AVERAGE(F3825:F4024)</f>
        <v/>
      </c>
    </row>
    <row r="4025">
      <c r="C4025" s="539" t="n">
        <v>45288</v>
      </c>
      <c r="D4025" t="n">
        <v>191.4700012207031</v>
      </c>
      <c r="E4025" t="n">
        <v>67.18000030517578</v>
      </c>
      <c r="F4025" t="n">
        <v>19.5192985534668</v>
      </c>
      <c r="G4025" t="n">
        <v>81.48104858398438</v>
      </c>
      <c r="H4025">
        <f>AVERAGE(D3826:D4025)</f>
        <v/>
      </c>
      <c r="I4025">
        <f>AVERAGE(E3826:E4025)</f>
        <v/>
      </c>
      <c r="J4025">
        <f>AVERAGE(F3826:F4025)</f>
        <v/>
      </c>
    </row>
    <row r="4026">
      <c r="C4026" s="539" t="n">
        <v>45289</v>
      </c>
      <c r="D4026" t="n">
        <v>191.1699981689453</v>
      </c>
      <c r="E4026" t="n">
        <v>66.65000152587891</v>
      </c>
      <c r="F4026" t="n">
        <v>19.23184013366699</v>
      </c>
      <c r="G4026" t="n">
        <v>81.48104858398438</v>
      </c>
      <c r="H4026">
        <f>AVERAGE(D3827:D4026)</f>
        <v/>
      </c>
      <c r="I4026">
        <f>AVERAGE(E3827:E4026)</f>
        <v/>
      </c>
      <c r="J4026">
        <f>AVERAGE(F3827:F4026)</f>
        <v/>
      </c>
    </row>
    <row r="4027">
      <c r="C4027" s="539" t="n">
        <v>45293</v>
      </c>
      <c r="D4027" t="n">
        <v>190.7200012207031</v>
      </c>
      <c r="E4027" t="n">
        <v>65.76999664306641</v>
      </c>
      <c r="F4027" t="n">
        <v>19.18547821044922</v>
      </c>
      <c r="G4027" t="n">
        <v>81.489990234375</v>
      </c>
      <c r="H4027">
        <f>AVERAGE(D3828:D4027)</f>
        <v/>
      </c>
      <c r="I4027">
        <f>AVERAGE(E3828:E4027)</f>
        <v/>
      </c>
      <c r="J4027">
        <f>AVERAGE(F3828:F4027)</f>
        <v/>
      </c>
    </row>
    <row r="4028">
      <c r="C4028" s="539" t="n">
        <v>45294</v>
      </c>
      <c r="D4028" t="n">
        <v>189.1300048828125</v>
      </c>
      <c r="E4028" t="n">
        <v>68.19000244140625</v>
      </c>
      <c r="F4028" t="n">
        <v>19.09275054931641</v>
      </c>
      <c r="G4028" t="n">
        <v>81.51670837402344</v>
      </c>
      <c r="H4028">
        <f>AVERAGE(D3829:D4028)</f>
        <v/>
      </c>
      <c r="I4028">
        <f>AVERAGE(E3829:E4028)</f>
        <v/>
      </c>
      <c r="J4028">
        <f>AVERAGE(F3829:F4028)</f>
        <v/>
      </c>
    </row>
    <row r="4029">
      <c r="C4029" s="539" t="n">
        <v>45295</v>
      </c>
      <c r="D4029" t="n">
        <v>189.3200073242188</v>
      </c>
      <c r="E4029" t="n">
        <v>67.56999969482422</v>
      </c>
      <c r="F4029" t="n">
        <v>19.21329498291016</v>
      </c>
      <c r="G4029" t="n">
        <v>81.54345703125</v>
      </c>
      <c r="H4029">
        <f>AVERAGE(D3830:D4029)</f>
        <v/>
      </c>
      <c r="I4029">
        <f>AVERAGE(E3830:E4029)</f>
        <v/>
      </c>
      <c r="J4029">
        <f>AVERAGE(F3830:F4029)</f>
        <v/>
      </c>
    </row>
    <row r="4030">
      <c r="C4030" s="539" t="n">
        <v>45296</v>
      </c>
      <c r="D4030" t="n">
        <v>189.3500061035156</v>
      </c>
      <c r="E4030" t="n">
        <v>69.02999877929688</v>
      </c>
      <c r="F4030" t="n">
        <v>19.08347511291504</v>
      </c>
      <c r="G4030" t="n">
        <v>81.5523681640625</v>
      </c>
      <c r="H4030">
        <f>AVERAGE(D3831:D4030)</f>
        <v/>
      </c>
      <c r="I4030">
        <f>AVERAGE(E3831:E4030)</f>
        <v/>
      </c>
      <c r="J4030">
        <f>AVERAGE(F3831:F4030)</f>
        <v/>
      </c>
    </row>
    <row r="4031">
      <c r="C4031" s="539" t="n">
        <v>45299</v>
      </c>
      <c r="D4031" t="n">
        <v>187.8699951171875</v>
      </c>
      <c r="E4031" t="n">
        <v>66.40000152587891</v>
      </c>
      <c r="F4031" t="n">
        <v>19.0185661315918</v>
      </c>
      <c r="G4031" t="n">
        <v>81.56129455566406</v>
      </c>
      <c r="H4031">
        <f>AVERAGE(D3832:D4031)</f>
        <v/>
      </c>
      <c r="I4031">
        <f>AVERAGE(E3832:E4031)</f>
        <v/>
      </c>
      <c r="J4031">
        <f>AVERAGE(F3832:F4031)</f>
        <v/>
      </c>
    </row>
    <row r="4032">
      <c r="C4032" s="539" t="n">
        <v>45300</v>
      </c>
      <c r="D4032" t="n">
        <v>187.9299926757812</v>
      </c>
      <c r="E4032" t="n">
        <v>67.38999938964844</v>
      </c>
      <c r="F4032" t="n">
        <v>19.14838600158691</v>
      </c>
      <c r="G4032" t="n">
        <v>81.57020568847656</v>
      </c>
      <c r="H4032">
        <f>AVERAGE(D3833:D4032)</f>
        <v/>
      </c>
      <c r="I4032">
        <f>AVERAGE(E3833:E4032)</f>
        <v/>
      </c>
      <c r="J4032">
        <f>AVERAGE(F3833:F4032)</f>
        <v/>
      </c>
    </row>
    <row r="4033">
      <c r="C4033" s="539" t="n">
        <v>45301</v>
      </c>
      <c r="D4033" t="n">
        <v>187.5</v>
      </c>
      <c r="E4033" t="n">
        <v>66.55999755859375</v>
      </c>
      <c r="F4033" t="n">
        <v>19.11129570007324</v>
      </c>
      <c r="G4033" t="n">
        <v>81.58803558349609</v>
      </c>
      <c r="H4033">
        <f>AVERAGE(D3834:D4033)</f>
        <v/>
      </c>
      <c r="I4033">
        <f>AVERAGE(E3834:E4033)</f>
        <v/>
      </c>
      <c r="J4033">
        <f>AVERAGE(F3834:F4033)</f>
        <v/>
      </c>
    </row>
    <row r="4034">
      <c r="C4034" s="539" t="n">
        <v>45302</v>
      </c>
      <c r="D4034" t="n">
        <v>187.8699951171875</v>
      </c>
      <c r="E4034" t="n">
        <v>67.65000152587891</v>
      </c>
      <c r="F4034" t="n">
        <v>19.21329498291016</v>
      </c>
      <c r="G4034" t="n">
        <v>81.63261413574219</v>
      </c>
      <c r="H4034">
        <f>AVERAGE(D3835:D4034)</f>
        <v/>
      </c>
      <c r="I4034">
        <f>AVERAGE(E3835:E4034)</f>
        <v/>
      </c>
      <c r="J4034">
        <f>AVERAGE(F3835:F4034)</f>
        <v/>
      </c>
    </row>
    <row r="4035">
      <c r="C4035" s="539" t="n">
        <v>45303</v>
      </c>
      <c r="D4035" t="n">
        <v>189.7100067138672</v>
      </c>
      <c r="E4035" t="n">
        <v>68.01999664306641</v>
      </c>
      <c r="F4035" t="n">
        <v>19.11129570007324</v>
      </c>
      <c r="G4035" t="n">
        <v>81.65046691894531</v>
      </c>
      <c r="H4035">
        <f>AVERAGE(D3836:D4035)</f>
        <v/>
      </c>
      <c r="I4035">
        <f>AVERAGE(E3836:E4035)</f>
        <v/>
      </c>
      <c r="J4035">
        <f>AVERAGE(F3836:F4035)</f>
        <v/>
      </c>
    </row>
    <row r="4036">
      <c r="C4036" s="539" t="n">
        <v>45307</v>
      </c>
      <c r="D4036" t="n">
        <v>187.9100036621094</v>
      </c>
      <c r="E4036" t="n">
        <v>67.25</v>
      </c>
      <c r="F4036" t="n">
        <v>19.25038719177246</v>
      </c>
      <c r="G4036" t="n">
        <v>81.65937042236328</v>
      </c>
      <c r="H4036">
        <f>AVERAGE(D3837:D4036)</f>
        <v/>
      </c>
      <c r="I4036">
        <f>AVERAGE(E3837:E4036)</f>
        <v/>
      </c>
      <c r="J4036">
        <f>AVERAGE(F3837:F4036)</f>
        <v/>
      </c>
    </row>
    <row r="4037">
      <c r="C4037" s="539" t="n">
        <v>45308</v>
      </c>
      <c r="D4037" t="n">
        <v>185.8399963378906</v>
      </c>
      <c r="E4037" t="n">
        <v>67.94000244140625</v>
      </c>
      <c r="F4037" t="n">
        <v>19.11129570007324</v>
      </c>
      <c r="G4037" t="n">
        <v>81.67720794677734</v>
      </c>
      <c r="H4037">
        <f>AVERAGE(D3838:D4037)</f>
        <v/>
      </c>
      <c r="I4037">
        <f>AVERAGE(E3838:E4037)</f>
        <v/>
      </c>
      <c r="J4037">
        <f>AVERAGE(F3838:F4037)</f>
        <v/>
      </c>
    </row>
    <row r="4038">
      <c r="C4038" s="539" t="n">
        <v>45309</v>
      </c>
      <c r="D4038" t="n">
        <v>187.3699951171875</v>
      </c>
      <c r="E4038" t="n">
        <v>69.05999755859375</v>
      </c>
      <c r="F4038" t="n">
        <v>19.33384323120117</v>
      </c>
      <c r="G4038" t="n">
        <v>81.71286010742188</v>
      </c>
      <c r="H4038">
        <f>AVERAGE(D3839:D4038)</f>
        <v/>
      </c>
      <c r="I4038">
        <f>AVERAGE(E3839:E4038)</f>
        <v/>
      </c>
      <c r="J4038">
        <f>AVERAGE(F3839:F4038)</f>
        <v/>
      </c>
    </row>
    <row r="4039">
      <c r="C4039" s="539" t="n">
        <v>45310</v>
      </c>
      <c r="D4039" t="n">
        <v>187.9299926757812</v>
      </c>
      <c r="E4039" t="n">
        <v>68.81999969482422</v>
      </c>
      <c r="F4039" t="n">
        <v>19.48220825195312</v>
      </c>
      <c r="G4039" t="n">
        <v>81.72174835205078</v>
      </c>
      <c r="H4039">
        <f>AVERAGE(D3840:D4039)</f>
        <v/>
      </c>
      <c r="I4039">
        <f>AVERAGE(E3840:E4039)</f>
        <v/>
      </c>
      <c r="J4039">
        <f>AVERAGE(F3840:F4039)</f>
        <v/>
      </c>
    </row>
    <row r="4040">
      <c r="C4040" s="539" t="n">
        <v>45313</v>
      </c>
      <c r="D4040" t="n">
        <v>187.2200012207031</v>
      </c>
      <c r="E4040" t="n">
        <v>69.69000244140625</v>
      </c>
      <c r="F4040" t="n">
        <v>19.5656623840332</v>
      </c>
      <c r="G4040" t="n">
        <v>81.73069763183594</v>
      </c>
      <c r="H4040">
        <f>AVERAGE(D3841:D4040)</f>
        <v/>
      </c>
      <c r="I4040">
        <f>AVERAGE(E3841:E4040)</f>
        <v/>
      </c>
      <c r="J4040">
        <f>AVERAGE(F3841:F4040)</f>
        <v/>
      </c>
    </row>
    <row r="4041">
      <c r="C4041" s="539" t="n">
        <v>45314</v>
      </c>
      <c r="D4041" t="n">
        <v>187.9499969482422</v>
      </c>
      <c r="E4041" t="n">
        <v>69.66000366210938</v>
      </c>
      <c r="F4041" t="n">
        <v>19.78820991516113</v>
      </c>
      <c r="G4041" t="n">
        <v>81.73958587646484</v>
      </c>
      <c r="H4041">
        <f>AVERAGE(D3842:D4041)</f>
        <v/>
      </c>
      <c r="I4041">
        <f>AVERAGE(E3842:E4041)</f>
        <v/>
      </c>
      <c r="J4041">
        <f>AVERAGE(F3842:F4041)</f>
        <v/>
      </c>
    </row>
    <row r="4042">
      <c r="C4042" s="539" t="n">
        <v>45315</v>
      </c>
      <c r="D4042" t="n">
        <v>186.3999938964844</v>
      </c>
      <c r="E4042" t="n">
        <v>70.54000091552734</v>
      </c>
      <c r="F4042" t="n">
        <v>19.93657493591309</v>
      </c>
      <c r="G4042" t="n">
        <v>81.74853515625</v>
      </c>
      <c r="H4042">
        <f>AVERAGE(D3843:D4042)</f>
        <v/>
      </c>
      <c r="I4042">
        <f>AVERAGE(E3843:E4042)</f>
        <v/>
      </c>
      <c r="J4042">
        <f>AVERAGE(F3843:F4042)</f>
        <v/>
      </c>
    </row>
    <row r="4043">
      <c r="C4043" s="539" t="n">
        <v>45316</v>
      </c>
      <c r="D4043" t="n">
        <v>187.1399993896484</v>
      </c>
      <c r="E4043" t="n">
        <v>72.23000335693359</v>
      </c>
      <c r="F4043" t="n">
        <v>19.84384727478027</v>
      </c>
      <c r="G4043" t="n">
        <v>81.7930908203125</v>
      </c>
      <c r="H4043">
        <f>AVERAGE(D3844:D4043)</f>
        <v/>
      </c>
      <c r="I4043">
        <f>AVERAGE(E3844:E4043)</f>
        <v/>
      </c>
      <c r="J4043">
        <f>AVERAGE(F3844:F4043)</f>
        <v/>
      </c>
    </row>
    <row r="4044">
      <c r="C4044" s="539" t="n">
        <v>45317</v>
      </c>
      <c r="D4044" t="n">
        <v>187.0099945068359</v>
      </c>
      <c r="E4044" t="n">
        <v>73.09999847412109</v>
      </c>
      <c r="F4044" t="n">
        <v>19.89021301269531</v>
      </c>
      <c r="G4044" t="n">
        <v>81.802001953125</v>
      </c>
      <c r="H4044">
        <f>AVERAGE(D3845:D4044)</f>
        <v/>
      </c>
      <c r="I4044">
        <f>AVERAGE(E3845:E4044)</f>
        <v/>
      </c>
      <c r="J4044">
        <f>AVERAGE(F3845:F4044)</f>
        <v/>
      </c>
    </row>
    <row r="4045">
      <c r="C4045" s="539" t="n">
        <v>45320</v>
      </c>
      <c r="D4045" t="n">
        <v>188.3300018310547</v>
      </c>
      <c r="E4045" t="n">
        <v>72.05000305175781</v>
      </c>
      <c r="F4045" t="n">
        <v>19.7974853515625</v>
      </c>
      <c r="G4045" t="n">
        <v>81.81093597412109</v>
      </c>
      <c r="H4045">
        <f>AVERAGE(D3846:D4045)</f>
        <v/>
      </c>
      <c r="I4045">
        <f>AVERAGE(E3846:E4045)</f>
        <v/>
      </c>
      <c r="J4045">
        <f>AVERAGE(F3846:F4045)</f>
        <v/>
      </c>
    </row>
    <row r="4046">
      <c r="C4046" s="539" t="n">
        <v>45321</v>
      </c>
      <c r="D4046" t="n">
        <v>188.5899963378906</v>
      </c>
      <c r="E4046" t="n">
        <v>72.80999755859375</v>
      </c>
      <c r="F4046" t="n">
        <v>20.09421539306641</v>
      </c>
      <c r="G4046" t="n">
        <v>81.81983947753906</v>
      </c>
      <c r="H4046">
        <f>AVERAGE(D3847:D4046)</f>
        <v/>
      </c>
      <c r="I4046">
        <f>AVERAGE(E3847:E4046)</f>
        <v/>
      </c>
      <c r="J4046">
        <f>AVERAGE(F3847:F4046)</f>
        <v/>
      </c>
    </row>
    <row r="4047">
      <c r="C4047" s="539" t="n">
        <v>45322</v>
      </c>
      <c r="D4047" t="n">
        <v>188.4499969482422</v>
      </c>
      <c r="E4047" t="n">
        <v>70.91999816894531</v>
      </c>
      <c r="F4047" t="n">
        <v>20.0571231842041</v>
      </c>
      <c r="G4047" t="n">
        <v>81.82875823974609</v>
      </c>
      <c r="H4047">
        <f>AVERAGE(D3848:D4047)</f>
        <v/>
      </c>
      <c r="I4047">
        <f>AVERAGE(E3848:E4047)</f>
        <v/>
      </c>
      <c r="J4047">
        <f>AVERAGE(F3848:F4047)</f>
        <v/>
      </c>
    </row>
    <row r="4048">
      <c r="C4048" s="539" t="n">
        <v>45323</v>
      </c>
      <c r="D4048" t="n">
        <v>190.4100036621094</v>
      </c>
      <c r="E4048" t="n">
        <v>69.06999969482422</v>
      </c>
      <c r="F4048" t="n">
        <v>20.11276054382324</v>
      </c>
      <c r="G4048" t="n">
        <v>81.86997222900391</v>
      </c>
      <c r="H4048">
        <f>AVERAGE(D3849:D4048)</f>
        <v/>
      </c>
      <c r="I4048">
        <f>AVERAGE(E3849:E4048)</f>
        <v/>
      </c>
      <c r="J4048">
        <f>AVERAGE(F3849:F4048)</f>
        <v/>
      </c>
    </row>
    <row r="4049">
      <c r="C4049" s="539" t="n">
        <v>45324</v>
      </c>
      <c r="D4049" t="n">
        <v>188.6100006103516</v>
      </c>
      <c r="E4049" t="n">
        <v>67.51000213623047</v>
      </c>
      <c r="F4049" t="n">
        <v>20.12203216552734</v>
      </c>
      <c r="G4049" t="n">
        <v>81.88787078857422</v>
      </c>
      <c r="H4049">
        <f>AVERAGE(D3850:D4049)</f>
        <v/>
      </c>
      <c r="I4049">
        <f>AVERAGE(E3850:E4049)</f>
        <v/>
      </c>
      <c r="J4049">
        <f>AVERAGE(F3850:F4049)</f>
        <v/>
      </c>
    </row>
    <row r="4050">
      <c r="C4050" s="539" t="n">
        <v>45327</v>
      </c>
      <c r="D4050" t="n">
        <v>187.5700073242188</v>
      </c>
      <c r="E4050" t="n">
        <v>68.18000030517578</v>
      </c>
      <c r="F4050" t="n">
        <v>20.13130569458008</v>
      </c>
      <c r="G4050" t="n">
        <v>81.88787078857422</v>
      </c>
      <c r="H4050">
        <f>AVERAGE(D3851:D4050)</f>
        <v/>
      </c>
      <c r="I4050">
        <f>AVERAGE(E3851:E4050)</f>
        <v/>
      </c>
      <c r="J4050">
        <f>AVERAGE(F3851:F4050)</f>
        <v/>
      </c>
    </row>
    <row r="4051">
      <c r="C4051" s="539" t="n">
        <v>45328</v>
      </c>
      <c r="D4051" t="n">
        <v>188.5500030517578</v>
      </c>
      <c r="E4051" t="n">
        <v>68.80999755859375</v>
      </c>
      <c r="F4051" t="n">
        <v>20.18694305419922</v>
      </c>
      <c r="G4051" t="n">
        <v>81.90576934814453</v>
      </c>
      <c r="H4051">
        <f>AVERAGE(D3852:D4051)</f>
        <v/>
      </c>
      <c r="I4051">
        <f>AVERAGE(E3852:E4051)</f>
        <v/>
      </c>
      <c r="J4051">
        <f>AVERAGE(F3852:F4051)</f>
        <v/>
      </c>
    </row>
    <row r="4052">
      <c r="C4052" s="539" t="n">
        <v>45329</v>
      </c>
      <c r="D4052" t="n">
        <v>188.5</v>
      </c>
      <c r="E4052" t="n">
        <v>69.41999816894531</v>
      </c>
      <c r="F4052" t="n">
        <v>20.2611255645752</v>
      </c>
      <c r="G4052" t="n">
        <v>81.91473388671875</v>
      </c>
      <c r="H4052">
        <f>AVERAGE(D3853:D4052)</f>
        <v/>
      </c>
      <c r="I4052">
        <f>AVERAGE(E3853:E4052)</f>
        <v/>
      </c>
      <c r="J4052">
        <f>AVERAGE(F3853:F4052)</f>
        <v/>
      </c>
    </row>
    <row r="4053">
      <c r="C4053" s="539" t="n">
        <v>45330</v>
      </c>
      <c r="D4053" t="n">
        <v>188.3300018310547</v>
      </c>
      <c r="E4053" t="n">
        <v>71.51999664306641</v>
      </c>
      <c r="F4053" t="n">
        <v>20.45585441589355</v>
      </c>
      <c r="G4053" t="n">
        <v>81.95055389404297</v>
      </c>
      <c r="H4053">
        <f>AVERAGE(D3854:D4053)</f>
        <v/>
      </c>
      <c r="I4053">
        <f>AVERAGE(E3854:E4053)</f>
        <v/>
      </c>
      <c r="J4053">
        <f>AVERAGE(F3854:F4053)</f>
        <v/>
      </c>
    </row>
    <row r="4054">
      <c r="C4054" s="539" t="n">
        <v>45331</v>
      </c>
      <c r="D4054" t="n">
        <v>187.6000061035156</v>
      </c>
      <c r="E4054" t="n">
        <v>71.66999816894531</v>
      </c>
      <c r="F4054" t="n">
        <v>20.53003692626953</v>
      </c>
      <c r="G4054" t="n">
        <v>81.95951080322266</v>
      </c>
      <c r="H4054">
        <f>AVERAGE(D3855:D4054)</f>
        <v/>
      </c>
      <c r="I4054">
        <f>AVERAGE(E3855:E4054)</f>
        <v/>
      </c>
      <c r="J4054">
        <f>AVERAGE(F3855:F4054)</f>
        <v/>
      </c>
    </row>
    <row r="4055">
      <c r="C4055" s="539" t="n">
        <v>45334</v>
      </c>
      <c r="D4055" t="n">
        <v>187.1100006103516</v>
      </c>
      <c r="E4055" t="n">
        <v>72.11000061035156</v>
      </c>
      <c r="F4055" t="n">
        <v>20.44658088684082</v>
      </c>
      <c r="G4055" t="n">
        <v>81.9774169921875</v>
      </c>
      <c r="H4055">
        <f>AVERAGE(D3856:D4055)</f>
        <v/>
      </c>
      <c r="I4055">
        <f>AVERAGE(E3856:E4055)</f>
        <v/>
      </c>
      <c r="J4055">
        <f>AVERAGE(F3856:F4055)</f>
        <v/>
      </c>
    </row>
    <row r="4056">
      <c r="C4056" s="539" t="n">
        <v>45335</v>
      </c>
      <c r="D4056" t="n">
        <v>184.5299987792969</v>
      </c>
      <c r="E4056" t="n">
        <v>72.65000152587891</v>
      </c>
      <c r="F4056" t="n">
        <v>20.39094543457031</v>
      </c>
      <c r="G4056" t="n">
        <v>81.9774169921875</v>
      </c>
      <c r="H4056">
        <f>AVERAGE(D3857:D4056)</f>
        <v/>
      </c>
      <c r="I4056">
        <f>AVERAGE(E3857:E4056)</f>
        <v/>
      </c>
      <c r="J4056">
        <f>AVERAGE(F3857:F4056)</f>
        <v/>
      </c>
    </row>
    <row r="4057">
      <c r="C4057" s="539" t="n">
        <v>45336</v>
      </c>
      <c r="D4057" t="n">
        <v>184.4199981689453</v>
      </c>
      <c r="E4057" t="n">
        <v>71.55000305175781</v>
      </c>
      <c r="F4057" t="n">
        <v>20.29821586608887</v>
      </c>
      <c r="G4057" t="n">
        <v>81.99533081054688</v>
      </c>
      <c r="H4057">
        <f>AVERAGE(D3858:D4057)</f>
        <v/>
      </c>
      <c r="I4057">
        <f>AVERAGE(E3858:E4057)</f>
        <v/>
      </c>
      <c r="J4057">
        <f>AVERAGE(F3858:F4057)</f>
        <v/>
      </c>
    </row>
    <row r="4058">
      <c r="C4058" s="539" t="n">
        <v>45337</v>
      </c>
      <c r="D4058" t="n">
        <v>185.6600036621094</v>
      </c>
      <c r="E4058" t="n">
        <v>72.83999633789062</v>
      </c>
      <c r="F4058" t="n">
        <v>20.21475982666016</v>
      </c>
      <c r="G4058" t="n">
        <v>82.04010772705078</v>
      </c>
      <c r="H4058">
        <f>AVERAGE(D3859:D4058)</f>
        <v/>
      </c>
      <c r="I4058">
        <f>AVERAGE(E3859:E4058)</f>
        <v/>
      </c>
      <c r="J4058">
        <f>AVERAGE(F3859:F4058)</f>
        <v/>
      </c>
    </row>
    <row r="4059">
      <c r="C4059" s="539" t="n">
        <v>45338</v>
      </c>
      <c r="D4059" t="n">
        <v>186.3399963378906</v>
      </c>
      <c r="E4059" t="n">
        <v>73.41000366210938</v>
      </c>
      <c r="F4059" t="n">
        <v>20.11276054382324</v>
      </c>
      <c r="G4059" t="n">
        <v>82.05800628662109</v>
      </c>
      <c r="H4059">
        <f>AVERAGE(D3860:D4059)</f>
        <v/>
      </c>
      <c r="I4059">
        <f>AVERAGE(E3860:E4059)</f>
        <v/>
      </c>
      <c r="J4059">
        <f>AVERAGE(F3860:F4059)</f>
        <v/>
      </c>
    </row>
    <row r="4060">
      <c r="C4060" s="539" t="n">
        <v>45342</v>
      </c>
      <c r="D4060" t="n">
        <v>187.4700012207031</v>
      </c>
      <c r="E4060" t="n">
        <v>72.41999816894531</v>
      </c>
      <c r="F4060" t="n">
        <v>20.40021705627441</v>
      </c>
      <c r="G4060" t="n">
        <v>82.06695556640625</v>
      </c>
      <c r="H4060">
        <f>AVERAGE(D3861:D4060)</f>
        <v/>
      </c>
      <c r="I4060">
        <f>AVERAGE(E3861:E4060)</f>
        <v/>
      </c>
      <c r="J4060">
        <f>AVERAGE(F3861:F4060)</f>
        <v/>
      </c>
    </row>
    <row r="4061">
      <c r="C4061" s="539" t="n">
        <v>45343</v>
      </c>
      <c r="D4061" t="n">
        <v>187.4799957275391</v>
      </c>
      <c r="E4061" t="n">
        <v>73.19999694824219</v>
      </c>
      <c r="F4061" t="n">
        <v>20.53931045532227</v>
      </c>
      <c r="G4061" t="n">
        <v>82.07593536376953</v>
      </c>
      <c r="H4061">
        <f>AVERAGE(D3862:D4061)</f>
        <v/>
      </c>
      <c r="I4061">
        <f>AVERAGE(E3862:E4061)</f>
        <v/>
      </c>
      <c r="J4061">
        <f>AVERAGE(F3862:F4061)</f>
        <v/>
      </c>
    </row>
    <row r="4062">
      <c r="C4062" s="539" t="n">
        <v>45344</v>
      </c>
      <c r="D4062" t="n">
        <v>187.5599975585938</v>
      </c>
      <c r="E4062" t="n">
        <v>73.59999847412109</v>
      </c>
      <c r="F4062" t="n">
        <v>20.48367309570312</v>
      </c>
      <c r="G4062" t="n">
        <v>82.12069702148438</v>
      </c>
      <c r="H4062">
        <f>AVERAGE(D3863:D4062)</f>
        <v/>
      </c>
      <c r="I4062">
        <f>AVERAGE(E3863:E4062)</f>
        <v/>
      </c>
      <c r="J4062">
        <f>AVERAGE(F3863:F4062)</f>
        <v/>
      </c>
    </row>
    <row r="4063">
      <c r="C4063" s="539" t="n">
        <v>45345</v>
      </c>
      <c r="D4063" t="n">
        <v>188.6199951171875</v>
      </c>
      <c r="E4063" t="n">
        <v>71.91999816894531</v>
      </c>
      <c r="F4063" t="n">
        <v>20.54858207702637</v>
      </c>
      <c r="G4063" t="n">
        <v>82.12966156005859</v>
      </c>
      <c r="H4063">
        <f>AVERAGE(D3864:D4063)</f>
        <v/>
      </c>
      <c r="I4063">
        <f>AVERAGE(E3864:E4063)</f>
        <v/>
      </c>
      <c r="J4063">
        <f>AVERAGE(F3864:F4063)</f>
        <v/>
      </c>
    </row>
    <row r="4064">
      <c r="C4064" s="539" t="n">
        <v>45348</v>
      </c>
      <c r="D4064" t="n">
        <v>188.1999969482422</v>
      </c>
      <c r="E4064" t="n">
        <v>72.79000091552734</v>
      </c>
      <c r="F4064" t="n">
        <v>20.75258445739746</v>
      </c>
      <c r="G4064" t="n">
        <v>82.12966156005859</v>
      </c>
      <c r="H4064">
        <f>AVERAGE(D3865:D4064)</f>
        <v/>
      </c>
      <c r="I4064">
        <f>AVERAGE(E3865:E4064)</f>
        <v/>
      </c>
      <c r="J4064">
        <f>AVERAGE(F3865:F4064)</f>
        <v/>
      </c>
    </row>
    <row r="4065">
      <c r="C4065" s="539" t="n">
        <v>45349</v>
      </c>
      <c r="D4065" t="n">
        <v>188</v>
      </c>
      <c r="E4065" t="n">
        <v>73.84999847412109</v>
      </c>
      <c r="F4065" t="n">
        <v>20.8082218170166</v>
      </c>
      <c r="G4065" t="n">
        <v>82.14756011962891</v>
      </c>
      <c r="H4065">
        <f>AVERAGE(D3866:D4065)</f>
        <v/>
      </c>
      <c r="I4065">
        <f>AVERAGE(E3866:E4065)</f>
        <v/>
      </c>
      <c r="J4065">
        <f>AVERAGE(F3866:F4065)</f>
        <v/>
      </c>
    </row>
    <row r="4066">
      <c r="C4066" s="539" t="n">
        <v>45350</v>
      </c>
      <c r="D4066" t="n">
        <v>188.3399963378906</v>
      </c>
      <c r="E4066" t="n">
        <v>73.62000274658203</v>
      </c>
      <c r="F4066" t="n">
        <v>20.5578556060791</v>
      </c>
      <c r="G4066" t="n">
        <v>82.15651702880859</v>
      </c>
      <c r="H4066">
        <f>AVERAGE(D3867:D4066)</f>
        <v/>
      </c>
      <c r="I4066">
        <f>AVERAGE(E3867:E4066)</f>
        <v/>
      </c>
      <c r="J4066">
        <f>AVERAGE(F3867:F4066)</f>
        <v/>
      </c>
    </row>
    <row r="4067">
      <c r="C4067" s="539" t="n">
        <v>45351</v>
      </c>
      <c r="D4067" t="n">
        <v>189.3099975585938</v>
      </c>
      <c r="E4067" t="n">
        <v>73.36000061035156</v>
      </c>
      <c r="F4067" t="n">
        <v>20.56712913513184</v>
      </c>
      <c r="G4067" t="n">
        <v>82.19233703613281</v>
      </c>
      <c r="H4067">
        <f>AVERAGE(D3868:D4067)</f>
        <v/>
      </c>
      <c r="I4067">
        <f>AVERAGE(E3868:E4067)</f>
        <v/>
      </c>
      <c r="J4067">
        <f>AVERAGE(F3868:F4067)</f>
        <v/>
      </c>
    </row>
    <row r="4068">
      <c r="C4068" s="539" t="n">
        <v>45352</v>
      </c>
      <c r="D4068" t="n">
        <v>192.8899993896484</v>
      </c>
      <c r="E4068" t="n">
        <v>74.95999908447266</v>
      </c>
      <c r="F4068" t="n">
        <v>20.58567428588867</v>
      </c>
      <c r="G4068" t="n">
        <v>82.21484375</v>
      </c>
      <c r="H4068">
        <f>AVERAGE(D3869:D4068)</f>
        <v/>
      </c>
      <c r="I4068">
        <f>AVERAGE(E3869:E4068)</f>
        <v/>
      </c>
      <c r="J4068">
        <f>AVERAGE(F3869:F4068)</f>
        <v/>
      </c>
    </row>
    <row r="4069">
      <c r="C4069" s="539" t="n">
        <v>45355</v>
      </c>
      <c r="D4069" t="n">
        <v>196.0099945068359</v>
      </c>
      <c r="E4069" t="n">
        <v>74.01000213623047</v>
      </c>
      <c r="F4069" t="n">
        <v>20.81749534606934</v>
      </c>
      <c r="G4069" t="n">
        <v>82.22380828857422</v>
      </c>
      <c r="H4069">
        <f>AVERAGE(D3870:D4069)</f>
        <v/>
      </c>
      <c r="I4069">
        <f>AVERAGE(E3870:E4069)</f>
        <v/>
      </c>
      <c r="J4069">
        <f>AVERAGE(F3870:F4069)</f>
        <v/>
      </c>
    </row>
    <row r="4070">
      <c r="C4070" s="539" t="n">
        <v>45356</v>
      </c>
      <c r="D4070" t="n">
        <v>197.1900024414062</v>
      </c>
      <c r="E4070" t="n">
        <v>73.44999694824219</v>
      </c>
      <c r="F4070" t="n">
        <v>20.57640266418457</v>
      </c>
      <c r="G4070" t="n">
        <v>82.22380828857422</v>
      </c>
      <c r="H4070">
        <f>AVERAGE(D3871:D4070)</f>
        <v/>
      </c>
      <c r="I4070">
        <f>AVERAGE(E3871:E4070)</f>
        <v/>
      </c>
      <c r="J4070">
        <f>AVERAGE(F3871:F4070)</f>
        <v/>
      </c>
    </row>
    <row r="4071">
      <c r="C4071" s="539" t="n">
        <v>45357</v>
      </c>
      <c r="D4071" t="n">
        <v>198.8099975585938</v>
      </c>
      <c r="E4071" t="n">
        <v>74.33999633789062</v>
      </c>
      <c r="F4071" t="n">
        <v>20.72476768493652</v>
      </c>
      <c r="G4071" t="n">
        <v>82.24180603027344</v>
      </c>
      <c r="H4071">
        <f>AVERAGE(D3872:D4071)</f>
        <v/>
      </c>
      <c r="I4071">
        <f>AVERAGE(E3872:E4071)</f>
        <v/>
      </c>
      <c r="J4071">
        <f>AVERAGE(F3872:F4071)</f>
        <v/>
      </c>
    </row>
    <row r="4072">
      <c r="C4072" s="539" t="n">
        <v>45358</v>
      </c>
      <c r="D4072" t="n">
        <v>199.9400024414062</v>
      </c>
      <c r="E4072" t="n">
        <v>74.23000335693359</v>
      </c>
      <c r="F4072" t="n">
        <v>20.81749534606934</v>
      </c>
      <c r="G4072" t="n">
        <v>82.27775573730469</v>
      </c>
      <c r="H4072">
        <f>AVERAGE(D3873:D4072)</f>
        <v/>
      </c>
      <c r="I4072">
        <f>AVERAGE(E3873:E4072)</f>
        <v/>
      </c>
      <c r="J4072">
        <f>AVERAGE(F3873:F4072)</f>
        <v/>
      </c>
    </row>
    <row r="4073">
      <c r="C4073" s="539" t="n">
        <v>45359</v>
      </c>
      <c r="D4073" t="n">
        <v>201.6300048828125</v>
      </c>
      <c r="E4073" t="n">
        <v>73.36000061035156</v>
      </c>
      <c r="F4073" t="n">
        <v>20.7989501953125</v>
      </c>
      <c r="G4073" t="n">
        <v>82.28676605224609</v>
      </c>
      <c r="H4073">
        <f>AVERAGE(D3874:D4073)</f>
        <v/>
      </c>
      <c r="I4073">
        <f>AVERAGE(E3874:E4073)</f>
        <v/>
      </c>
      <c r="J4073">
        <f>AVERAGE(F3874:F4073)</f>
        <v/>
      </c>
    </row>
    <row r="4074">
      <c r="C4074" s="539" t="n">
        <v>45362</v>
      </c>
      <c r="D4074" t="n">
        <v>202</v>
      </c>
      <c r="E4074" t="n">
        <v>73.62000274658203</v>
      </c>
      <c r="F4074" t="n">
        <v>21.08640670776367</v>
      </c>
      <c r="G4074" t="n">
        <v>82.29573059082031</v>
      </c>
      <c r="H4074">
        <f>AVERAGE(D3875:D4074)</f>
        <v/>
      </c>
      <c r="I4074">
        <f>AVERAGE(E3875:E4074)</f>
        <v/>
      </c>
      <c r="J4074">
        <f>AVERAGE(F3875:F4074)</f>
        <v/>
      </c>
    </row>
    <row r="4075">
      <c r="C4075" s="539" t="n">
        <v>45363</v>
      </c>
      <c r="D4075" t="n">
        <v>199.7899932861328</v>
      </c>
      <c r="E4075" t="n">
        <v>73.34999847412109</v>
      </c>
      <c r="F4075" t="n">
        <v>21.32749938964844</v>
      </c>
      <c r="G4075" t="n">
        <v>82.32270050048828</v>
      </c>
      <c r="H4075">
        <f>AVERAGE(D3876:D4075)</f>
        <v/>
      </c>
      <c r="I4075">
        <f>AVERAGE(E3876:E4075)</f>
        <v/>
      </c>
      <c r="J4075">
        <f>AVERAGE(F3876:F4075)</f>
        <v/>
      </c>
    </row>
    <row r="4076">
      <c r="C4076" s="539" t="n">
        <v>45364</v>
      </c>
      <c r="D4076" t="n">
        <v>201.1900024414062</v>
      </c>
      <c r="E4076" t="n">
        <v>75.08999633789062</v>
      </c>
      <c r="F4076" t="n">
        <v>21.29040718078613</v>
      </c>
      <c r="G4076" t="n">
        <v>82.32270050048828</v>
      </c>
      <c r="H4076">
        <f>AVERAGE(D3877:D4076)</f>
        <v/>
      </c>
      <c r="I4076">
        <f>AVERAGE(E3877:E4076)</f>
        <v/>
      </c>
      <c r="J4076">
        <f>AVERAGE(F3877:F4076)</f>
        <v/>
      </c>
    </row>
    <row r="4077">
      <c r="C4077" s="539" t="n">
        <v>45365</v>
      </c>
      <c r="D4077" t="n">
        <v>200.3500061035156</v>
      </c>
      <c r="E4077" t="n">
        <v>76.30000305175781</v>
      </c>
      <c r="F4077" t="n">
        <v>21.41095542907715</v>
      </c>
      <c r="G4077" t="n">
        <v>82.35866546630859</v>
      </c>
      <c r="H4077">
        <f>AVERAGE(D3878:D4077)</f>
        <v/>
      </c>
      <c r="I4077">
        <f>AVERAGE(E3878:E4077)</f>
        <v/>
      </c>
      <c r="J4077">
        <f>AVERAGE(F3878:F4077)</f>
        <v/>
      </c>
    </row>
    <row r="4078">
      <c r="C4078" s="539" t="n">
        <v>45366</v>
      </c>
      <c r="D4078" t="n">
        <v>199.7100067138672</v>
      </c>
      <c r="E4078" t="n">
        <v>76.33000183105469</v>
      </c>
      <c r="F4078" t="n">
        <v>21.87459754943848</v>
      </c>
      <c r="G4078" t="n">
        <v>82.37664794921875</v>
      </c>
      <c r="H4078">
        <f>AVERAGE(D3879:D4078)</f>
        <v/>
      </c>
      <c r="I4078">
        <f>AVERAGE(E3879:E4078)</f>
        <v/>
      </c>
      <c r="J4078">
        <f>AVERAGE(F3879:F4078)</f>
        <v/>
      </c>
    </row>
    <row r="4079">
      <c r="C4079" s="539" t="n">
        <v>45369</v>
      </c>
      <c r="D4079" t="n">
        <v>200.0299987792969</v>
      </c>
      <c r="E4079" t="n">
        <v>77.98000335693359</v>
      </c>
      <c r="F4079" t="n">
        <v>21.99514198303223</v>
      </c>
      <c r="G4079" t="n">
        <v>82.3856201171875</v>
      </c>
      <c r="H4079">
        <f>AVERAGE(D3880:D4079)</f>
        <v/>
      </c>
      <c r="I4079">
        <f>AVERAGE(E3880:E4079)</f>
        <v/>
      </c>
      <c r="J4079">
        <f>AVERAGE(F3880:F4079)</f>
        <v/>
      </c>
    </row>
    <row r="4080">
      <c r="C4080" s="539" t="n">
        <v>45370</v>
      </c>
      <c r="D4080" t="n">
        <v>199.8000030517578</v>
      </c>
      <c r="E4080" t="n">
        <v>78.43000030517578</v>
      </c>
      <c r="F4080" t="n">
        <v>21.83750534057617</v>
      </c>
      <c r="G4080" t="n">
        <v>82.40361785888672</v>
      </c>
      <c r="H4080">
        <f>AVERAGE(D3881:D4080)</f>
        <v/>
      </c>
      <c r="I4080">
        <f>AVERAGE(E3881:E4080)</f>
        <v/>
      </c>
      <c r="J4080">
        <f>AVERAGE(F3881:F4080)</f>
        <v/>
      </c>
    </row>
    <row r="4081">
      <c r="C4081" s="539" t="n">
        <v>45371</v>
      </c>
      <c r="D4081" t="n">
        <v>202.1799926757812</v>
      </c>
      <c r="E4081" t="n">
        <v>77.25</v>
      </c>
      <c r="F4081" t="n">
        <v>22.06005477905273</v>
      </c>
      <c r="G4081" t="n">
        <v>82.41262817382812</v>
      </c>
      <c r="H4081">
        <f>AVERAGE(D3882:D4081)</f>
        <v/>
      </c>
      <c r="I4081">
        <f>AVERAGE(E3882:E4081)</f>
        <v/>
      </c>
      <c r="J4081">
        <f>AVERAGE(F3882:F4081)</f>
        <v/>
      </c>
    </row>
    <row r="4082">
      <c r="C4082" s="539" t="n">
        <v>45372</v>
      </c>
      <c r="D4082" t="n">
        <v>201.9700012207031</v>
      </c>
      <c r="E4082" t="n">
        <v>76.81999969482422</v>
      </c>
      <c r="F4082" t="n">
        <v>22.18059921264648</v>
      </c>
      <c r="G4082" t="n">
        <v>82.43958282470703</v>
      </c>
      <c r="H4082">
        <f>AVERAGE(D3883:D4082)</f>
        <v/>
      </c>
      <c r="I4082">
        <f>AVERAGE(E3883:E4082)</f>
        <v/>
      </c>
      <c r="J4082">
        <f>AVERAGE(F3883:F4082)</f>
        <v/>
      </c>
    </row>
    <row r="4083">
      <c r="C4083" s="539" t="n">
        <v>45373</v>
      </c>
      <c r="D4083" t="n">
        <v>200.3500061035156</v>
      </c>
      <c r="E4083" t="n">
        <v>76.68000030517578</v>
      </c>
      <c r="F4083" t="n">
        <v>22.32896423339844</v>
      </c>
      <c r="G4083" t="n">
        <v>82.44857025146484</v>
      </c>
      <c r="H4083">
        <f>AVERAGE(D3884:D4083)</f>
        <v/>
      </c>
      <c r="I4083">
        <f>AVERAGE(E3884:E4083)</f>
        <v/>
      </c>
      <c r="J4083">
        <f>AVERAGE(F3884:F4083)</f>
        <v/>
      </c>
    </row>
    <row r="4084">
      <c r="C4084" s="539" t="n">
        <v>45376</v>
      </c>
      <c r="D4084" t="n">
        <v>200.9900054931641</v>
      </c>
      <c r="E4084" t="n">
        <v>77.76000213623047</v>
      </c>
      <c r="F4084" t="n">
        <v>22.84824371337891</v>
      </c>
      <c r="G4084" t="n">
        <v>82.46656036376953</v>
      </c>
      <c r="H4084">
        <f>AVERAGE(D3885:D4084)</f>
        <v/>
      </c>
      <c r="I4084">
        <f>AVERAGE(E3885:E4084)</f>
        <v/>
      </c>
      <c r="J4084">
        <f>AVERAGE(F3885:F4084)</f>
        <v/>
      </c>
    </row>
    <row r="4085">
      <c r="C4085" s="539" t="n">
        <v>45377</v>
      </c>
      <c r="D4085" t="n">
        <v>201.6399993896484</v>
      </c>
      <c r="E4085" t="n">
        <v>77.29000091552734</v>
      </c>
      <c r="F4085" t="n">
        <v>22.73696899414062</v>
      </c>
      <c r="G4085" t="n">
        <v>82.47553253173828</v>
      </c>
      <c r="H4085">
        <f>AVERAGE(D3886:D4085)</f>
        <v/>
      </c>
      <c r="I4085">
        <f>AVERAGE(E3886:E4085)</f>
        <v/>
      </c>
      <c r="J4085">
        <f>AVERAGE(F3886:F4085)</f>
        <v/>
      </c>
    </row>
    <row r="4086">
      <c r="C4086" s="539" t="n">
        <v>45378</v>
      </c>
      <c r="D4086" t="n">
        <v>203.1000061035156</v>
      </c>
      <c r="E4086" t="n">
        <v>77.51000213623047</v>
      </c>
      <c r="F4086" t="n">
        <v>22.87606239318848</v>
      </c>
      <c r="G4086" t="n">
        <v>82.52949523925781</v>
      </c>
      <c r="H4086">
        <f>AVERAGE(D3887:D4086)</f>
        <v/>
      </c>
      <c r="I4086">
        <f>AVERAGE(E3887:E4086)</f>
        <v/>
      </c>
      <c r="J4086">
        <f>AVERAGE(F3887:F4086)</f>
        <v/>
      </c>
    </row>
    <row r="4087">
      <c r="C4087" s="539" t="n">
        <v>45379</v>
      </c>
      <c r="D4087" t="n">
        <v>205.7200012207031</v>
      </c>
      <c r="E4087" t="n">
        <v>78.73000335693359</v>
      </c>
      <c r="F4087" t="n">
        <v>22.95951843261719</v>
      </c>
      <c r="G4087" t="n">
        <v>82.52949523925781</v>
      </c>
      <c r="H4087">
        <f>AVERAGE(D3888:D4087)</f>
        <v/>
      </c>
      <c r="I4087">
        <f>AVERAGE(E3888:E4087)</f>
        <v/>
      </c>
      <c r="J4087">
        <f>AVERAGE(F3888:F4087)</f>
        <v/>
      </c>
    </row>
    <row r="4088">
      <c r="C4088" s="539" t="n">
        <v>45383</v>
      </c>
      <c r="D4088" t="n">
        <v>207.8200073242188</v>
      </c>
      <c r="E4088" t="n">
        <v>79.66999816894531</v>
      </c>
      <c r="F4088" t="n">
        <v>23.24697494506836</v>
      </c>
      <c r="G4088" t="n">
        <v>82.55204772949219</v>
      </c>
      <c r="H4088">
        <f>AVERAGE(D3889:D4088)</f>
        <v/>
      </c>
      <c r="I4088">
        <f>AVERAGE(E3889:E4088)</f>
        <v/>
      </c>
      <c r="J4088">
        <f>AVERAGE(F3889:F4088)</f>
        <v/>
      </c>
    </row>
    <row r="4089">
      <c r="C4089" s="539" t="n">
        <v>45384</v>
      </c>
      <c r="D4089" t="n">
        <v>210.8899993896484</v>
      </c>
      <c r="E4089" t="n">
        <v>80.79000091552734</v>
      </c>
      <c r="F4089" t="n">
        <v>22.95951843261719</v>
      </c>
      <c r="G4089" t="n">
        <v>82.57010650634766</v>
      </c>
      <c r="H4089">
        <f>AVERAGE(D3890:D4089)</f>
        <v/>
      </c>
      <c r="I4089">
        <f>AVERAGE(E3890:E4089)</f>
        <v/>
      </c>
      <c r="J4089">
        <f>AVERAGE(F3890:F4089)</f>
        <v/>
      </c>
    </row>
    <row r="4090">
      <c r="C4090" s="539" t="n">
        <v>45385</v>
      </c>
      <c r="D4090" t="n">
        <v>212.7400054931641</v>
      </c>
      <c r="E4090" t="n">
        <v>81.25</v>
      </c>
      <c r="F4090" t="n">
        <v>22.90388107299805</v>
      </c>
      <c r="G4090" t="n">
        <v>82.57010650634766</v>
      </c>
      <c r="H4090">
        <f>AVERAGE(D3891:D4090)</f>
        <v/>
      </c>
      <c r="I4090">
        <f>AVERAGE(E3891:E4090)</f>
        <v/>
      </c>
      <c r="J4090">
        <f>AVERAGE(F3891:F4090)</f>
        <v/>
      </c>
    </row>
    <row r="4091">
      <c r="C4091" s="539" t="n">
        <v>45386</v>
      </c>
      <c r="D4091" t="n">
        <v>211.5200042724609</v>
      </c>
      <c r="E4091" t="n">
        <v>82.26999664306641</v>
      </c>
      <c r="F4091" t="n">
        <v>22.99660873413086</v>
      </c>
      <c r="G4091" t="n">
        <v>82.60624694824219</v>
      </c>
      <c r="H4091">
        <f>AVERAGE(D3892:D4091)</f>
        <v/>
      </c>
      <c r="I4091">
        <f>AVERAGE(E3892:E4091)</f>
        <v/>
      </c>
      <c r="J4091">
        <f>AVERAGE(F3892:F4091)</f>
        <v/>
      </c>
    </row>
    <row r="4092">
      <c r="C4092" s="539" t="n">
        <v>45387</v>
      </c>
      <c r="D4092" t="n">
        <v>215.1399993896484</v>
      </c>
      <c r="E4092" t="n">
        <v>82.40000152587891</v>
      </c>
      <c r="F4092" t="n">
        <v>23.25624847412109</v>
      </c>
      <c r="G4092" t="n">
        <v>82.62430572509766</v>
      </c>
      <c r="H4092">
        <f>AVERAGE(D3893:D4092)</f>
        <v/>
      </c>
      <c r="I4092">
        <f>AVERAGE(E3893:E4092)</f>
        <v/>
      </c>
      <c r="J4092">
        <f>AVERAGE(F3893:F4092)</f>
        <v/>
      </c>
    </row>
    <row r="4093">
      <c r="C4093" s="539" t="n">
        <v>45390</v>
      </c>
      <c r="D4093" t="n">
        <v>216.4799957275391</v>
      </c>
      <c r="E4093" t="n">
        <v>82.19999694824219</v>
      </c>
      <c r="F4093" t="n">
        <v>23.07079124450684</v>
      </c>
      <c r="G4093" t="n">
        <v>82.63333129882812</v>
      </c>
      <c r="H4093">
        <f>AVERAGE(D3894:D4093)</f>
        <v/>
      </c>
      <c r="I4093">
        <f>AVERAGE(E3894:E4093)</f>
        <v/>
      </c>
      <c r="J4093">
        <f>AVERAGE(F3894:F4093)</f>
        <v/>
      </c>
    </row>
    <row r="4094">
      <c r="C4094" s="539" t="n">
        <v>45391</v>
      </c>
      <c r="D4094" t="n">
        <v>217.6699981689453</v>
      </c>
      <c r="E4094" t="n">
        <v>81.15000152587891</v>
      </c>
      <c r="F4094" t="n">
        <v>23.21915817260742</v>
      </c>
      <c r="G4094" t="n">
        <v>82.64234924316406</v>
      </c>
      <c r="H4094">
        <f>AVERAGE(D3895:D4094)</f>
        <v/>
      </c>
      <c r="I4094">
        <f>AVERAGE(E3895:E4094)</f>
        <v/>
      </c>
      <c r="J4094">
        <f>AVERAGE(F3895:F4094)</f>
        <v/>
      </c>
    </row>
    <row r="4095">
      <c r="C4095" s="539" t="n">
        <v>45392</v>
      </c>
      <c r="D4095" t="n">
        <v>215.6100006103516</v>
      </c>
      <c r="E4095" t="n">
        <v>82.08999633789062</v>
      </c>
      <c r="F4095" t="n">
        <v>23.42315864562988</v>
      </c>
      <c r="G4095" t="n">
        <v>82.66040802001953</v>
      </c>
      <c r="H4095">
        <f>AVERAGE(D3896:D4095)</f>
        <v/>
      </c>
      <c r="I4095">
        <f>AVERAGE(E3896:E4095)</f>
        <v/>
      </c>
      <c r="J4095">
        <f>AVERAGE(F3896:F4095)</f>
        <v/>
      </c>
    </row>
    <row r="4096">
      <c r="C4096" s="539" t="n">
        <v>45393</v>
      </c>
      <c r="D4096" t="n">
        <v>219.8000030517578</v>
      </c>
      <c r="E4096" t="n">
        <v>81.55000305175781</v>
      </c>
      <c r="F4096" t="n">
        <v>23.36752319335938</v>
      </c>
      <c r="G4096" t="n">
        <v>82.6875</v>
      </c>
      <c r="H4096">
        <f>AVERAGE(D3897:D4096)</f>
        <v/>
      </c>
      <c r="I4096">
        <f>AVERAGE(E3897:E4096)</f>
        <v/>
      </c>
      <c r="J4096">
        <f>AVERAGE(F3897:F4096)</f>
        <v/>
      </c>
    </row>
    <row r="4097">
      <c r="C4097" s="539" t="n">
        <v>45394</v>
      </c>
      <c r="D4097" t="n">
        <v>216.8899993896484</v>
      </c>
      <c r="E4097" t="n">
        <v>81.52999877929688</v>
      </c>
      <c r="F4097" t="n">
        <v>23.58079719543457</v>
      </c>
      <c r="G4097" t="n">
        <v>82.69654083251953</v>
      </c>
      <c r="H4097">
        <f>AVERAGE(D3898:D4097)</f>
        <v/>
      </c>
      <c r="I4097">
        <f>AVERAGE(E3898:E4097)</f>
        <v/>
      </c>
      <c r="J4097">
        <f>AVERAGE(F3898:F4097)</f>
        <v/>
      </c>
    </row>
    <row r="4098">
      <c r="C4098" s="539" t="n">
        <v>45397</v>
      </c>
      <c r="D4098" t="n">
        <v>220.9499969482422</v>
      </c>
      <c r="E4098" t="n">
        <v>81.65000152587891</v>
      </c>
      <c r="F4098" t="n">
        <v>23.79407119750977</v>
      </c>
      <c r="G4098" t="n">
        <v>82.71460723876953</v>
      </c>
      <c r="H4098">
        <f>AVERAGE(D3899:D4098)</f>
        <v/>
      </c>
      <c r="I4098">
        <f>AVERAGE(E3899:E4098)</f>
        <v/>
      </c>
      <c r="J4098">
        <f>AVERAGE(F3899:F4098)</f>
        <v/>
      </c>
    </row>
    <row r="4099">
      <c r="C4099" s="539" t="n">
        <v>45398</v>
      </c>
      <c r="D4099" t="n">
        <v>221.2200012207031</v>
      </c>
      <c r="E4099" t="n">
        <v>81.33000183105469</v>
      </c>
      <c r="F4099" t="n">
        <v>23.24697494506836</v>
      </c>
      <c r="G4099" t="n">
        <v>82.7236328125</v>
      </c>
      <c r="H4099">
        <f>AVERAGE(D3900:D4099)</f>
        <v/>
      </c>
      <c r="I4099">
        <f>AVERAGE(E3900:E4099)</f>
        <v/>
      </c>
      <c r="J4099">
        <f>AVERAGE(F3900:F4099)</f>
        <v/>
      </c>
    </row>
    <row r="4100">
      <c r="C4100" s="539" t="n">
        <v>45399</v>
      </c>
      <c r="D4100" t="n">
        <v>219.5899963378906</v>
      </c>
      <c r="E4100" t="n">
        <v>78.91000366210938</v>
      </c>
      <c r="F4100" t="n">
        <v>23.56225204467773</v>
      </c>
      <c r="G4100" t="n">
        <v>82.73265838623047</v>
      </c>
      <c r="H4100">
        <f>AVERAGE(D3901:D4100)</f>
        <v/>
      </c>
      <c r="I4100">
        <f>AVERAGE(E3901:E4100)</f>
        <v/>
      </c>
      <c r="J4100">
        <f>AVERAGE(F3901:F4100)</f>
        <v/>
      </c>
    </row>
    <row r="4101">
      <c r="C4101" s="539" t="n">
        <v>45400</v>
      </c>
      <c r="D4101" t="n">
        <v>220.3399963378906</v>
      </c>
      <c r="E4101" t="n">
        <v>78.77999877929688</v>
      </c>
      <c r="F4101" t="n">
        <v>24.0444393157959</v>
      </c>
      <c r="G4101" t="n">
        <v>82.77781677246094</v>
      </c>
      <c r="H4101">
        <f>AVERAGE(D3902:D4101)</f>
        <v/>
      </c>
      <c r="I4101">
        <f>AVERAGE(E3902:E4101)</f>
        <v/>
      </c>
      <c r="J4101">
        <f>AVERAGE(F3902:F4101)</f>
        <v/>
      </c>
    </row>
    <row r="4102">
      <c r="C4102" s="539" t="n">
        <v>45401</v>
      </c>
      <c r="D4102" t="n">
        <v>221.0299987792969</v>
      </c>
      <c r="E4102" t="n">
        <v>78.84999847412109</v>
      </c>
      <c r="F4102" t="n">
        <v>24.5822639465332</v>
      </c>
      <c r="G4102" t="n">
        <v>82.78681945800781</v>
      </c>
      <c r="H4102">
        <f>AVERAGE(D3903:D4102)</f>
        <v/>
      </c>
      <c r="I4102">
        <f>AVERAGE(E3903:E4102)</f>
        <v/>
      </c>
      <c r="J4102">
        <f>AVERAGE(F3903:F4102)</f>
        <v/>
      </c>
    </row>
    <row r="4103">
      <c r="C4103" s="539" t="n">
        <v>45404</v>
      </c>
      <c r="D4103" t="n">
        <v>215.5700073242188</v>
      </c>
      <c r="E4103" t="n">
        <v>78.77999877929688</v>
      </c>
      <c r="F4103" t="n">
        <v>24.2855339050293</v>
      </c>
      <c r="G4103" t="n">
        <v>82.80489349365234</v>
      </c>
      <c r="H4103">
        <f>AVERAGE(D3904:D4103)</f>
        <v/>
      </c>
      <c r="I4103">
        <f>AVERAGE(E3904:E4103)</f>
        <v/>
      </c>
      <c r="J4103">
        <f>AVERAGE(F3904:F4103)</f>
        <v/>
      </c>
    </row>
    <row r="4104">
      <c r="C4104" s="539" t="n">
        <v>45405</v>
      </c>
      <c r="D4104" t="n">
        <v>215.0399932861328</v>
      </c>
      <c r="E4104" t="n">
        <v>79.98000335693359</v>
      </c>
      <c r="F4104" t="n">
        <v>24.06298446655273</v>
      </c>
      <c r="G4104" t="n">
        <v>82.81391143798828</v>
      </c>
      <c r="H4104">
        <f>AVERAGE(D3905:D4104)</f>
        <v/>
      </c>
      <c r="I4104">
        <f>AVERAGE(E3905:E4104)</f>
        <v/>
      </c>
      <c r="J4104">
        <f>AVERAGE(F3905:F4104)</f>
        <v/>
      </c>
    </row>
    <row r="4105">
      <c r="C4105" s="539" t="n">
        <v>45406</v>
      </c>
      <c r="D4105" t="n">
        <v>214.6399993896484</v>
      </c>
      <c r="E4105" t="n">
        <v>79.63999938964844</v>
      </c>
      <c r="F4105" t="n">
        <v>24.61008071899414</v>
      </c>
      <c r="G4105" t="n">
        <v>82.81391143798828</v>
      </c>
      <c r="H4105">
        <f>AVERAGE(D3906:D4105)</f>
        <v/>
      </c>
      <c r="I4105">
        <f>AVERAGE(E3906:E4105)</f>
        <v/>
      </c>
      <c r="J4105">
        <f>AVERAGE(F3906:F4105)</f>
        <v/>
      </c>
    </row>
    <row r="4106">
      <c r="C4106" s="539" t="n">
        <v>45407</v>
      </c>
      <c r="D4106" t="n">
        <v>215.9199981689453</v>
      </c>
      <c r="E4106" t="n">
        <v>80.44000244140625</v>
      </c>
      <c r="F4106" t="n">
        <v>24.26698684692383</v>
      </c>
      <c r="G4106" t="n">
        <v>82.85909271240234</v>
      </c>
      <c r="H4106">
        <f>AVERAGE(D3907:D4106)</f>
        <v/>
      </c>
      <c r="I4106">
        <f>AVERAGE(E3907:E4106)</f>
        <v/>
      </c>
      <c r="J4106">
        <f>AVERAGE(F3907:F4106)</f>
        <v/>
      </c>
    </row>
    <row r="4107">
      <c r="C4107" s="539" t="n">
        <v>45408</v>
      </c>
      <c r="D4107" t="n">
        <v>216.6199951171875</v>
      </c>
      <c r="E4107" t="n">
        <v>80.38999938964844</v>
      </c>
      <c r="F4107" t="n">
        <v>24.14644050598145</v>
      </c>
      <c r="G4107" t="n">
        <v>82.85909271240234</v>
      </c>
      <c r="H4107">
        <f>AVERAGE(D3908:D4107)</f>
        <v/>
      </c>
      <c r="I4107">
        <f>AVERAGE(E3908:E4107)</f>
        <v/>
      </c>
      <c r="J4107">
        <f>AVERAGE(F3908:F4107)</f>
        <v/>
      </c>
    </row>
    <row r="4108">
      <c r="C4108" s="539" t="n">
        <v>45411</v>
      </c>
      <c r="D4108" t="n">
        <v>216.1799926757812</v>
      </c>
      <c r="E4108" t="n">
        <v>79.5</v>
      </c>
      <c r="F4108" t="n">
        <v>23.27479362487793</v>
      </c>
      <c r="G4108" t="n">
        <v>82.87714385986328</v>
      </c>
      <c r="H4108">
        <f>AVERAGE(D3909:D4108)</f>
        <v/>
      </c>
      <c r="I4108">
        <f>AVERAGE(E3909:E4108)</f>
        <v/>
      </c>
      <c r="J4108">
        <f>AVERAGE(F3909:F4108)</f>
        <v/>
      </c>
    </row>
    <row r="4109">
      <c r="C4109" s="539" t="n">
        <v>45412</v>
      </c>
      <c r="D4109" t="n">
        <v>211.8699951171875</v>
      </c>
      <c r="E4109" t="n">
        <v>78.37999725341797</v>
      </c>
      <c r="F4109" t="n">
        <v>22.84824371337891</v>
      </c>
      <c r="G4109" t="n">
        <v>82.88616180419922</v>
      </c>
      <c r="H4109">
        <f>AVERAGE(D3910:D4109)</f>
        <v/>
      </c>
      <c r="I4109">
        <f>AVERAGE(E3910:E4109)</f>
        <v/>
      </c>
      <c r="J4109">
        <f>AVERAGE(F3910:F4109)</f>
        <v/>
      </c>
    </row>
    <row r="4110">
      <c r="C4110" s="539" t="n">
        <v>45413</v>
      </c>
      <c r="D4110" t="n">
        <v>213.7899932861328</v>
      </c>
      <c r="E4110" t="n">
        <v>75.93000030517578</v>
      </c>
      <c r="F4110" t="n">
        <v>22.10641670227051</v>
      </c>
      <c r="G4110" t="n">
        <v>82.90247344970703</v>
      </c>
      <c r="H4110">
        <f>AVERAGE(D3911:D4110)</f>
        <v/>
      </c>
      <c r="I4110">
        <f>AVERAGE(E3911:E4110)</f>
        <v/>
      </c>
      <c r="J4110">
        <f>AVERAGE(F3911:F4110)</f>
        <v/>
      </c>
    </row>
    <row r="4111">
      <c r="C4111" s="539" t="n">
        <v>45414</v>
      </c>
      <c r="D4111" t="n">
        <v>213.1300048828125</v>
      </c>
      <c r="E4111" t="n">
        <v>75.93000030517578</v>
      </c>
      <c r="F4111" t="n">
        <v>21.74477958679199</v>
      </c>
      <c r="G4111" t="n">
        <v>82.94783020019531</v>
      </c>
      <c r="H4111">
        <f>AVERAGE(D3912:D4111)</f>
        <v/>
      </c>
      <c r="I4111">
        <f>AVERAGE(E3912:E4111)</f>
        <v/>
      </c>
      <c r="J4111">
        <f>AVERAGE(F3912:F4111)</f>
        <v/>
      </c>
    </row>
    <row r="4112">
      <c r="C4112" s="539" t="n">
        <v>45415</v>
      </c>
      <c r="D4112" t="n">
        <v>212.9600067138672</v>
      </c>
      <c r="E4112" t="n">
        <v>75.12999725341797</v>
      </c>
      <c r="F4112" t="n">
        <v>22.22696495056152</v>
      </c>
      <c r="G4112" t="n">
        <v>82.9569091796875</v>
      </c>
      <c r="H4112">
        <f>AVERAGE(D3913:D4112)</f>
        <v/>
      </c>
      <c r="I4112">
        <f>AVERAGE(E3913:E4112)</f>
        <v/>
      </c>
      <c r="J4112">
        <f>AVERAGE(F3913:F4112)</f>
        <v/>
      </c>
    </row>
    <row r="4113">
      <c r="C4113" s="539" t="n">
        <v>45418</v>
      </c>
      <c r="D4113" t="n">
        <v>215.1999969482422</v>
      </c>
      <c r="E4113" t="n">
        <v>75.66000366210938</v>
      </c>
      <c r="F4113" t="n">
        <v>22.05078125</v>
      </c>
      <c r="G4113" t="n">
        <v>82.9569091796875</v>
      </c>
      <c r="H4113">
        <f>AVERAGE(D3914:D4113)</f>
        <v/>
      </c>
      <c r="I4113">
        <f>AVERAGE(E3914:E4113)</f>
        <v/>
      </c>
      <c r="J4113">
        <f>AVERAGE(F3914:F4113)</f>
        <v/>
      </c>
    </row>
    <row r="4114">
      <c r="C4114" s="539" t="n">
        <v>45419</v>
      </c>
      <c r="D4114" t="n">
        <v>214.2100067138672</v>
      </c>
      <c r="E4114" t="n">
        <v>75.5</v>
      </c>
      <c r="F4114" t="n">
        <v>22.71842384338379</v>
      </c>
      <c r="G4114" t="n">
        <v>82.96597290039062</v>
      </c>
      <c r="H4114">
        <f>AVERAGE(D3915:D4114)</f>
        <v/>
      </c>
      <c r="I4114">
        <f>AVERAGE(E3915:E4114)</f>
        <v/>
      </c>
      <c r="J4114">
        <f>AVERAGE(F3915:F4114)</f>
        <v/>
      </c>
    </row>
    <row r="4115">
      <c r="C4115" s="539" t="n">
        <v>45420</v>
      </c>
      <c r="D4115" t="n">
        <v>213.5800018310547</v>
      </c>
      <c r="E4115" t="n">
        <v>76.11000061035156</v>
      </c>
      <c r="F4115" t="n">
        <v>22.65351486206055</v>
      </c>
      <c r="G4115" t="n">
        <v>82.98410034179688</v>
      </c>
      <c r="H4115">
        <f>AVERAGE(D3916:D4115)</f>
        <v/>
      </c>
      <c r="I4115">
        <f>AVERAGE(E3916:E4115)</f>
        <v/>
      </c>
      <c r="J4115">
        <f>AVERAGE(F3916:F4115)</f>
        <v/>
      </c>
    </row>
    <row r="4116">
      <c r="C4116" s="539" t="n">
        <v>45421</v>
      </c>
      <c r="D4116" t="n">
        <v>216.9499969482422</v>
      </c>
      <c r="E4116" t="n">
        <v>76.51999664306641</v>
      </c>
      <c r="F4116" t="n">
        <v>22.62569427490234</v>
      </c>
      <c r="G4116" t="n">
        <v>83.02944183349609</v>
      </c>
      <c r="H4116">
        <f>AVERAGE(D3917:D4116)</f>
        <v/>
      </c>
      <c r="I4116">
        <f>AVERAGE(E3917:E4116)</f>
        <v/>
      </c>
      <c r="J4116">
        <f>AVERAGE(F3917:F4116)</f>
        <v/>
      </c>
    </row>
    <row r="4117">
      <c r="C4117" s="539" t="n">
        <v>45422</v>
      </c>
      <c r="D4117" t="n">
        <v>218.7100067138672</v>
      </c>
      <c r="E4117" t="n">
        <v>75.30000305175781</v>
      </c>
      <c r="F4117" t="n">
        <v>22.87606239318848</v>
      </c>
      <c r="G4117" t="n">
        <v>83.02944183349609</v>
      </c>
      <c r="H4117">
        <f>AVERAGE(D3918:D4117)</f>
        <v/>
      </c>
      <c r="I4117">
        <f>AVERAGE(E3918:E4117)</f>
        <v/>
      </c>
      <c r="J4117">
        <f>AVERAGE(F3918:F4117)</f>
        <v/>
      </c>
    </row>
    <row r="4118">
      <c r="C4118" s="539" t="n">
        <v>45425</v>
      </c>
      <c r="D4118" t="n">
        <v>216.2599945068359</v>
      </c>
      <c r="E4118" t="n">
        <v>76.12999725341797</v>
      </c>
      <c r="F4118" t="n">
        <v>21.7633228302002</v>
      </c>
      <c r="G4118" t="n">
        <v>83.04758453369141</v>
      </c>
      <c r="H4118">
        <f>AVERAGE(D3919:D4118)</f>
        <v/>
      </c>
      <c r="I4118">
        <f>AVERAGE(E3919:E4118)</f>
        <v/>
      </c>
      <c r="J4118">
        <f>AVERAGE(F3919:F4118)</f>
        <v/>
      </c>
    </row>
    <row r="4119">
      <c r="C4119" s="539" t="n">
        <v>45426</v>
      </c>
      <c r="D4119" t="n">
        <v>218.0899963378906</v>
      </c>
      <c r="E4119" t="n">
        <v>75.20999908447266</v>
      </c>
      <c r="F4119" t="n">
        <v>21.97659873962402</v>
      </c>
      <c r="G4119" t="n">
        <v>83.05666351318359</v>
      </c>
      <c r="H4119">
        <f>AVERAGE(D3920:D4119)</f>
        <v/>
      </c>
      <c r="I4119">
        <f>AVERAGE(E3920:E4119)</f>
        <v/>
      </c>
      <c r="J4119">
        <f>AVERAGE(F3920:F4119)</f>
        <v/>
      </c>
    </row>
    <row r="4120">
      <c r="C4120" s="539" t="n">
        <v>45427</v>
      </c>
      <c r="D4120" t="n">
        <v>220.8899993896484</v>
      </c>
      <c r="E4120" t="n">
        <v>75.87999725341797</v>
      </c>
      <c r="F4120" t="n">
        <v>22.12496376037598</v>
      </c>
      <c r="G4120" t="n">
        <v>83.06569671630859</v>
      </c>
      <c r="H4120">
        <f>AVERAGE(D3921:D4120)</f>
        <v/>
      </c>
      <c r="I4120">
        <f>AVERAGE(E3921:E4120)</f>
        <v/>
      </c>
      <c r="J4120">
        <f>AVERAGE(F3921:F4120)</f>
        <v/>
      </c>
    </row>
    <row r="4121">
      <c r="C4121" s="539" t="n">
        <v>45428</v>
      </c>
      <c r="D4121" t="n">
        <v>220.0299987792969</v>
      </c>
      <c r="E4121" t="n">
        <v>76.25</v>
      </c>
      <c r="F4121" t="n">
        <v>21.79114151000977</v>
      </c>
      <c r="G4121" t="n">
        <v>83.10198974609375</v>
      </c>
      <c r="H4121">
        <f>AVERAGE(D3922:D4121)</f>
        <v/>
      </c>
      <c r="I4121">
        <f>AVERAGE(E3922:E4121)</f>
        <v/>
      </c>
      <c r="J4121">
        <f>AVERAGE(F3922:F4121)</f>
        <v/>
      </c>
    </row>
    <row r="4122">
      <c r="C4122" s="539" t="n">
        <v>45429</v>
      </c>
      <c r="D4122" t="n">
        <v>223.6600036621094</v>
      </c>
      <c r="E4122" t="n">
        <v>76.97000122070312</v>
      </c>
      <c r="F4122" t="n">
        <v>21.78186988830566</v>
      </c>
      <c r="G4122" t="n">
        <v>83.11105346679688</v>
      </c>
      <c r="H4122">
        <f>AVERAGE(D3923:D4122)</f>
        <v/>
      </c>
      <c r="I4122">
        <f>AVERAGE(E3923:E4122)</f>
        <v/>
      </c>
      <c r="J4122">
        <f>AVERAGE(F3923:F4122)</f>
        <v/>
      </c>
    </row>
    <row r="4123">
      <c r="C4123" s="539" t="n">
        <v>45432</v>
      </c>
      <c r="D4123" t="n">
        <v>224.5599975585938</v>
      </c>
      <c r="E4123" t="n">
        <v>76.73000335693359</v>
      </c>
      <c r="F4123" t="n">
        <v>22.0136890411377</v>
      </c>
      <c r="G4123" t="n">
        <v>83.12919616699219</v>
      </c>
      <c r="H4123">
        <f>AVERAGE(D3924:D4123)</f>
        <v/>
      </c>
      <c r="I4123">
        <f>AVERAGE(E3924:E4123)</f>
        <v/>
      </c>
      <c r="J4123">
        <f>AVERAGE(F3924:F4123)</f>
        <v/>
      </c>
    </row>
    <row r="4124">
      <c r="C4124" s="539" t="n">
        <v>45433</v>
      </c>
      <c r="D4124" t="n">
        <v>224.2299957275391</v>
      </c>
      <c r="E4124" t="n">
        <v>76.16000366210938</v>
      </c>
      <c r="F4124" t="n">
        <v>22.26405715942383</v>
      </c>
      <c r="G4124" t="n">
        <v>83.13825988769531</v>
      </c>
      <c r="H4124">
        <f>AVERAGE(D3925:D4124)</f>
        <v/>
      </c>
      <c r="I4124">
        <f>AVERAGE(E3925:E4124)</f>
        <v/>
      </c>
      <c r="J4124">
        <f>AVERAGE(F3925:F4124)</f>
        <v/>
      </c>
    </row>
    <row r="4125">
      <c r="C4125" s="539" t="n">
        <v>45434</v>
      </c>
      <c r="D4125" t="n">
        <v>220.1100006103516</v>
      </c>
      <c r="E4125" t="n">
        <v>74.87000274658203</v>
      </c>
      <c r="F4125" t="n">
        <v>22.35678482055664</v>
      </c>
      <c r="G4125" t="n">
        <v>83.15639495849609</v>
      </c>
      <c r="H4125">
        <f>AVERAGE(D3926:D4125)</f>
        <v/>
      </c>
      <c r="I4125">
        <f>AVERAGE(E3926:E4125)</f>
        <v/>
      </c>
      <c r="J4125">
        <f>AVERAGE(F3926:F4125)</f>
        <v/>
      </c>
    </row>
    <row r="4126">
      <c r="C4126" s="539" t="n">
        <v>45435</v>
      </c>
      <c r="D4126" t="n">
        <v>215.7200012207031</v>
      </c>
      <c r="E4126" t="n">
        <v>74.44999694824219</v>
      </c>
      <c r="F4126" t="n">
        <v>22.83897018432617</v>
      </c>
      <c r="G4126" t="n">
        <v>83.21080780029297</v>
      </c>
      <c r="H4126">
        <f>AVERAGE(D3927:D4126)</f>
        <v/>
      </c>
      <c r="I4126">
        <f>AVERAGE(E3927:E4126)</f>
        <v/>
      </c>
      <c r="J4126">
        <f>AVERAGE(F3927:F4126)</f>
        <v/>
      </c>
    </row>
    <row r="4127">
      <c r="C4127" s="539" t="n">
        <v>45436</v>
      </c>
      <c r="D4127" t="n">
        <v>215.9199981689453</v>
      </c>
      <c r="E4127" t="n">
        <v>75.34999847412109</v>
      </c>
      <c r="F4127" t="n">
        <v>22.87606239318848</v>
      </c>
      <c r="G4127" t="n">
        <v>83.21985626220703</v>
      </c>
      <c r="H4127">
        <f>AVERAGE(D3928:D4127)</f>
        <v/>
      </c>
      <c r="I4127">
        <f>AVERAGE(E3928:E4127)</f>
        <v/>
      </c>
      <c r="J4127">
        <f>AVERAGE(F3928:F4127)</f>
        <v/>
      </c>
    </row>
    <row r="4128">
      <c r="C4128" s="539" t="n">
        <v>45440</v>
      </c>
      <c r="D4128" t="n">
        <v>218.1900024414062</v>
      </c>
      <c r="E4128" t="n">
        <v>77.66000366210938</v>
      </c>
      <c r="F4128" t="n">
        <v>23.37679481506348</v>
      </c>
      <c r="G4128" t="n">
        <v>83.21080780029297</v>
      </c>
      <c r="H4128">
        <f>AVERAGE(D3929:D4128)</f>
        <v/>
      </c>
      <c r="I4128">
        <f>AVERAGE(E3929:E4128)</f>
        <v/>
      </c>
      <c r="J4128">
        <f>AVERAGE(F3929:F4128)</f>
        <v/>
      </c>
    </row>
    <row r="4129">
      <c r="C4129" s="539" t="n">
        <v>45441</v>
      </c>
      <c r="D4129" t="n">
        <v>216.1600036621094</v>
      </c>
      <c r="E4129" t="n">
        <v>76.56999969482422</v>
      </c>
      <c r="F4129" t="n">
        <v>23.60861396789551</v>
      </c>
      <c r="G4129" t="n">
        <v>83.22893524169922</v>
      </c>
      <c r="H4129">
        <f>AVERAGE(D3930:D4129)</f>
        <v/>
      </c>
      <c r="I4129">
        <f>AVERAGE(E3930:E4129)</f>
        <v/>
      </c>
      <c r="J4129">
        <f>AVERAGE(F3930:F4129)</f>
        <v/>
      </c>
    </row>
    <row r="4130">
      <c r="C4130" s="539" t="n">
        <v>45442</v>
      </c>
      <c r="D4130" t="n">
        <v>216.5700073242188</v>
      </c>
      <c r="E4130" t="n">
        <v>75.52999877929688</v>
      </c>
      <c r="F4130" t="n">
        <v>23.47879600524902</v>
      </c>
      <c r="G4130" t="n">
        <v>83.24706268310547</v>
      </c>
      <c r="H4130">
        <f>AVERAGE(D3931:D4130)</f>
        <v/>
      </c>
      <c r="I4130">
        <f>AVERAGE(E3931:E4130)</f>
        <v/>
      </c>
      <c r="J4130">
        <f>AVERAGE(F3931:F4130)</f>
        <v/>
      </c>
    </row>
    <row r="4131">
      <c r="C4131" s="539" t="n">
        <v>45443</v>
      </c>
      <c r="D4131" t="n">
        <v>215.3000030517578</v>
      </c>
      <c r="E4131" t="n">
        <v>74.81999969482422</v>
      </c>
      <c r="F4131" t="n">
        <v>23.3026123046875</v>
      </c>
      <c r="G4131" t="n">
        <v>83.26520538330078</v>
      </c>
      <c r="H4131">
        <f>AVERAGE(D3932:D4131)</f>
        <v/>
      </c>
      <c r="I4131">
        <f>AVERAGE(E3932:E4131)</f>
        <v/>
      </c>
      <c r="J4131">
        <f>AVERAGE(F3932:F4131)</f>
        <v/>
      </c>
    </row>
    <row r="4132">
      <c r="C4132" s="539" t="n">
        <v>45446</v>
      </c>
      <c r="D4132" t="n">
        <v>217.2200012207031</v>
      </c>
      <c r="E4132" t="n">
        <v>71.83000183105469</v>
      </c>
      <c r="F4132" t="n">
        <v>23.40461349487305</v>
      </c>
      <c r="G4132" t="n">
        <v>83.27886962890625</v>
      </c>
      <c r="H4132">
        <f>AVERAGE(D3933:D4132)</f>
        <v/>
      </c>
      <c r="I4132">
        <f>AVERAGE(E3933:E4132)</f>
        <v/>
      </c>
      <c r="J4132">
        <f>AVERAGE(F3933:F4132)</f>
        <v/>
      </c>
    </row>
    <row r="4133">
      <c r="C4133" s="539" t="n">
        <v>45447</v>
      </c>
      <c r="D4133" t="n">
        <v>215.2700042724609</v>
      </c>
      <c r="E4133" t="n">
        <v>71.08999633789062</v>
      </c>
      <c r="F4133" t="n">
        <v>23.34897613525391</v>
      </c>
      <c r="G4133" t="n">
        <v>83.29709625244141</v>
      </c>
      <c r="H4133">
        <f>AVERAGE(D3934:D4133)</f>
        <v/>
      </c>
      <c r="I4133">
        <f>AVERAGE(E3934:E4133)</f>
        <v/>
      </c>
      <c r="J4133">
        <f>AVERAGE(F3934:F4133)</f>
        <v/>
      </c>
    </row>
    <row r="4134">
      <c r="C4134" s="539" t="n">
        <v>45448</v>
      </c>
      <c r="D4134" t="n">
        <v>217.8200073242188</v>
      </c>
      <c r="E4134" t="n">
        <v>71.88999938964844</v>
      </c>
      <c r="F4134" t="n">
        <v>23.38606643676758</v>
      </c>
      <c r="G4134" t="n">
        <v>83.30619812011719</v>
      </c>
      <c r="H4134">
        <f>AVERAGE(D3935:D4134)</f>
        <v/>
      </c>
      <c r="I4134">
        <f>AVERAGE(E3935:E4134)</f>
        <v/>
      </c>
      <c r="J4134">
        <f>AVERAGE(F3935:F4134)</f>
        <v/>
      </c>
    </row>
    <row r="4135">
      <c r="C4135" s="539" t="n">
        <v>45449</v>
      </c>
      <c r="D4135" t="n">
        <v>219.4299926757812</v>
      </c>
      <c r="E4135" t="n">
        <v>73.26000213623047</v>
      </c>
      <c r="F4135" t="n">
        <v>23.67352676391602</v>
      </c>
      <c r="G4135" t="n">
        <v>83.31529998779297</v>
      </c>
      <c r="H4135">
        <f>AVERAGE(D3936:D4135)</f>
        <v/>
      </c>
      <c r="I4135">
        <f>AVERAGE(E3936:E4135)</f>
        <v/>
      </c>
      <c r="J4135">
        <f>AVERAGE(F3936:F4135)</f>
        <v/>
      </c>
    </row>
    <row r="4136">
      <c r="C4136" s="539" t="n">
        <v>45450</v>
      </c>
      <c r="D4136" t="n">
        <v>211.6000061035156</v>
      </c>
      <c r="E4136" t="n">
        <v>73.01999664306641</v>
      </c>
      <c r="F4136" t="n">
        <v>23.52516174316406</v>
      </c>
      <c r="G4136" t="n">
        <v>83.35173797607422</v>
      </c>
      <c r="H4136">
        <f>AVERAGE(D3937:D4136)</f>
        <v/>
      </c>
      <c r="I4136">
        <f>AVERAGE(E3937:E4136)</f>
        <v/>
      </c>
      <c r="J4136">
        <f>AVERAGE(F3937:F4136)</f>
        <v/>
      </c>
    </row>
    <row r="4137">
      <c r="C4137" s="539" t="n">
        <v>45453</v>
      </c>
      <c r="D4137" t="n">
        <v>213.5399932861328</v>
      </c>
      <c r="E4137" t="n">
        <v>75.45999908447266</v>
      </c>
      <c r="F4137" t="n">
        <v>23.08006477355957</v>
      </c>
      <c r="G4137" t="n">
        <v>83.36997222900391</v>
      </c>
      <c r="H4137">
        <f>AVERAGE(D3938:D4137)</f>
        <v/>
      </c>
      <c r="I4137">
        <f>AVERAGE(E3938:E4137)</f>
        <v/>
      </c>
      <c r="J4137">
        <f>AVERAGE(F3938:F4137)</f>
        <v/>
      </c>
    </row>
    <row r="4138">
      <c r="C4138" s="539" t="n">
        <v>45454</v>
      </c>
      <c r="D4138" t="n">
        <v>214.1499938964844</v>
      </c>
      <c r="E4138" t="n">
        <v>75.51000213623047</v>
      </c>
      <c r="F4138" t="n">
        <v>23.43243217468262</v>
      </c>
      <c r="G4138" t="n">
        <v>83.37907409667969</v>
      </c>
      <c r="H4138">
        <f>AVERAGE(D3939:D4138)</f>
        <v/>
      </c>
      <c r="I4138">
        <f>AVERAGE(E3939:E4138)</f>
        <v/>
      </c>
      <c r="J4138">
        <f>AVERAGE(F3939:F4138)</f>
        <v/>
      </c>
    </row>
    <row r="4139">
      <c r="C4139" s="539" t="n">
        <v>45455</v>
      </c>
      <c r="D4139" t="n">
        <v>214.7200012207031</v>
      </c>
      <c r="E4139" t="n">
        <v>75.98000335693359</v>
      </c>
      <c r="F4139" t="n">
        <v>23.87752723693848</v>
      </c>
      <c r="G4139" t="n">
        <v>83.39729309082031</v>
      </c>
      <c r="H4139">
        <f>AVERAGE(D3940:D4139)</f>
        <v/>
      </c>
      <c r="I4139">
        <f>AVERAGE(E3940:E4139)</f>
        <v/>
      </c>
      <c r="J4139">
        <f>AVERAGE(F3940:F4139)</f>
        <v/>
      </c>
    </row>
    <row r="4140">
      <c r="C4140" s="539" t="n">
        <v>45456</v>
      </c>
      <c r="D4140" t="n">
        <v>212.9700012207031</v>
      </c>
      <c r="E4140" t="n">
        <v>75.73999786376953</v>
      </c>
      <c r="F4140" t="n">
        <v>23.97025680541992</v>
      </c>
      <c r="G4140" t="n">
        <v>83.40640258789062</v>
      </c>
      <c r="H4140">
        <f>AVERAGE(D3941:D4140)</f>
        <v/>
      </c>
      <c r="I4140">
        <f>AVERAGE(E3941:E4140)</f>
        <v/>
      </c>
      <c r="J4140">
        <f>AVERAGE(F3941:F4140)</f>
        <v/>
      </c>
    </row>
    <row r="4141">
      <c r="C4141" s="539" t="n">
        <v>45457</v>
      </c>
      <c r="D4141" t="n">
        <v>215.7299957275391</v>
      </c>
      <c r="E4141" t="n">
        <v>76.08000183105469</v>
      </c>
      <c r="F4141" t="n">
        <v>23.74770927429199</v>
      </c>
      <c r="G4141" t="n">
        <v>83.45195007324219</v>
      </c>
      <c r="H4141">
        <f>AVERAGE(D3942:D4141)</f>
        <v/>
      </c>
      <c r="I4141">
        <f>AVERAGE(E3942:E4141)</f>
        <v/>
      </c>
      <c r="J4141">
        <f>AVERAGE(F3942:F4141)</f>
        <v/>
      </c>
    </row>
    <row r="4142">
      <c r="C4142" s="539" t="n">
        <v>45460</v>
      </c>
      <c r="D4142" t="n">
        <v>214.6100006103516</v>
      </c>
      <c r="E4142" t="n">
        <v>77.79000091552734</v>
      </c>
      <c r="F4142" t="n">
        <v>23.40461349487305</v>
      </c>
      <c r="G4142" t="n">
        <v>83.46104431152344</v>
      </c>
      <c r="H4142">
        <f>AVERAGE(D3943:D4142)</f>
        <v/>
      </c>
      <c r="I4142">
        <f>AVERAGE(E3943:E4142)</f>
        <v/>
      </c>
      <c r="J4142">
        <f>AVERAGE(F3943:F4142)</f>
        <v/>
      </c>
    </row>
    <row r="4143">
      <c r="C4143" s="539" t="n">
        <v>45461</v>
      </c>
      <c r="D4143" t="n">
        <v>215.4700012207031</v>
      </c>
      <c r="E4143" t="n">
        <v>78.66999816894531</v>
      </c>
      <c r="F4143" t="n">
        <v>23.45097923278809</v>
      </c>
      <c r="G4143" t="n">
        <v>83.47926330566406</v>
      </c>
      <c r="H4143">
        <f>AVERAGE(D3944:D4143)</f>
        <v/>
      </c>
      <c r="I4143">
        <f>AVERAGE(E3944:E4143)</f>
        <v/>
      </c>
      <c r="J4143">
        <f>AVERAGE(F3944:F4143)</f>
        <v/>
      </c>
    </row>
    <row r="4144">
      <c r="C4144" s="539" t="n">
        <v>45463</v>
      </c>
      <c r="D4144" t="n">
        <v>218.1600036621094</v>
      </c>
      <c r="E4144" t="n">
        <v>79.41000366210938</v>
      </c>
      <c r="F4144" t="n">
        <v>23.0151538848877</v>
      </c>
      <c r="G4144" t="n">
        <v>83.49749755859375</v>
      </c>
      <c r="H4144">
        <f>AVERAGE(D3945:D4144)</f>
        <v/>
      </c>
      <c r="I4144">
        <f>AVERAGE(E3945:E4144)</f>
        <v/>
      </c>
      <c r="J4144">
        <f>AVERAGE(F3945:F4144)</f>
        <v/>
      </c>
    </row>
    <row r="4145">
      <c r="C4145" s="539" t="n">
        <v>45464</v>
      </c>
      <c r="D4145" t="n">
        <v>214.7799987792969</v>
      </c>
      <c r="E4145" t="n">
        <v>78.65000152587891</v>
      </c>
      <c r="F4145" t="n">
        <v>22.8018798828125</v>
      </c>
      <c r="G4145" t="n">
        <v>83.52480316162109</v>
      </c>
      <c r="H4145">
        <f>AVERAGE(D3946:D4145)</f>
        <v/>
      </c>
      <c r="I4145">
        <f>AVERAGE(E3946:E4145)</f>
        <v/>
      </c>
      <c r="J4145">
        <f>AVERAGE(F3946:F4145)</f>
        <v/>
      </c>
    </row>
    <row r="4146">
      <c r="C4146" s="539" t="n">
        <v>45467</v>
      </c>
      <c r="D4146" t="n">
        <v>215.6300048828125</v>
      </c>
      <c r="E4146" t="n">
        <v>79.69999694824219</v>
      </c>
      <c r="F4146" t="n">
        <v>22.49587631225586</v>
      </c>
      <c r="G4146" t="n">
        <v>83.54301452636719</v>
      </c>
      <c r="H4146">
        <f>AVERAGE(D3947:D4146)</f>
        <v/>
      </c>
      <c r="I4146">
        <f>AVERAGE(E3947:E4146)</f>
        <v/>
      </c>
      <c r="J4146">
        <f>AVERAGE(F3947:F4146)</f>
        <v/>
      </c>
    </row>
    <row r="4147">
      <c r="C4147" s="539" t="n">
        <v>45468</v>
      </c>
      <c r="D4147" t="n">
        <v>214.5599975585938</v>
      </c>
      <c r="E4147" t="n">
        <v>78.90000152587891</v>
      </c>
      <c r="F4147" t="n">
        <v>22.21768951416016</v>
      </c>
      <c r="G4147" t="n">
        <v>83.54301452636719</v>
      </c>
      <c r="H4147">
        <f>AVERAGE(D3948:D4147)</f>
        <v/>
      </c>
      <c r="I4147">
        <f>AVERAGE(E3948:E4147)</f>
        <v/>
      </c>
      <c r="J4147">
        <f>AVERAGE(F3948:F4147)</f>
        <v/>
      </c>
    </row>
    <row r="4148">
      <c r="C4148" s="539" t="n">
        <v>45469</v>
      </c>
      <c r="D4148" t="n">
        <v>212.5800018310547</v>
      </c>
      <c r="E4148" t="n">
        <v>78.75</v>
      </c>
      <c r="F4148" t="n">
        <v>22.17132759094238</v>
      </c>
      <c r="G4148" t="n">
        <v>83.55211639404297</v>
      </c>
      <c r="H4148">
        <f>AVERAGE(D3949:D4148)</f>
        <v/>
      </c>
      <c r="I4148">
        <f>AVERAGE(E3949:E4148)</f>
        <v/>
      </c>
      <c r="J4148">
        <f>AVERAGE(F3949:F4148)</f>
        <v/>
      </c>
    </row>
    <row r="4149">
      <c r="C4149" s="539" t="n">
        <v>45470</v>
      </c>
      <c r="D4149" t="n">
        <v>214.9900054931641</v>
      </c>
      <c r="E4149" t="n">
        <v>79.91999816894531</v>
      </c>
      <c r="F4149" t="n">
        <v>21.92095947265625</v>
      </c>
      <c r="G4149" t="n">
        <v>83.57032775878906</v>
      </c>
      <c r="H4149">
        <f>AVERAGE(D3950:D4149)</f>
        <v/>
      </c>
      <c r="I4149">
        <f>AVERAGE(E3950:E4149)</f>
        <v/>
      </c>
      <c r="J4149">
        <f>AVERAGE(F3950:F4149)</f>
        <v/>
      </c>
    </row>
    <row r="4150">
      <c r="C4150" s="539" t="n">
        <v>45471</v>
      </c>
      <c r="D4150" t="n">
        <v>215.0099945068359</v>
      </c>
      <c r="E4150" t="n">
        <v>79.58999633789062</v>
      </c>
      <c r="F4150" t="n">
        <v>22.0693244934082</v>
      </c>
      <c r="G4150" t="n">
        <v>83.59769439697266</v>
      </c>
      <c r="H4150">
        <f>AVERAGE(D3951:D4150)</f>
        <v/>
      </c>
      <c r="I4150">
        <f>AVERAGE(E3951:E4150)</f>
        <v/>
      </c>
      <c r="J4150">
        <f>AVERAGE(F3951:F4150)</f>
        <v/>
      </c>
    </row>
    <row r="4151">
      <c r="C4151" s="539" t="n">
        <v>45474</v>
      </c>
      <c r="D4151" t="n">
        <v>215.5700073242188</v>
      </c>
      <c r="E4151" t="n">
        <v>81.54000091552734</v>
      </c>
      <c r="F4151" t="n">
        <v>21.90241622924805</v>
      </c>
      <c r="G4151" t="n">
        <v>83.62693023681641</v>
      </c>
      <c r="H4151">
        <f>AVERAGE(D3952:D4151)</f>
        <v/>
      </c>
      <c r="I4151">
        <f>AVERAGE(E3952:E4151)</f>
        <v/>
      </c>
      <c r="J4151">
        <f>AVERAGE(F3952:F4151)</f>
        <v/>
      </c>
    </row>
    <row r="4152">
      <c r="C4152" s="539" t="n">
        <v>45475</v>
      </c>
      <c r="D4152" t="n">
        <v>215.5599975585938</v>
      </c>
      <c r="E4152" t="n">
        <v>81.11000061035156</v>
      </c>
      <c r="F4152" t="n">
        <v>22.22696495056152</v>
      </c>
      <c r="G4152" t="n">
        <v>83.63608551025391</v>
      </c>
      <c r="H4152">
        <f>AVERAGE(D3953:D4152)</f>
        <v/>
      </c>
      <c r="I4152">
        <f>AVERAGE(E3953:E4152)</f>
        <v/>
      </c>
      <c r="J4152">
        <f>AVERAGE(F3953:F4152)</f>
        <v/>
      </c>
    </row>
    <row r="4153">
      <c r="C4153" s="539" t="n">
        <v>45476</v>
      </c>
      <c r="D4153" t="n">
        <v>217.9900054931641</v>
      </c>
      <c r="E4153" t="n">
        <v>81.26999664306641</v>
      </c>
      <c r="F4153" t="n">
        <v>22.28260231018066</v>
      </c>
      <c r="G4153" t="n">
        <v>83.66353607177734</v>
      </c>
      <c r="H4153">
        <f>AVERAGE(D3954:D4153)</f>
        <v/>
      </c>
      <c r="I4153">
        <f>AVERAGE(E3954:E4153)</f>
        <v/>
      </c>
      <c r="J4153">
        <f>AVERAGE(F3954:F4153)</f>
        <v/>
      </c>
    </row>
    <row r="4154">
      <c r="C4154" s="539" t="n">
        <v>45478</v>
      </c>
      <c r="D4154" t="n">
        <v>220.9299926757812</v>
      </c>
      <c r="E4154" t="n">
        <v>81.30999755859375</v>
      </c>
      <c r="F4154" t="n">
        <v>22.43096733093262</v>
      </c>
      <c r="G4154" t="n">
        <v>83.69100189208984</v>
      </c>
      <c r="H4154">
        <f>AVERAGE(D3955:D4154)</f>
        <v/>
      </c>
      <c r="I4154">
        <f>AVERAGE(E3955:E4154)</f>
        <v/>
      </c>
      <c r="J4154">
        <f>AVERAGE(F3955:F4154)</f>
        <v/>
      </c>
    </row>
    <row r="4155">
      <c r="C4155" s="539" t="n">
        <v>45481</v>
      </c>
      <c r="D4155" t="n">
        <v>218.1900024414062</v>
      </c>
      <c r="E4155" t="n">
        <v>80.41999816894531</v>
      </c>
      <c r="F4155" t="n">
        <v>22.26405715942383</v>
      </c>
      <c r="G4155" t="n">
        <v>83.70926666259766</v>
      </c>
      <c r="H4155">
        <f>AVERAGE(D3956:D4155)</f>
        <v/>
      </c>
      <c r="I4155">
        <f>AVERAGE(E3956:E4155)</f>
        <v/>
      </c>
      <c r="J4155">
        <f>AVERAGE(F3956:F4155)</f>
        <v/>
      </c>
    </row>
    <row r="4156">
      <c r="C4156" s="539" t="n">
        <v>45482</v>
      </c>
      <c r="D4156" t="n">
        <v>218.5599975585938</v>
      </c>
      <c r="E4156" t="n">
        <v>79.76999664306641</v>
      </c>
      <c r="F4156" t="n">
        <v>22.58860397338867</v>
      </c>
      <c r="G4156" t="n">
        <v>83.70926666259766</v>
      </c>
      <c r="H4156">
        <f>AVERAGE(D3957:D4156)</f>
        <v/>
      </c>
      <c r="I4156">
        <f>AVERAGE(E3957:E4156)</f>
        <v/>
      </c>
      <c r="J4156">
        <f>AVERAGE(F3957:F4156)</f>
        <v/>
      </c>
    </row>
    <row r="4157">
      <c r="C4157" s="539" t="n">
        <v>45483</v>
      </c>
      <c r="D4157" t="n">
        <v>219.3600006103516</v>
      </c>
      <c r="E4157" t="n">
        <v>80.48000335693359</v>
      </c>
      <c r="F4157" t="n">
        <v>22.3104190826416</v>
      </c>
      <c r="G4157" t="n">
        <v>83.72757720947266</v>
      </c>
      <c r="H4157">
        <f>AVERAGE(D3958:D4157)</f>
        <v/>
      </c>
      <c r="I4157">
        <f>AVERAGE(E3958:E4157)</f>
        <v/>
      </c>
      <c r="J4157">
        <f>AVERAGE(F3958:F4157)</f>
        <v/>
      </c>
    </row>
    <row r="4158">
      <c r="C4158" s="539" t="n">
        <v>45484</v>
      </c>
      <c r="D4158" t="n">
        <v>223.25</v>
      </c>
      <c r="E4158" t="n">
        <v>80.94000244140625</v>
      </c>
      <c r="F4158" t="n">
        <v>22.70915222167969</v>
      </c>
      <c r="G4158" t="n">
        <v>83.73672485351562</v>
      </c>
      <c r="H4158">
        <f>AVERAGE(D3959:D4158)</f>
        <v/>
      </c>
      <c r="I4158">
        <f>AVERAGE(E3959:E4158)</f>
        <v/>
      </c>
      <c r="J4158">
        <f>AVERAGE(F3959:F4158)</f>
        <v/>
      </c>
    </row>
    <row r="4159">
      <c r="C4159" s="539" t="n">
        <v>45485</v>
      </c>
      <c r="D4159" t="n">
        <v>223.1100006103516</v>
      </c>
      <c r="E4159" t="n">
        <v>80.25</v>
      </c>
      <c r="F4159" t="n">
        <v>22.60714912414551</v>
      </c>
      <c r="G4159" t="n">
        <v>83.7733154296875</v>
      </c>
      <c r="H4159">
        <f>AVERAGE(D3960:D4159)</f>
        <v/>
      </c>
      <c r="I4159">
        <f>AVERAGE(E3960:E4159)</f>
        <v/>
      </c>
      <c r="J4159">
        <f>AVERAGE(F3960:F4159)</f>
        <v/>
      </c>
    </row>
    <row r="4160">
      <c r="C4160" s="539" t="n">
        <v>45488</v>
      </c>
      <c r="D4160" t="n">
        <v>223.8300018310547</v>
      </c>
      <c r="E4160" t="n">
        <v>80.12000274658203</v>
      </c>
      <c r="F4160" t="n">
        <v>22.47732925415039</v>
      </c>
      <c r="G4160" t="n">
        <v>83.79160308837891</v>
      </c>
      <c r="H4160">
        <f>AVERAGE(D3961:D4160)</f>
        <v/>
      </c>
      <c r="I4160">
        <f>AVERAGE(E3961:E4160)</f>
        <v/>
      </c>
      <c r="J4160">
        <f>AVERAGE(F3961:F4160)</f>
        <v/>
      </c>
    </row>
    <row r="4161">
      <c r="C4161" s="539" t="n">
        <v>45489</v>
      </c>
      <c r="D4161" t="n">
        <v>228.2899932861328</v>
      </c>
      <c r="E4161" t="n">
        <v>79.05999755859375</v>
      </c>
      <c r="F4161" t="n">
        <v>22.16205406188965</v>
      </c>
      <c r="G4161" t="n">
        <v>83.79160308837891</v>
      </c>
      <c r="H4161">
        <f>AVERAGE(D3962:D4161)</f>
        <v/>
      </c>
      <c r="I4161">
        <f>AVERAGE(E3962:E4161)</f>
        <v/>
      </c>
      <c r="J4161">
        <f>AVERAGE(F3962:F4161)</f>
        <v/>
      </c>
    </row>
    <row r="4162">
      <c r="C4162" s="539" t="n">
        <v>45490</v>
      </c>
      <c r="D4162" t="n">
        <v>227.2299957275391</v>
      </c>
      <c r="E4162" t="n">
        <v>80.62000274658203</v>
      </c>
      <c r="F4162" t="n">
        <v>22.16205406188965</v>
      </c>
      <c r="G4162" t="n">
        <v>83.81904602050781</v>
      </c>
      <c r="H4162">
        <f>AVERAGE(D3963:D4162)</f>
        <v/>
      </c>
      <c r="I4162">
        <f>AVERAGE(E3963:E4162)</f>
        <v/>
      </c>
      <c r="J4162">
        <f>AVERAGE(F3963:F4162)</f>
        <v/>
      </c>
    </row>
    <row r="4163">
      <c r="C4163" s="539" t="n">
        <v>45491</v>
      </c>
      <c r="D4163" t="n">
        <v>225.7799987792969</v>
      </c>
      <c r="E4163" t="n">
        <v>79.90000152587891</v>
      </c>
      <c r="F4163" t="n">
        <v>22.20841979980469</v>
      </c>
      <c r="G4163" t="n">
        <v>83.82819366455078</v>
      </c>
      <c r="H4163">
        <f>AVERAGE(D3964:D4163)</f>
        <v/>
      </c>
      <c r="I4163">
        <f>AVERAGE(E3964:E4163)</f>
        <v/>
      </c>
      <c r="J4163">
        <f>AVERAGE(F3964:F4163)</f>
        <v/>
      </c>
    </row>
    <row r="4164">
      <c r="C4164" s="539" t="n">
        <v>45492</v>
      </c>
      <c r="D4164" t="n">
        <v>221.7299957275391</v>
      </c>
      <c r="E4164" t="n">
        <v>78</v>
      </c>
      <c r="F4164" t="n">
        <v>21.92095947265625</v>
      </c>
      <c r="G4164" t="n">
        <v>83.85565185546875</v>
      </c>
      <c r="H4164">
        <f>AVERAGE(D3965:D4164)</f>
        <v/>
      </c>
      <c r="I4164">
        <f>AVERAGE(E3965:E4164)</f>
        <v/>
      </c>
      <c r="J4164">
        <f>AVERAGE(F3965:F4164)</f>
        <v/>
      </c>
    </row>
    <row r="4165">
      <c r="C4165" s="539" t="n">
        <v>45495</v>
      </c>
      <c r="D4165" t="n">
        <v>221.8000030517578</v>
      </c>
      <c r="E4165" t="n">
        <v>77.62000274658203</v>
      </c>
      <c r="F4165" t="n">
        <v>22.50514984130859</v>
      </c>
      <c r="G4165" t="n">
        <v>83.87394714355469</v>
      </c>
      <c r="H4165">
        <f>AVERAGE(D3966:D4165)</f>
        <v/>
      </c>
      <c r="I4165">
        <f>AVERAGE(E3966:E4165)</f>
        <v/>
      </c>
      <c r="J4165">
        <f>AVERAGE(F3966:F4165)</f>
        <v/>
      </c>
    </row>
    <row r="4166">
      <c r="C4166" s="539" t="n">
        <v>45496</v>
      </c>
      <c r="D4166" t="n">
        <v>222.5800018310547</v>
      </c>
      <c r="E4166" t="n">
        <v>76.62000274658203</v>
      </c>
      <c r="F4166" t="n">
        <v>22.50514984130859</v>
      </c>
      <c r="G4166" t="n">
        <v>83.87394714355469</v>
      </c>
      <c r="H4166">
        <f>AVERAGE(D3967:D4166)</f>
        <v/>
      </c>
      <c r="I4166">
        <f>AVERAGE(E3967:E4166)</f>
        <v/>
      </c>
      <c r="J4166">
        <f>AVERAGE(F3967:F4166)</f>
        <v/>
      </c>
    </row>
    <row r="4167">
      <c r="C4167" s="539" t="n">
        <v>45497</v>
      </c>
      <c r="D4167" t="n">
        <v>221.8000030517578</v>
      </c>
      <c r="E4167" t="n">
        <v>76.80999755859375</v>
      </c>
      <c r="F4167" t="n">
        <v>22.3382396697998</v>
      </c>
      <c r="G4167" t="n">
        <v>83.9013671875</v>
      </c>
      <c r="H4167">
        <f>AVERAGE(D3968:D4167)</f>
        <v/>
      </c>
      <c r="I4167">
        <f>AVERAGE(E3968:E4167)</f>
        <v/>
      </c>
      <c r="J4167">
        <f>AVERAGE(F3968:F4167)</f>
        <v/>
      </c>
    </row>
    <row r="4168">
      <c r="C4168" s="539" t="n">
        <v>45498</v>
      </c>
      <c r="D4168" t="n">
        <v>218.3300018310547</v>
      </c>
      <c r="E4168" t="n">
        <v>77.45999908447266</v>
      </c>
      <c r="F4168" t="n">
        <v>22.18987464904785</v>
      </c>
      <c r="G4168" t="n">
        <v>83.9013671875</v>
      </c>
      <c r="H4168">
        <f>AVERAGE(D3969:D4168)</f>
        <v/>
      </c>
      <c r="I4168">
        <f>AVERAGE(E3969:E4168)</f>
        <v/>
      </c>
      <c r="J4168">
        <f>AVERAGE(F3969:F4168)</f>
        <v/>
      </c>
    </row>
    <row r="4169">
      <c r="C4169" s="539" t="n">
        <v>45499</v>
      </c>
      <c r="D4169" t="n">
        <v>220.6300048828125</v>
      </c>
      <c r="E4169" t="n">
        <v>76.11000061035156</v>
      </c>
      <c r="F4169" t="n">
        <v>22.16205406188965</v>
      </c>
      <c r="G4169" t="n">
        <v>83.94710540771484</v>
      </c>
      <c r="H4169">
        <f>AVERAGE(D3970:D4169)</f>
        <v/>
      </c>
      <c r="I4169">
        <f>AVERAGE(E3970:E4169)</f>
        <v/>
      </c>
      <c r="J4169">
        <f>AVERAGE(F3970:F4169)</f>
        <v/>
      </c>
    </row>
    <row r="4170">
      <c r="C4170" s="539" t="n">
        <v>45502</v>
      </c>
      <c r="D4170" t="n">
        <v>220.3200073242188</v>
      </c>
      <c r="E4170" t="n">
        <v>75.19000244140625</v>
      </c>
      <c r="F4170" t="n">
        <v>21.91168785095215</v>
      </c>
      <c r="G4170" t="n">
        <v>83.94710540771484</v>
      </c>
      <c r="H4170">
        <f>AVERAGE(D3971:D4170)</f>
        <v/>
      </c>
      <c r="I4170">
        <f>AVERAGE(E3971:E4170)</f>
        <v/>
      </c>
      <c r="J4170">
        <f>AVERAGE(F3971:F4170)</f>
        <v/>
      </c>
    </row>
    <row r="4171">
      <c r="C4171" s="539" t="n">
        <v>45503</v>
      </c>
      <c r="D4171" t="n">
        <v>222.5200042724609</v>
      </c>
      <c r="E4171" t="n">
        <v>74.45999908447266</v>
      </c>
      <c r="F4171" t="n">
        <v>22.09714508056641</v>
      </c>
      <c r="G4171" t="n">
        <v>83.95627593994141</v>
      </c>
      <c r="H4171">
        <f>AVERAGE(D3972:D4171)</f>
        <v/>
      </c>
      <c r="I4171">
        <f>AVERAGE(E3972:E4171)</f>
        <v/>
      </c>
      <c r="J4171">
        <f>AVERAGE(F3972:F4171)</f>
        <v/>
      </c>
    </row>
    <row r="4172">
      <c r="C4172" s="539" t="n">
        <v>45504</v>
      </c>
      <c r="D4172" t="n">
        <v>226.5500030517578</v>
      </c>
      <c r="E4172" t="n">
        <v>77.73999786376953</v>
      </c>
      <c r="F4172" t="n">
        <v>22.0136890411377</v>
      </c>
      <c r="G4172" t="n">
        <v>83.97452545166016</v>
      </c>
      <c r="H4172">
        <f>AVERAGE(D3973:D4172)</f>
        <v/>
      </c>
      <c r="I4172">
        <f>AVERAGE(E3973:E4172)</f>
        <v/>
      </c>
      <c r="J4172">
        <f>AVERAGE(F3973:F4172)</f>
        <v/>
      </c>
    </row>
    <row r="4173">
      <c r="C4173" s="539" t="n">
        <v>45505</v>
      </c>
      <c r="D4173" t="n">
        <v>225.7700042724609</v>
      </c>
      <c r="E4173" t="n">
        <v>76.29000091552734</v>
      </c>
      <c r="F4173" t="n">
        <v>21.56859397888184</v>
      </c>
      <c r="G4173" t="n">
        <v>83.99475860595703</v>
      </c>
      <c r="H4173">
        <f>AVERAGE(D3974:D4173)</f>
        <v/>
      </c>
      <c r="I4173">
        <f>AVERAGE(E3974:E4173)</f>
        <v/>
      </c>
      <c r="J4173">
        <f>AVERAGE(F3974:F4173)</f>
        <v/>
      </c>
    </row>
    <row r="4174">
      <c r="C4174" s="539" t="n">
        <v>45506</v>
      </c>
      <c r="D4174" t="n">
        <v>225.3399963378906</v>
      </c>
      <c r="E4174" t="n">
        <v>73.38999938964844</v>
      </c>
      <c r="F4174" t="n">
        <v>21.59641265869141</v>
      </c>
      <c r="G4174" t="n">
        <v>84.04070281982422</v>
      </c>
      <c r="H4174">
        <f>AVERAGE(D3975:D4174)</f>
        <v/>
      </c>
      <c r="I4174">
        <f>AVERAGE(E3975:E4174)</f>
        <v/>
      </c>
      <c r="J4174">
        <f>AVERAGE(F3975:F4174)</f>
        <v/>
      </c>
    </row>
    <row r="4175">
      <c r="C4175" s="539" t="n">
        <v>45509</v>
      </c>
      <c r="D4175" t="n">
        <v>222.4799957275391</v>
      </c>
      <c r="E4175" t="n">
        <v>73.22000122070312</v>
      </c>
      <c r="F4175" t="n">
        <v>21.82823371887207</v>
      </c>
      <c r="G4175" t="n">
        <v>84.04070281982422</v>
      </c>
      <c r="H4175">
        <f>AVERAGE(D3976:D4175)</f>
        <v/>
      </c>
      <c r="I4175">
        <f>AVERAGE(E3976:E4175)</f>
        <v/>
      </c>
      <c r="J4175">
        <f>AVERAGE(F3976:F4175)</f>
        <v/>
      </c>
    </row>
    <row r="4176">
      <c r="C4176" s="539" t="n">
        <v>45510</v>
      </c>
      <c r="D4176" t="n">
        <v>220.6999969482422</v>
      </c>
      <c r="E4176" t="n">
        <v>72.44999694824219</v>
      </c>
      <c r="F4176" t="n">
        <v>21.99514198303223</v>
      </c>
      <c r="G4176" t="n">
        <v>84.05906677246094</v>
      </c>
      <c r="H4176">
        <f>AVERAGE(D3977:D4176)</f>
        <v/>
      </c>
      <c r="I4176">
        <f>AVERAGE(E3977:E4176)</f>
        <v/>
      </c>
      <c r="J4176">
        <f>AVERAGE(F3977:F4176)</f>
        <v/>
      </c>
    </row>
    <row r="4177">
      <c r="C4177" s="539" t="n">
        <v>45511</v>
      </c>
      <c r="D4177" t="n">
        <v>220.5500030517578</v>
      </c>
      <c r="E4177" t="n">
        <v>74.69000244140625</v>
      </c>
      <c r="F4177" t="n">
        <v>22.31969261169434</v>
      </c>
      <c r="G4177" t="n">
        <v>84.07745361328125</v>
      </c>
      <c r="H4177">
        <f>AVERAGE(D3978:D4177)</f>
        <v/>
      </c>
      <c r="I4177">
        <f>AVERAGE(E3978:E4177)</f>
        <v/>
      </c>
      <c r="J4177">
        <f>AVERAGE(F3978:F4177)</f>
        <v/>
      </c>
    </row>
    <row r="4178">
      <c r="C4178" s="539" t="n">
        <v>45512</v>
      </c>
      <c r="D4178" t="n">
        <v>224.0099945068359</v>
      </c>
      <c r="E4178" t="n">
        <v>75.36000061035156</v>
      </c>
      <c r="F4178" t="n">
        <v>22.05078125</v>
      </c>
      <c r="G4178" t="n">
        <v>84.08664703369141</v>
      </c>
      <c r="H4178">
        <f>AVERAGE(D3979:D4178)</f>
        <v/>
      </c>
      <c r="I4178">
        <f>AVERAGE(E3979:E4178)</f>
        <v/>
      </c>
      <c r="J4178">
        <f>AVERAGE(F3979:F4178)</f>
        <v/>
      </c>
    </row>
    <row r="4179">
      <c r="C4179" s="539" t="n">
        <v>45513</v>
      </c>
      <c r="D4179" t="n">
        <v>224.5599975585938</v>
      </c>
      <c r="E4179" t="n">
        <v>76.22000122070312</v>
      </c>
      <c r="F4179" t="n">
        <v>22.44951248168945</v>
      </c>
      <c r="G4179" t="n">
        <v>84.10502624511719</v>
      </c>
      <c r="H4179">
        <f>AVERAGE(D3980:D4179)</f>
        <v/>
      </c>
      <c r="I4179">
        <f>AVERAGE(E3980:E4179)</f>
        <v/>
      </c>
      <c r="J4179">
        <f>AVERAGE(F3980:F4179)</f>
        <v/>
      </c>
    </row>
    <row r="4180">
      <c r="C4180" s="539" t="n">
        <v>45516</v>
      </c>
      <c r="D4180" t="n">
        <v>228.4100036621094</v>
      </c>
      <c r="E4180" t="n">
        <v>78.62999725341797</v>
      </c>
      <c r="F4180" t="n">
        <v>22.23623657226562</v>
      </c>
      <c r="G4180" t="n">
        <v>84.13258361816406</v>
      </c>
      <c r="H4180">
        <f>AVERAGE(D3981:D4180)</f>
        <v/>
      </c>
      <c r="I4180">
        <f>AVERAGE(E3981:E4180)</f>
        <v/>
      </c>
      <c r="J4180">
        <f>AVERAGE(F3981:F4180)</f>
        <v/>
      </c>
    </row>
    <row r="4181">
      <c r="C4181" s="539" t="n">
        <v>45517</v>
      </c>
      <c r="D4181" t="n">
        <v>228.0599975585938</v>
      </c>
      <c r="E4181" t="n">
        <v>77.63999938964844</v>
      </c>
      <c r="F4181" t="n">
        <v>22.02296257019043</v>
      </c>
      <c r="G4181" t="n">
        <v>84.14176177978516</v>
      </c>
      <c r="H4181">
        <f>AVERAGE(D3982:D4181)</f>
        <v/>
      </c>
      <c r="I4181">
        <f>AVERAGE(E3982:E4181)</f>
        <v/>
      </c>
      <c r="J4181">
        <f>AVERAGE(F3982:F4181)</f>
        <v/>
      </c>
    </row>
    <row r="4182">
      <c r="C4182" s="539" t="n">
        <v>45518</v>
      </c>
      <c r="D4182" t="n">
        <v>226.1999969482422</v>
      </c>
      <c r="E4182" t="n">
        <v>76.58999633789062</v>
      </c>
      <c r="F4182" t="n">
        <v>22.03223419189453</v>
      </c>
      <c r="G4182" t="n">
        <v>84.15095520019531</v>
      </c>
      <c r="H4182">
        <f>AVERAGE(D3983:D4182)</f>
        <v/>
      </c>
      <c r="I4182">
        <f>AVERAGE(E3983:E4182)</f>
        <v/>
      </c>
      <c r="J4182">
        <f>AVERAGE(F3983:F4182)</f>
        <v/>
      </c>
    </row>
    <row r="4183">
      <c r="C4183" s="539" t="n">
        <v>45519</v>
      </c>
      <c r="D4183" t="n">
        <v>226.9100036621094</v>
      </c>
      <c r="E4183" t="n">
        <v>77.41000366210938</v>
      </c>
      <c r="F4183" t="n">
        <v>22.0136890411377</v>
      </c>
      <c r="G4183" t="n">
        <v>84.16014099121094</v>
      </c>
      <c r="H4183">
        <f>AVERAGE(D3984:D4183)</f>
        <v/>
      </c>
      <c r="I4183">
        <f>AVERAGE(E3984:E4183)</f>
        <v/>
      </c>
      <c r="J4183">
        <f>AVERAGE(F3984:F4183)</f>
        <v/>
      </c>
    </row>
    <row r="4184">
      <c r="C4184" s="539" t="n">
        <v>45520</v>
      </c>
      <c r="D4184" t="n">
        <v>231.9900054931641</v>
      </c>
      <c r="E4184" t="n">
        <v>76.31999969482422</v>
      </c>
      <c r="F4184" t="n">
        <v>22.11569213867188</v>
      </c>
      <c r="G4184" t="n">
        <v>84.20609283447266</v>
      </c>
      <c r="H4184">
        <f>AVERAGE(D3985:D4184)</f>
        <v/>
      </c>
      <c r="I4184">
        <f>AVERAGE(E3985:E4184)</f>
        <v/>
      </c>
      <c r="J4184">
        <f>AVERAGE(F3985:F4184)</f>
        <v/>
      </c>
    </row>
    <row r="4185">
      <c r="C4185" s="539" t="n">
        <v>45523</v>
      </c>
      <c r="D4185" t="n">
        <v>231.6100006103516</v>
      </c>
      <c r="E4185" t="n">
        <v>74.37999725341797</v>
      </c>
      <c r="F4185" t="n">
        <v>22.5144214630127</v>
      </c>
      <c r="G4185" t="n">
        <v>84.20609283447266</v>
      </c>
      <c r="H4185">
        <f>AVERAGE(D3986:D4185)</f>
        <v/>
      </c>
      <c r="I4185">
        <f>AVERAGE(E3986:E4185)</f>
        <v/>
      </c>
      <c r="J4185">
        <f>AVERAGE(F3986:F4185)</f>
        <v/>
      </c>
    </row>
    <row r="4186">
      <c r="C4186" s="539" t="n">
        <v>45524</v>
      </c>
      <c r="D4186" t="n">
        <v>232.4600067138672</v>
      </c>
      <c r="E4186" t="n">
        <v>73.83000183105469</v>
      </c>
      <c r="F4186" t="n">
        <v>22.68133163452148</v>
      </c>
      <c r="G4186" t="n">
        <v>84.22445678710938</v>
      </c>
      <c r="H4186">
        <f>AVERAGE(D3987:D4186)</f>
        <v/>
      </c>
      <c r="I4186">
        <f>AVERAGE(E3987:E4186)</f>
        <v/>
      </c>
      <c r="J4186">
        <f>AVERAGE(F3987:F4186)</f>
        <v/>
      </c>
    </row>
    <row r="4187">
      <c r="C4187" s="539" t="n">
        <v>45525</v>
      </c>
      <c r="D4187" t="n">
        <v>232.1499938964844</v>
      </c>
      <c r="E4187" t="n">
        <v>72.59999847412109</v>
      </c>
      <c r="F4187" t="n">
        <v>22.69060516357422</v>
      </c>
      <c r="G4187" t="n">
        <v>84.24285125732422</v>
      </c>
      <c r="H4187">
        <f>AVERAGE(D3988:D4187)</f>
        <v/>
      </c>
      <c r="I4187">
        <f>AVERAGE(E3988:E4187)</f>
        <v/>
      </c>
      <c r="J4187">
        <f>AVERAGE(F3988:F4187)</f>
        <v/>
      </c>
    </row>
    <row r="4188">
      <c r="C4188" s="539" t="n">
        <v>45526</v>
      </c>
      <c r="D4188" t="n">
        <v>229.3699951171875</v>
      </c>
      <c r="E4188" t="n">
        <v>73.58000183105469</v>
      </c>
      <c r="F4188" t="n">
        <v>22.69987678527832</v>
      </c>
      <c r="G4188" t="n">
        <v>84.24285125732422</v>
      </c>
      <c r="H4188">
        <f>AVERAGE(D3989:D4188)</f>
        <v/>
      </c>
      <c r="I4188">
        <f>AVERAGE(E3989:E4188)</f>
        <v/>
      </c>
      <c r="J4188">
        <f>AVERAGE(F3989:F4188)</f>
        <v/>
      </c>
    </row>
    <row r="4189">
      <c r="C4189" s="539" t="n">
        <v>45527</v>
      </c>
      <c r="D4189" t="n">
        <v>232.0200042724609</v>
      </c>
      <c r="E4189" t="n">
        <v>75.55000305175781</v>
      </c>
      <c r="F4189" t="n">
        <v>22.88533592224121</v>
      </c>
      <c r="G4189" t="n">
        <v>84.27960205078125</v>
      </c>
      <c r="H4189">
        <f>AVERAGE(D3990:D4189)</f>
        <v/>
      </c>
      <c r="I4189">
        <f>AVERAGE(E3990:E4189)</f>
        <v/>
      </c>
      <c r="J4189">
        <f>AVERAGE(F3990:F4189)</f>
        <v/>
      </c>
    </row>
    <row r="4190">
      <c r="C4190" s="539" t="n">
        <v>45530</v>
      </c>
      <c r="D4190" t="n">
        <v>232.7599945068359</v>
      </c>
      <c r="E4190" t="n">
        <v>77.83000183105469</v>
      </c>
      <c r="F4190" t="n">
        <v>23.15424728393555</v>
      </c>
      <c r="G4190" t="n">
        <v>84.28878021240234</v>
      </c>
      <c r="H4190">
        <f>AVERAGE(D3991:D4190)</f>
        <v/>
      </c>
      <c r="I4190">
        <f>AVERAGE(E3991:E4190)</f>
        <v/>
      </c>
      <c r="J4190">
        <f>AVERAGE(F3991:F4190)</f>
        <v/>
      </c>
    </row>
    <row r="4191">
      <c r="C4191" s="539" t="n">
        <v>45531</v>
      </c>
      <c r="D4191" t="n">
        <v>233.3899993896484</v>
      </c>
      <c r="E4191" t="n">
        <v>76.48999786376953</v>
      </c>
      <c r="F4191" t="n">
        <v>23.20061111450195</v>
      </c>
      <c r="G4191" t="n">
        <v>84.30716705322266</v>
      </c>
      <c r="H4191">
        <f>AVERAGE(D3992:D4191)</f>
        <v/>
      </c>
      <c r="I4191">
        <f>AVERAGE(E3992:E4191)</f>
        <v/>
      </c>
      <c r="J4191">
        <f>AVERAGE(F3992:F4191)</f>
        <v/>
      </c>
    </row>
    <row r="4192">
      <c r="C4192" s="539" t="n">
        <v>45532</v>
      </c>
      <c r="D4192" t="n">
        <v>231.75</v>
      </c>
      <c r="E4192" t="n">
        <v>75.48000335693359</v>
      </c>
      <c r="F4192" t="n">
        <v>23.11715698242188</v>
      </c>
      <c r="G4192" t="n">
        <v>84.31635284423828</v>
      </c>
      <c r="H4192">
        <f>AVERAGE(D3993:D4192)</f>
        <v/>
      </c>
      <c r="I4192">
        <f>AVERAGE(E3993:E4192)</f>
        <v/>
      </c>
      <c r="J4192">
        <f>AVERAGE(F3993:F4192)</f>
        <v/>
      </c>
    </row>
    <row r="4193">
      <c r="C4193" s="539" t="n">
        <v>45533</v>
      </c>
      <c r="D4193" t="n">
        <v>232.9499969482422</v>
      </c>
      <c r="E4193" t="n">
        <v>76.76999664306641</v>
      </c>
      <c r="F4193" t="n">
        <v>23.06151962280273</v>
      </c>
      <c r="G4193" t="n">
        <v>84.31635284423828</v>
      </c>
      <c r="H4193">
        <f>AVERAGE(D3994:D4193)</f>
        <v/>
      </c>
      <c r="I4193">
        <f>AVERAGE(E3994:E4193)</f>
        <v/>
      </c>
      <c r="J4193">
        <f>AVERAGE(F3994:F4193)</f>
        <v/>
      </c>
    </row>
    <row r="4194">
      <c r="C4194" s="539" t="n">
        <v>45534</v>
      </c>
      <c r="D4194" t="n">
        <v>231.2899932861328</v>
      </c>
      <c r="E4194" t="n">
        <v>74.33999633789062</v>
      </c>
      <c r="F4194" t="n">
        <v>23.07079124450684</v>
      </c>
      <c r="G4194" t="n">
        <v>84.36228179931641</v>
      </c>
      <c r="H4194">
        <f>AVERAGE(D3995:D4194)</f>
        <v/>
      </c>
      <c r="I4194">
        <f>AVERAGE(E3995:E4194)</f>
        <v/>
      </c>
      <c r="J4194">
        <f>AVERAGE(F3995:F4194)</f>
        <v/>
      </c>
    </row>
    <row r="4195">
      <c r="C4195" s="539" t="n">
        <v>45538</v>
      </c>
      <c r="D4195" t="n">
        <v>230.2899932861328</v>
      </c>
      <c r="E4195" t="n">
        <v>71.08999633789062</v>
      </c>
      <c r="F4195" t="n">
        <v>22.88533592224121</v>
      </c>
      <c r="G4195" t="n">
        <v>84.39548492431641</v>
      </c>
      <c r="H4195">
        <f>AVERAGE(D3996:D4195)</f>
        <v/>
      </c>
      <c r="I4195">
        <f>AVERAGE(E3996:E4195)</f>
        <v/>
      </c>
      <c r="J4195">
        <f>AVERAGE(F3996:F4195)</f>
        <v/>
      </c>
    </row>
    <row r="4196">
      <c r="C4196" s="539" t="n">
        <v>45539</v>
      </c>
      <c r="D4196" t="n">
        <v>230.4299926757812</v>
      </c>
      <c r="E4196" t="n">
        <v>69.61000061035156</v>
      </c>
      <c r="F4196" t="n">
        <v>22.54224014282227</v>
      </c>
      <c r="G4196" t="n">
        <v>84.40470886230469</v>
      </c>
      <c r="H4196">
        <f>AVERAGE(D3997:D4196)</f>
        <v/>
      </c>
      <c r="I4196">
        <f>AVERAGE(E3997:E4196)</f>
        <v/>
      </c>
      <c r="J4196">
        <f>AVERAGE(F3997:F4196)</f>
        <v/>
      </c>
    </row>
    <row r="4197">
      <c r="C4197" s="539" t="n">
        <v>45540</v>
      </c>
      <c r="D4197" t="n">
        <v>232.3500061035156</v>
      </c>
      <c r="E4197" t="n">
        <v>69.88999938964844</v>
      </c>
      <c r="F4197" t="n">
        <v>22.70915222167969</v>
      </c>
      <c r="G4197" t="n">
        <v>84.41394805908203</v>
      </c>
      <c r="H4197">
        <f>AVERAGE(D3998:D4197)</f>
        <v/>
      </c>
      <c r="I4197">
        <f>AVERAGE(E3998:E4197)</f>
        <v/>
      </c>
      <c r="J4197">
        <f>AVERAGE(F3998:F4197)</f>
        <v/>
      </c>
    </row>
    <row r="4198">
      <c r="C4198" s="539" t="n">
        <v>45541</v>
      </c>
      <c r="D4198" t="n">
        <v>230.6300048828125</v>
      </c>
      <c r="E4198" t="n">
        <v>68.93000030517578</v>
      </c>
      <c r="F4198" t="n">
        <v>22.45878410339355</v>
      </c>
      <c r="G4198" t="n">
        <v>84.46009826660156</v>
      </c>
      <c r="H4198">
        <f>AVERAGE(D3999:D4198)</f>
        <v/>
      </c>
      <c r="I4198">
        <f>AVERAGE(E3999:E4198)</f>
        <v/>
      </c>
      <c r="J4198">
        <f>AVERAGE(F3999:F4198)</f>
        <v/>
      </c>
    </row>
    <row r="4199">
      <c r="C4199" s="539" t="n">
        <v>45544</v>
      </c>
      <c r="D4199" t="n">
        <v>231.6000061035156</v>
      </c>
      <c r="E4199" t="n">
        <v>69.26999664306641</v>
      </c>
      <c r="F4199" t="n">
        <v>22.85751724243164</v>
      </c>
      <c r="G4199" t="n">
        <v>84.46009826660156</v>
      </c>
      <c r="H4199">
        <f>AVERAGE(D4000:D4199)</f>
        <v/>
      </c>
      <c r="I4199">
        <f>AVERAGE(E4000:E4199)</f>
        <v/>
      </c>
      <c r="J4199">
        <f>AVERAGE(F4000:F4199)</f>
        <v/>
      </c>
    </row>
    <row r="4200">
      <c r="C4200" s="539" t="n">
        <v>45545</v>
      </c>
      <c r="D4200" t="n">
        <v>232.6199951171875</v>
      </c>
      <c r="E4200" t="n">
        <v>66.95999908447266</v>
      </c>
      <c r="F4200" t="n">
        <v>22.70915222167969</v>
      </c>
      <c r="G4200" t="n">
        <v>84.48776245117188</v>
      </c>
      <c r="H4200">
        <f>AVERAGE(D4001:D4200)</f>
        <v/>
      </c>
      <c r="I4200">
        <f>AVERAGE(E4001:E4200)</f>
        <v/>
      </c>
      <c r="J4200">
        <f>AVERAGE(F4001:F4200)</f>
        <v/>
      </c>
    </row>
    <row r="4201">
      <c r="C4201" s="539" t="n">
        <v>45546</v>
      </c>
      <c r="D4201" t="n">
        <v>232.25</v>
      </c>
      <c r="E4201" t="n">
        <v>67.84999847412109</v>
      </c>
      <c r="F4201" t="n">
        <v>23.20061111450195</v>
      </c>
      <c r="G4201" t="n">
        <v>84.48776245117188</v>
      </c>
      <c r="H4201">
        <f>AVERAGE(D4002:D4201)</f>
        <v/>
      </c>
      <c r="I4201">
        <f>AVERAGE(E4002:E4201)</f>
        <v/>
      </c>
      <c r="J4201">
        <f>AVERAGE(F4002:F4201)</f>
        <v/>
      </c>
    </row>
    <row r="4202">
      <c r="C4202" s="539" t="n">
        <v>45547</v>
      </c>
      <c r="D4202" t="n">
        <v>236.3300018310547</v>
      </c>
      <c r="E4202" t="n">
        <v>69.88999938964844</v>
      </c>
      <c r="F4202" t="n">
        <v>23.13570213317871</v>
      </c>
      <c r="G4202" t="n">
        <v>84.49701690673828</v>
      </c>
      <c r="H4202">
        <f>AVERAGE(D4003:D4202)</f>
        <v/>
      </c>
      <c r="I4202">
        <f>AVERAGE(E4003:E4202)</f>
        <v/>
      </c>
      <c r="J4202">
        <f>AVERAGE(F4003:F4202)</f>
        <v/>
      </c>
    </row>
    <row r="4203">
      <c r="C4203" s="539" t="n">
        <v>45548</v>
      </c>
      <c r="D4203" t="n">
        <v>238.6799926757812</v>
      </c>
      <c r="E4203" t="n">
        <v>69.83999633789062</v>
      </c>
      <c r="F4203" t="n">
        <v>23.35824966430664</v>
      </c>
      <c r="G4203" t="n">
        <v>84.54312133789062</v>
      </c>
      <c r="H4203">
        <f>AVERAGE(D4004:D4203)</f>
        <v/>
      </c>
      <c r="I4203">
        <f>AVERAGE(E4004:E4203)</f>
        <v/>
      </c>
      <c r="J4203">
        <f>AVERAGE(F4004:F4203)</f>
        <v/>
      </c>
    </row>
    <row r="4204">
      <c r="C4204" s="539" t="n">
        <v>45551</v>
      </c>
      <c r="D4204" t="n">
        <v>238.6600036621094</v>
      </c>
      <c r="E4204" t="n">
        <v>70.87999725341797</v>
      </c>
      <c r="F4204" t="n">
        <v>23.49734115600586</v>
      </c>
      <c r="G4204" t="n">
        <v>84.56159973144531</v>
      </c>
      <c r="H4204">
        <f>AVERAGE(D4005:D4204)</f>
        <v/>
      </c>
      <c r="I4204">
        <f>AVERAGE(E4005:E4204)</f>
        <v/>
      </c>
      <c r="J4204">
        <f>AVERAGE(F4005:F4204)</f>
        <v/>
      </c>
    </row>
    <row r="4205">
      <c r="C4205" s="539" t="n">
        <v>45552</v>
      </c>
      <c r="D4205" t="n">
        <v>237.3399963378906</v>
      </c>
      <c r="E4205" t="n">
        <v>71.72000122070312</v>
      </c>
      <c r="F4205" t="n">
        <v>23.61788749694824</v>
      </c>
      <c r="G4205" t="n">
        <v>84.57085418701172</v>
      </c>
      <c r="H4205">
        <f>AVERAGE(D4006:D4205)</f>
        <v/>
      </c>
      <c r="I4205">
        <f>AVERAGE(E4006:E4205)</f>
        <v/>
      </c>
      <c r="J4205">
        <f>AVERAGE(F4006:F4205)</f>
        <v/>
      </c>
    </row>
    <row r="4206">
      <c r="C4206" s="539" t="n">
        <v>45553</v>
      </c>
      <c r="D4206" t="n">
        <v>235.5099945068359</v>
      </c>
      <c r="E4206" t="n">
        <v>70.66000366210938</v>
      </c>
      <c r="F4206" t="n">
        <v>23.77552604675293</v>
      </c>
      <c r="G4206" t="n">
        <v>84.58927917480469</v>
      </c>
      <c r="H4206">
        <f>AVERAGE(D4007:D4206)</f>
        <v/>
      </c>
      <c r="I4206">
        <f>AVERAGE(E4007:E4206)</f>
        <v/>
      </c>
      <c r="J4206">
        <f>AVERAGE(F4007:F4206)</f>
        <v/>
      </c>
    </row>
    <row r="4207">
      <c r="C4207" s="539" t="n">
        <v>45554</v>
      </c>
      <c r="D4207" t="n">
        <v>239.1699981689453</v>
      </c>
      <c r="E4207" t="n">
        <v>72.75</v>
      </c>
      <c r="F4207" t="n">
        <v>23.7662525177002</v>
      </c>
      <c r="G4207" t="n">
        <v>84.60774230957031</v>
      </c>
      <c r="H4207">
        <f>AVERAGE(D4008:D4207)</f>
        <v/>
      </c>
      <c r="I4207">
        <f>AVERAGE(E4008:E4207)</f>
        <v/>
      </c>
      <c r="J4207">
        <f>AVERAGE(F4008:F4207)</f>
        <v/>
      </c>
    </row>
    <row r="4208">
      <c r="C4208" s="539" t="n">
        <v>45555</v>
      </c>
      <c r="D4208" t="n">
        <v>242.2100067138672</v>
      </c>
      <c r="E4208" t="n">
        <v>72.91999816894531</v>
      </c>
      <c r="F4208" t="n">
        <v>23.60861396789551</v>
      </c>
      <c r="G4208" t="n">
        <v>84.64466857910156</v>
      </c>
      <c r="H4208">
        <f>AVERAGE(D4009:D4208)</f>
        <v/>
      </c>
      <c r="I4208">
        <f>AVERAGE(E4009:E4208)</f>
        <v/>
      </c>
      <c r="J4208">
        <f>AVERAGE(F4009:F4208)</f>
        <v/>
      </c>
    </row>
    <row r="4209">
      <c r="C4209" s="539" t="n">
        <v>45558</v>
      </c>
      <c r="D4209" t="n">
        <v>242.6799926757812</v>
      </c>
      <c r="E4209" t="n">
        <v>72.25</v>
      </c>
      <c r="F4209" t="n">
        <v>24.06298446655273</v>
      </c>
      <c r="G4209" t="n">
        <v>84.65386199951172</v>
      </c>
      <c r="H4209">
        <f>AVERAGE(D4010:D4209)</f>
        <v/>
      </c>
      <c r="I4209">
        <f>AVERAGE(E4010:E4209)</f>
        <v/>
      </c>
      <c r="J4209">
        <f>AVERAGE(F4010:F4209)</f>
        <v/>
      </c>
    </row>
    <row r="4210">
      <c r="C4210" s="539" t="n">
        <v>45559</v>
      </c>
      <c r="D4210" t="n">
        <v>246.0700073242188</v>
      </c>
      <c r="E4210" t="n">
        <v>73.29000091552734</v>
      </c>
      <c r="F4210" t="n">
        <v>24.23916625976562</v>
      </c>
      <c r="G4210" t="n">
        <v>84.66309356689453</v>
      </c>
      <c r="H4210">
        <f>AVERAGE(D4011:D4210)</f>
        <v/>
      </c>
      <c r="I4210">
        <f>AVERAGE(E4011:E4210)</f>
        <v/>
      </c>
      <c r="J4210">
        <f>AVERAGE(F4011:F4210)</f>
        <v/>
      </c>
    </row>
    <row r="4211">
      <c r="C4211" s="539" t="n">
        <v>45560</v>
      </c>
      <c r="D4211" t="n">
        <v>245.7299957275391</v>
      </c>
      <c r="E4211" t="n">
        <v>71.48000335693359</v>
      </c>
      <c r="F4211" t="n">
        <v>24.40607833862305</v>
      </c>
      <c r="G4211" t="n">
        <v>84.68156433105469</v>
      </c>
      <c r="H4211">
        <f>AVERAGE(D4012:D4211)</f>
        <v/>
      </c>
      <c r="I4211">
        <f>AVERAGE(E4012:E4211)</f>
        <v/>
      </c>
      <c r="J4211">
        <f>AVERAGE(F4012:F4211)</f>
        <v/>
      </c>
    </row>
    <row r="4212">
      <c r="C4212" s="539" t="n">
        <v>45561</v>
      </c>
      <c r="D4212" t="n">
        <v>246.9799957275391</v>
      </c>
      <c r="E4212" t="n">
        <v>69.01000213623047</v>
      </c>
      <c r="F4212" t="n">
        <v>24.51735305786133</v>
      </c>
      <c r="G4212" t="n">
        <v>84.68156433105469</v>
      </c>
      <c r="H4212">
        <f>AVERAGE(D4013:D4212)</f>
        <v/>
      </c>
      <c r="I4212">
        <f>AVERAGE(E4013:E4212)</f>
        <v/>
      </c>
      <c r="J4212">
        <f>AVERAGE(F4013:F4212)</f>
        <v/>
      </c>
    </row>
    <row r="4213">
      <c r="C4213" s="539" t="n">
        <v>45562</v>
      </c>
      <c r="D4213" t="n">
        <v>245.0200042724609</v>
      </c>
      <c r="E4213" t="n">
        <v>70.26999664306641</v>
      </c>
      <c r="F4213" t="n">
        <v>24.61935424804688</v>
      </c>
      <c r="G4213" t="n">
        <v>84.70926666259766</v>
      </c>
      <c r="H4213">
        <f>AVERAGE(D4014:D4213)</f>
        <v/>
      </c>
      <c r="I4213">
        <f>AVERAGE(E4014:E4213)</f>
        <v/>
      </c>
      <c r="J4213">
        <f>AVERAGE(F4014:F4213)</f>
        <v/>
      </c>
    </row>
    <row r="4214">
      <c r="C4214" s="539" t="n">
        <v>45565</v>
      </c>
      <c r="D4214" t="n">
        <v>243.0599975585938</v>
      </c>
      <c r="E4214" t="n">
        <v>69.91999816894531</v>
      </c>
      <c r="F4214" t="n">
        <v>24.19280433654785</v>
      </c>
      <c r="G4214" t="n">
        <v>84.71845245361328</v>
      </c>
      <c r="H4214">
        <f>AVERAGE(D4015:D4214)</f>
        <v/>
      </c>
      <c r="I4214">
        <f>AVERAGE(E4015:E4214)</f>
        <v/>
      </c>
      <c r="J4214">
        <f>AVERAGE(F4015:F4214)</f>
        <v/>
      </c>
    </row>
    <row r="4215">
      <c r="C4215" s="539" t="n">
        <v>45566</v>
      </c>
      <c r="D4215" t="n">
        <v>245.6100006103516</v>
      </c>
      <c r="E4215" t="n">
        <v>72.11000061035156</v>
      </c>
      <c r="F4215" t="n">
        <v>23.65497970581055</v>
      </c>
      <c r="G4215" t="n">
        <v>84.73793792724609</v>
      </c>
      <c r="H4215">
        <f>AVERAGE(D4016:D4215)</f>
        <v/>
      </c>
      <c r="I4215">
        <f>AVERAGE(E4016:E4215)</f>
        <v/>
      </c>
      <c r="J4215">
        <f>AVERAGE(F4016:F4215)</f>
        <v/>
      </c>
    </row>
    <row r="4216">
      <c r="C4216" s="539" t="n">
        <v>45567</v>
      </c>
      <c r="D4216" t="n">
        <v>245.6600036621094</v>
      </c>
      <c r="E4216" t="n">
        <v>72.76000213623047</v>
      </c>
      <c r="F4216" t="n">
        <v>23.67352676391602</v>
      </c>
      <c r="G4216" t="n">
        <v>84.74718475341797</v>
      </c>
      <c r="H4216">
        <f>AVERAGE(D4017:D4216)</f>
        <v/>
      </c>
      <c r="I4216">
        <f>AVERAGE(E4017:E4216)</f>
        <v/>
      </c>
      <c r="J4216">
        <f>AVERAGE(F4017:F4216)</f>
        <v/>
      </c>
    </row>
    <row r="4217">
      <c r="C4217" s="539" t="n">
        <v>45568</v>
      </c>
      <c r="D4217" t="n">
        <v>245.4900054931641</v>
      </c>
      <c r="E4217" t="n">
        <v>75.73000335693359</v>
      </c>
      <c r="F4217" t="n">
        <v>23.69207000732422</v>
      </c>
      <c r="G4217" t="n">
        <v>84.76570892333984</v>
      </c>
      <c r="H4217">
        <f>AVERAGE(D4018:D4217)</f>
        <v/>
      </c>
      <c r="I4217">
        <f>AVERAGE(E4018:E4217)</f>
        <v/>
      </c>
      <c r="J4217">
        <f>AVERAGE(F4018:F4217)</f>
        <v/>
      </c>
    </row>
    <row r="4218">
      <c r="C4218" s="539" t="n">
        <v>45569</v>
      </c>
      <c r="D4218" t="n">
        <v>245</v>
      </c>
      <c r="E4218" t="n">
        <v>76.34999847412109</v>
      </c>
      <c r="F4218" t="n">
        <v>23.54370498657227</v>
      </c>
      <c r="G4218" t="n">
        <v>84.78424835205078</v>
      </c>
      <c r="H4218">
        <f>AVERAGE(D4019:D4218)</f>
        <v/>
      </c>
      <c r="I4218">
        <f>AVERAGE(E4019:E4218)</f>
        <v/>
      </c>
      <c r="J4218">
        <f>AVERAGE(F4019:F4218)</f>
        <v/>
      </c>
    </row>
    <row r="4219">
      <c r="C4219" s="539" t="n">
        <v>45572</v>
      </c>
      <c r="D4219" t="n">
        <v>244.1699981689453</v>
      </c>
      <c r="E4219" t="n">
        <v>79.19999694824219</v>
      </c>
      <c r="F4219" t="n">
        <v>23.35824966430664</v>
      </c>
      <c r="G4219" t="n">
        <v>84.80278015136719</v>
      </c>
      <c r="H4219">
        <f>AVERAGE(D4020:D4219)</f>
        <v/>
      </c>
      <c r="I4219">
        <f>AVERAGE(E4020:E4219)</f>
        <v/>
      </c>
      <c r="J4219">
        <f>AVERAGE(F4020:F4219)</f>
        <v/>
      </c>
    </row>
    <row r="4220">
      <c r="C4220" s="539" t="n">
        <v>45573</v>
      </c>
      <c r="D4220" t="n">
        <v>242.3699951171875</v>
      </c>
      <c r="E4220" t="n">
        <v>75.79000091552734</v>
      </c>
      <c r="F4220" t="n">
        <v>23.49734115600586</v>
      </c>
      <c r="G4220" t="n">
        <v>84.80278015136719</v>
      </c>
      <c r="H4220">
        <f>AVERAGE(D4021:D4220)</f>
        <v/>
      </c>
      <c r="I4220">
        <f>AVERAGE(E4021:E4220)</f>
        <v/>
      </c>
      <c r="J4220">
        <f>AVERAGE(F4021:F4220)</f>
        <v/>
      </c>
    </row>
    <row r="4221">
      <c r="C4221" s="539" t="n">
        <v>45574</v>
      </c>
      <c r="D4221" t="n">
        <v>241.0500030517578</v>
      </c>
      <c r="E4221" t="n">
        <v>75.25</v>
      </c>
      <c r="F4221" t="n">
        <v>23.71061706542969</v>
      </c>
      <c r="G4221" t="n">
        <v>84.81205749511719</v>
      </c>
      <c r="H4221">
        <f>AVERAGE(D4022:D4221)</f>
        <v/>
      </c>
      <c r="I4221">
        <f>AVERAGE(E4022:E4221)</f>
        <v/>
      </c>
      <c r="J4221">
        <f>AVERAGE(F4022:F4221)</f>
        <v/>
      </c>
    </row>
    <row r="4222">
      <c r="C4222" s="539" t="n">
        <v>45575</v>
      </c>
      <c r="D4222" t="n">
        <v>242.8200073242188</v>
      </c>
      <c r="E4222" t="n">
        <v>77.76999664306641</v>
      </c>
      <c r="F4222" t="n">
        <v>23.88680076599121</v>
      </c>
      <c r="G4222" t="n">
        <v>84.82129669189453</v>
      </c>
      <c r="H4222">
        <f>AVERAGE(D4023:D4222)</f>
        <v/>
      </c>
      <c r="I4222">
        <f>AVERAGE(E4023:E4222)</f>
        <v/>
      </c>
      <c r="J4222">
        <f>AVERAGE(F4023:F4222)</f>
        <v/>
      </c>
    </row>
    <row r="4223">
      <c r="C4223" s="539" t="n">
        <v>45576</v>
      </c>
      <c r="D4223" t="n">
        <v>245.4700012207031</v>
      </c>
      <c r="E4223" t="n">
        <v>77.48999786376953</v>
      </c>
      <c r="F4223" t="n">
        <v>24.07225608825684</v>
      </c>
      <c r="G4223" t="n">
        <v>84.86763763427734</v>
      </c>
      <c r="H4223">
        <f>AVERAGE(D4024:D4223)</f>
        <v/>
      </c>
      <c r="I4223">
        <f>AVERAGE(E4024:E4223)</f>
        <v/>
      </c>
      <c r="J4223">
        <f>AVERAGE(F4024:F4223)</f>
        <v/>
      </c>
    </row>
    <row r="4224">
      <c r="C4224" s="539" t="n">
        <v>45579</v>
      </c>
      <c r="D4224" t="n">
        <v>245.0700073242188</v>
      </c>
      <c r="E4224" t="n">
        <v>75.93000030517578</v>
      </c>
      <c r="F4224" t="n">
        <v>23.93316459655762</v>
      </c>
      <c r="G4224" t="n">
        <v>84.85837554931641</v>
      </c>
      <c r="H4224">
        <f>AVERAGE(D4025:D4224)</f>
        <v/>
      </c>
      <c r="I4224">
        <f>AVERAGE(E4025:E4224)</f>
        <v/>
      </c>
      <c r="J4224">
        <f>AVERAGE(F4025:F4224)</f>
        <v/>
      </c>
    </row>
    <row r="4225">
      <c r="C4225" s="539" t="n">
        <v>45580</v>
      </c>
      <c r="D4225" t="n">
        <v>245.9199981689453</v>
      </c>
      <c r="E4225" t="n">
        <v>72.76000213623047</v>
      </c>
      <c r="F4225" t="n">
        <v>24.10007476806641</v>
      </c>
      <c r="G4225" t="n">
        <v>84.88615417480469</v>
      </c>
      <c r="H4225">
        <f>AVERAGE(D4026:D4225)</f>
        <v/>
      </c>
      <c r="I4225">
        <f>AVERAGE(E4026:E4225)</f>
        <v/>
      </c>
      <c r="J4225">
        <f>AVERAGE(F4026:F4225)</f>
        <v/>
      </c>
    </row>
    <row r="4226">
      <c r="C4226" s="539" t="n">
        <v>45581</v>
      </c>
      <c r="D4226" t="n">
        <v>247.1499938964844</v>
      </c>
      <c r="E4226" t="n">
        <v>72.40000152587891</v>
      </c>
      <c r="F4226" t="n">
        <v>23.85898208618164</v>
      </c>
      <c r="G4226" t="n">
        <v>84.88615417480469</v>
      </c>
      <c r="H4226">
        <f>AVERAGE(D4027:D4226)</f>
        <v/>
      </c>
      <c r="I4226">
        <f>AVERAGE(E4027:E4226)</f>
        <v/>
      </c>
      <c r="J4226">
        <f>AVERAGE(F4027:F4226)</f>
        <v/>
      </c>
    </row>
    <row r="4227">
      <c r="C4227" s="539" t="n">
        <v>45582</v>
      </c>
      <c r="D4227" t="n">
        <v>248.6300048828125</v>
      </c>
      <c r="E4227" t="n">
        <v>72.62000274658203</v>
      </c>
      <c r="F4227" t="n">
        <v>23.8033447265625</v>
      </c>
      <c r="G4227" t="n">
        <v>84.90470123291016</v>
      </c>
      <c r="H4227">
        <f>AVERAGE(D4028:D4227)</f>
        <v/>
      </c>
      <c r="I4227">
        <f>AVERAGE(E4028:E4227)</f>
        <v/>
      </c>
      <c r="J4227">
        <f>AVERAGE(F4028:F4227)</f>
        <v/>
      </c>
    </row>
    <row r="4228">
      <c r="C4228" s="539" t="n">
        <v>45583</v>
      </c>
      <c r="D4228" t="n">
        <v>251.2700042724609</v>
      </c>
      <c r="E4228" t="n">
        <v>71.37999725341797</v>
      </c>
      <c r="F4228" t="n">
        <v>23.552978515625</v>
      </c>
      <c r="G4228" t="n">
        <v>84.93247985839844</v>
      </c>
      <c r="H4228">
        <f>AVERAGE(D4029:D4228)</f>
        <v/>
      </c>
      <c r="I4228">
        <f>AVERAGE(E4029:E4228)</f>
        <v/>
      </c>
      <c r="J4228">
        <f>AVERAGE(F4029:F4228)</f>
        <v/>
      </c>
    </row>
    <row r="4229">
      <c r="C4229" s="539" t="n">
        <v>45586</v>
      </c>
      <c r="D4229" t="n">
        <v>251.2200012207031</v>
      </c>
      <c r="E4229" t="n">
        <v>72.26000213623047</v>
      </c>
      <c r="F4229" t="n">
        <v>23.51588821411133</v>
      </c>
      <c r="G4229" t="n">
        <v>84.95103454589844</v>
      </c>
      <c r="H4229">
        <f>AVERAGE(D4030:D4229)</f>
        <v/>
      </c>
      <c r="I4229">
        <f>AVERAGE(E4030:E4229)</f>
        <v/>
      </c>
      <c r="J4229">
        <f>AVERAGE(F4030:F4229)</f>
        <v/>
      </c>
    </row>
    <row r="4230">
      <c r="C4230" s="539" t="n">
        <v>45587</v>
      </c>
      <c r="D4230" t="n">
        <v>253.9299926757812</v>
      </c>
      <c r="E4230" t="n">
        <v>73.98000335693359</v>
      </c>
      <c r="F4230" t="n">
        <v>23.42315864562988</v>
      </c>
      <c r="G4230" t="n">
        <v>84.96028137207031</v>
      </c>
      <c r="H4230">
        <f>AVERAGE(D4031:D4230)</f>
        <v/>
      </c>
      <c r="I4230">
        <f>AVERAGE(E4031:E4230)</f>
        <v/>
      </c>
      <c r="J4230">
        <f>AVERAGE(F4031:F4230)</f>
        <v/>
      </c>
    </row>
    <row r="4231">
      <c r="C4231" s="539" t="n">
        <v>45588</v>
      </c>
      <c r="D4231" t="n">
        <v>250.8699951171875</v>
      </c>
      <c r="E4231" t="n">
        <v>73.55000305175781</v>
      </c>
      <c r="F4231" t="n">
        <v>23.36752319335938</v>
      </c>
      <c r="G4231" t="n">
        <v>84.96028137207031</v>
      </c>
      <c r="H4231">
        <f>AVERAGE(D4032:D4231)</f>
        <v/>
      </c>
      <c r="I4231">
        <f>AVERAGE(E4032:E4231)</f>
        <v/>
      </c>
      <c r="J4231">
        <f>AVERAGE(F4032:F4231)</f>
        <v/>
      </c>
    </row>
    <row r="4232">
      <c r="C4232" s="539" t="n">
        <v>45589</v>
      </c>
      <c r="D4232" t="n">
        <v>252.8000030517578</v>
      </c>
      <c r="E4232" t="n">
        <v>73.05999755859375</v>
      </c>
      <c r="F4232" t="n">
        <v>23.00588226318359</v>
      </c>
      <c r="G4232" t="n">
        <v>84.96955108642578</v>
      </c>
      <c r="H4232">
        <f>AVERAGE(D4033:D4232)</f>
        <v/>
      </c>
      <c r="I4232">
        <f>AVERAGE(E4033:E4232)</f>
        <v/>
      </c>
      <c r="J4232">
        <f>AVERAGE(F4033:F4232)</f>
        <v/>
      </c>
    </row>
    <row r="4233">
      <c r="C4233" s="539" t="n">
        <v>45590</v>
      </c>
      <c r="D4233" t="n">
        <v>253.3200073242188</v>
      </c>
      <c r="E4233" t="n">
        <v>74.23000335693359</v>
      </c>
      <c r="F4233" t="n">
        <v>23.03370094299316</v>
      </c>
      <c r="G4233" t="n">
        <v>85.00661468505859</v>
      </c>
      <c r="H4233">
        <f>AVERAGE(D4034:D4233)</f>
        <v/>
      </c>
      <c r="I4233">
        <f>AVERAGE(E4034:E4233)</f>
        <v/>
      </c>
      <c r="J4233">
        <f>AVERAGE(F4034:F4233)</f>
        <v/>
      </c>
    </row>
    <row r="4234">
      <c r="C4234" s="539" t="n">
        <v>45593</v>
      </c>
      <c r="D4234" t="n">
        <v>253.3300018310547</v>
      </c>
      <c r="E4234" t="n">
        <v>70.43000030517578</v>
      </c>
      <c r="F4234" t="n">
        <v>23.21915817260742</v>
      </c>
      <c r="G4234" t="n">
        <v>85.00661468505859</v>
      </c>
      <c r="H4234">
        <f>AVERAGE(D4035:D4234)</f>
        <v/>
      </c>
      <c r="I4234">
        <f>AVERAGE(E4035:E4234)</f>
        <v/>
      </c>
      <c r="J4234">
        <f>AVERAGE(F4035:F4234)</f>
        <v/>
      </c>
    </row>
    <row r="4235">
      <c r="C4235" s="539" t="n">
        <v>45594</v>
      </c>
      <c r="D4235" t="n">
        <v>256.0899963378906</v>
      </c>
      <c r="E4235" t="n">
        <v>69.66000366210938</v>
      </c>
      <c r="F4235" t="n">
        <v>23.48806953430176</v>
      </c>
      <c r="G4235" t="n">
        <v>85.02513885498047</v>
      </c>
      <c r="H4235">
        <f>AVERAGE(D4036:D4235)</f>
        <v/>
      </c>
      <c r="I4235">
        <f>AVERAGE(E4036:E4235)</f>
        <v/>
      </c>
      <c r="J4235">
        <f>AVERAGE(F4036:F4235)</f>
        <v/>
      </c>
    </row>
    <row r="4236">
      <c r="C4236" s="539" t="n">
        <v>45595</v>
      </c>
      <c r="D4236" t="n">
        <v>257.5</v>
      </c>
      <c r="E4236" t="n">
        <v>71.36000061035156</v>
      </c>
      <c r="F4236" t="n">
        <v>23.67352676391602</v>
      </c>
      <c r="G4236" t="n">
        <v>85.034423828125</v>
      </c>
      <c r="H4236">
        <f>AVERAGE(D4037:D4236)</f>
        <v/>
      </c>
      <c r="I4236">
        <f>AVERAGE(E4037:E4236)</f>
        <v/>
      </c>
      <c r="J4236">
        <f>AVERAGE(F4037:F4236)</f>
        <v/>
      </c>
    </row>
    <row r="4237">
      <c r="C4237" s="539" t="n">
        <v>45596</v>
      </c>
      <c r="D4237" t="n">
        <v>253.5099945068359</v>
      </c>
      <c r="E4237" t="n">
        <v>73.08000183105469</v>
      </c>
      <c r="F4237" t="n">
        <v>23.64570617675781</v>
      </c>
      <c r="G4237" t="n">
        <v>85.05295562744141</v>
      </c>
      <c r="H4237">
        <f>AVERAGE(D4038:D4237)</f>
        <v/>
      </c>
      <c r="I4237">
        <f>AVERAGE(E4038:E4237)</f>
        <v/>
      </c>
      <c r="J4237">
        <f>AVERAGE(F4038:F4237)</f>
        <v/>
      </c>
    </row>
    <row r="4238">
      <c r="C4238" s="539" t="n">
        <v>45597</v>
      </c>
      <c r="D4238" t="n">
        <v>252.4700012207031</v>
      </c>
      <c r="E4238" t="n">
        <v>72.01999664306641</v>
      </c>
      <c r="F4238" t="n">
        <v>23.47879600524902</v>
      </c>
      <c r="G4238" t="n">
        <v>85.08920288085938</v>
      </c>
      <c r="H4238">
        <f>AVERAGE(D4039:D4238)</f>
        <v/>
      </c>
      <c r="I4238">
        <f>AVERAGE(E4039:E4238)</f>
        <v/>
      </c>
      <c r="J4238">
        <f>AVERAGE(F4039:F4238)</f>
        <v/>
      </c>
    </row>
    <row r="4239">
      <c r="C4239" s="539" t="n">
        <v>45600</v>
      </c>
      <c r="D4239" t="n">
        <v>252.8300018310547</v>
      </c>
      <c r="E4239" t="n">
        <v>74.29000091552734</v>
      </c>
      <c r="F4239" t="n">
        <v>23.49734115600586</v>
      </c>
      <c r="G4239" t="n">
        <v>85.10781097412109</v>
      </c>
      <c r="H4239">
        <f>AVERAGE(D4040:D4239)</f>
        <v/>
      </c>
      <c r="I4239">
        <f>AVERAGE(E4040:E4239)</f>
        <v/>
      </c>
      <c r="J4239">
        <f>AVERAGE(F4040:F4239)</f>
        <v/>
      </c>
    </row>
    <row r="4240">
      <c r="C4240" s="539" t="n">
        <v>45601</v>
      </c>
      <c r="D4240" t="n">
        <v>253.3999938964844</v>
      </c>
      <c r="E4240" t="n">
        <v>74.73000335693359</v>
      </c>
      <c r="F4240" t="n">
        <v>23.49734115600586</v>
      </c>
      <c r="G4240" t="n">
        <v>85.10781097412109</v>
      </c>
      <c r="H4240">
        <f>AVERAGE(D4041:D4240)</f>
        <v/>
      </c>
      <c r="I4240">
        <f>AVERAGE(E4041:E4240)</f>
        <v/>
      </c>
      <c r="J4240">
        <f>AVERAGE(F4041:F4240)</f>
        <v/>
      </c>
    </row>
    <row r="4241">
      <c r="C4241" s="539" t="n">
        <v>45602</v>
      </c>
      <c r="D4241" t="n">
        <v>245.6999969482422</v>
      </c>
      <c r="E4241" t="n">
        <v>74.54000091552734</v>
      </c>
      <c r="F4241" t="n">
        <v>23.32115745544434</v>
      </c>
      <c r="G4241" t="n">
        <v>85.12641906738281</v>
      </c>
      <c r="H4241">
        <f>AVERAGE(D4042:D4241)</f>
        <v/>
      </c>
      <c r="I4241">
        <f>AVERAGE(E4042:E4241)</f>
        <v/>
      </c>
      <c r="J4241">
        <f>AVERAGE(F4042:F4241)</f>
        <v/>
      </c>
    </row>
    <row r="4242">
      <c r="C4242" s="539" t="n">
        <v>45603</v>
      </c>
      <c r="D4242" t="n">
        <v>249.6499938964844</v>
      </c>
      <c r="E4242" t="n">
        <v>74.66000366210938</v>
      </c>
      <c r="F4242" t="n">
        <v>23.84043502807617</v>
      </c>
      <c r="G4242" t="n">
        <v>85.13571929931641</v>
      </c>
      <c r="H4242">
        <f>AVERAGE(D4043:D4242)</f>
        <v/>
      </c>
      <c r="I4242">
        <f>AVERAGE(E4043:E4242)</f>
        <v/>
      </c>
      <c r="J4242">
        <f>AVERAGE(F4043:F4242)</f>
        <v/>
      </c>
    </row>
    <row r="4243">
      <c r="C4243" s="539" t="n">
        <v>45604</v>
      </c>
      <c r="D4243" t="n">
        <v>247.9600067138672</v>
      </c>
      <c r="E4243" t="n">
        <v>73.12999725341797</v>
      </c>
      <c r="F4243" t="n">
        <v>23.61788749694824</v>
      </c>
      <c r="G4243" t="n">
        <v>85.18222045898438</v>
      </c>
      <c r="H4243">
        <f>AVERAGE(D4044:D4243)</f>
        <v/>
      </c>
      <c r="I4243">
        <f>AVERAGE(E4044:E4243)</f>
        <v/>
      </c>
      <c r="J4243">
        <f>AVERAGE(F4044:F4243)</f>
        <v/>
      </c>
    </row>
    <row r="4244">
      <c r="C4244" s="539" t="n">
        <v>45607</v>
      </c>
      <c r="D4244" t="n">
        <v>242.1399993896484</v>
      </c>
      <c r="E4244" t="n">
        <v>70.94000244140625</v>
      </c>
      <c r="F4244" t="n">
        <v>23.53443145751953</v>
      </c>
      <c r="G4244" t="n">
        <v>85.17291259765625</v>
      </c>
      <c r="H4244">
        <f>AVERAGE(D4045:D4244)</f>
        <v/>
      </c>
      <c r="I4244">
        <f>AVERAGE(E4045:E4244)</f>
        <v/>
      </c>
      <c r="J4244">
        <f>AVERAGE(F4045:F4244)</f>
        <v/>
      </c>
    </row>
    <row r="4245">
      <c r="C4245" s="539" t="n">
        <v>45608</v>
      </c>
      <c r="D4245" t="n">
        <v>240.0500030517578</v>
      </c>
      <c r="E4245" t="n">
        <v>70.69000244140625</v>
      </c>
      <c r="F4245" t="n">
        <v>23.72916221618652</v>
      </c>
      <c r="G4245" t="n">
        <v>85.18222045898438</v>
      </c>
      <c r="H4245">
        <f>AVERAGE(D4046:D4245)</f>
        <v/>
      </c>
      <c r="I4245">
        <f>AVERAGE(E4046:E4245)</f>
        <v/>
      </c>
      <c r="J4245">
        <f>AVERAGE(F4046:F4245)</f>
        <v/>
      </c>
    </row>
    <row r="4246">
      <c r="C4246" s="539" t="n">
        <v>45609</v>
      </c>
      <c r="D4246" t="n">
        <v>237.6300048828125</v>
      </c>
      <c r="E4246" t="n">
        <v>70.73000335693359</v>
      </c>
      <c r="F4246" t="n">
        <v>23.8033447265625</v>
      </c>
      <c r="G4246" t="n">
        <v>85.20083618164062</v>
      </c>
      <c r="H4246">
        <f>AVERAGE(D4047:D4246)</f>
        <v/>
      </c>
      <c r="I4246">
        <f>AVERAGE(E4047:E4246)</f>
        <v/>
      </c>
      <c r="J4246">
        <f>AVERAGE(F4047:F4246)</f>
        <v/>
      </c>
    </row>
    <row r="4247">
      <c r="C4247" s="539" t="n">
        <v>45610</v>
      </c>
      <c r="D4247" t="n">
        <v>237.0099945068359</v>
      </c>
      <c r="E4247" t="n">
        <v>71.29000091552734</v>
      </c>
      <c r="F4247" t="n">
        <v>24.00734710693359</v>
      </c>
      <c r="G4247" t="n">
        <v>85.20083618164062</v>
      </c>
      <c r="H4247">
        <f>AVERAGE(D4048:D4247)</f>
        <v/>
      </c>
      <c r="I4247">
        <f>AVERAGE(E4048:E4247)</f>
        <v/>
      </c>
      <c r="J4247">
        <f>AVERAGE(F4048:F4247)</f>
        <v/>
      </c>
    </row>
    <row r="4248">
      <c r="C4248" s="539" t="n">
        <v>45611</v>
      </c>
      <c r="D4248" t="n">
        <v>236.5899963378906</v>
      </c>
      <c r="E4248" t="n">
        <v>69.75</v>
      </c>
      <c r="F4248" t="n">
        <v>24.10934829711914</v>
      </c>
      <c r="G4248" t="n">
        <v>85.22873687744141</v>
      </c>
      <c r="H4248">
        <f>AVERAGE(D4049:D4248)</f>
        <v/>
      </c>
      <c r="I4248">
        <f>AVERAGE(E4049:E4248)</f>
        <v/>
      </c>
      <c r="J4248">
        <f>AVERAGE(F4049:F4248)</f>
        <v/>
      </c>
    </row>
    <row r="4249">
      <c r="C4249" s="539" t="n">
        <v>45614</v>
      </c>
      <c r="D4249" t="n">
        <v>241.0899963378906</v>
      </c>
      <c r="E4249" t="n">
        <v>72.06999969482422</v>
      </c>
      <c r="F4249" t="n">
        <v>24.18353080749512</v>
      </c>
      <c r="G4249" t="n">
        <v>85.23802947998047</v>
      </c>
      <c r="H4249">
        <f>AVERAGE(D4050:D4249)</f>
        <v/>
      </c>
      <c r="I4249">
        <f>AVERAGE(E4050:E4249)</f>
        <v/>
      </c>
      <c r="J4249">
        <f>AVERAGE(F4050:F4249)</f>
        <v/>
      </c>
    </row>
    <row r="4250">
      <c r="C4250" s="539" t="n">
        <v>45615</v>
      </c>
      <c r="D4250" t="n">
        <v>243.25</v>
      </c>
      <c r="E4250" t="n">
        <v>72.30999755859375</v>
      </c>
      <c r="F4250" t="n">
        <v>24.3133487701416</v>
      </c>
      <c r="G4250" t="n">
        <v>85.26594543457031</v>
      </c>
      <c r="H4250">
        <f>AVERAGE(D4051:D4250)</f>
        <v/>
      </c>
      <c r="I4250">
        <f>AVERAGE(E4051:E4250)</f>
        <v/>
      </c>
      <c r="J4250">
        <f>AVERAGE(F4051:F4250)</f>
        <v/>
      </c>
    </row>
    <row r="4251">
      <c r="C4251" s="539" t="n">
        <v>45616</v>
      </c>
      <c r="D4251" t="n">
        <v>244.6199951171875</v>
      </c>
      <c r="E4251" t="n">
        <v>72.01999664306641</v>
      </c>
      <c r="F4251" t="n">
        <v>24.44317054748535</v>
      </c>
      <c r="G4251" t="n">
        <v>85.27523040771484</v>
      </c>
      <c r="H4251">
        <f>AVERAGE(D4052:D4251)</f>
        <v/>
      </c>
      <c r="I4251">
        <f>AVERAGE(E4052:E4251)</f>
        <v/>
      </c>
      <c r="J4251">
        <f>AVERAGE(F4052:F4251)</f>
        <v/>
      </c>
    </row>
    <row r="4252">
      <c r="C4252" s="539" t="n">
        <v>45617</v>
      </c>
      <c r="D4252" t="n">
        <v>246.6600036621094</v>
      </c>
      <c r="E4252" t="n">
        <v>73.19999694824219</v>
      </c>
      <c r="F4252" t="n">
        <v>24.39680671691895</v>
      </c>
      <c r="G4252" t="n">
        <v>85.28453826904297</v>
      </c>
      <c r="H4252">
        <f>AVERAGE(D4053:D4252)</f>
        <v/>
      </c>
      <c r="I4252">
        <f>AVERAGE(E4053:E4252)</f>
        <v/>
      </c>
      <c r="J4252">
        <f>AVERAGE(F4053:F4252)</f>
        <v/>
      </c>
    </row>
    <row r="4253">
      <c r="C4253" s="539" t="n">
        <v>45618</v>
      </c>
      <c r="D4253" t="n">
        <v>249.8399963378906</v>
      </c>
      <c r="E4253" t="n">
        <v>74.25</v>
      </c>
      <c r="F4253" t="n">
        <v>24.5822639465332</v>
      </c>
      <c r="G4253" t="n">
        <v>85.31243896484375</v>
      </c>
      <c r="H4253">
        <f>AVERAGE(D4054:D4253)</f>
        <v/>
      </c>
      <c r="I4253">
        <f>AVERAGE(E4054:E4253)</f>
        <v/>
      </c>
      <c r="J4253">
        <f>AVERAGE(F4054:F4253)</f>
        <v/>
      </c>
    </row>
    <row r="4254">
      <c r="C4254" s="539" t="n">
        <v>45621</v>
      </c>
      <c r="D4254" t="n">
        <v>242.4799957275391</v>
      </c>
      <c r="E4254" t="n">
        <v>72.09999847412109</v>
      </c>
      <c r="F4254" t="n">
        <v>24.60080909729004</v>
      </c>
      <c r="G4254" t="n">
        <v>85.32175445556641</v>
      </c>
      <c r="H4254">
        <f>AVERAGE(D4055:D4254)</f>
        <v/>
      </c>
      <c r="I4254">
        <f>AVERAGE(E4055:E4254)</f>
        <v/>
      </c>
      <c r="J4254">
        <f>AVERAGE(F4055:F4254)</f>
        <v/>
      </c>
    </row>
    <row r="4255">
      <c r="C4255" s="539" t="n">
        <v>45622</v>
      </c>
      <c r="D4255" t="n">
        <v>242.9499969482422</v>
      </c>
      <c r="E4255" t="n">
        <v>71.61000061035156</v>
      </c>
      <c r="F4255" t="n">
        <v>24.82335662841797</v>
      </c>
      <c r="G4255" t="n">
        <v>85.32175445556641</v>
      </c>
      <c r="H4255">
        <f>AVERAGE(D4056:D4255)</f>
        <v/>
      </c>
      <c r="I4255">
        <f>AVERAGE(E4056:E4255)</f>
        <v/>
      </c>
      <c r="J4255">
        <f>AVERAGE(F4056:F4255)</f>
        <v/>
      </c>
    </row>
    <row r="4256">
      <c r="C4256" s="539" t="n">
        <v>45623</v>
      </c>
      <c r="D4256" t="n">
        <v>243.4900054931641</v>
      </c>
      <c r="E4256" t="n">
        <v>71.72000122070312</v>
      </c>
      <c r="F4256" t="n">
        <v>24.93462944030762</v>
      </c>
      <c r="G4256" t="n">
        <v>85.34965515136719</v>
      </c>
      <c r="H4256">
        <f>AVERAGE(D4057:D4256)</f>
        <v/>
      </c>
      <c r="I4256">
        <f>AVERAGE(E4057:E4256)</f>
        <v/>
      </c>
      <c r="J4256">
        <f>AVERAGE(F4057:F4256)</f>
        <v/>
      </c>
    </row>
    <row r="4257">
      <c r="C4257" s="539" t="n">
        <v>45625</v>
      </c>
      <c r="D4257" t="n">
        <v>245.5899963378906</v>
      </c>
      <c r="E4257" t="n">
        <v>71.61000061035156</v>
      </c>
      <c r="F4257" t="n">
        <v>24.81408309936523</v>
      </c>
      <c r="G4257" t="n">
        <v>85.36826324462891</v>
      </c>
      <c r="H4257">
        <f>AVERAGE(D4058:D4257)</f>
        <v/>
      </c>
      <c r="I4257">
        <f>AVERAGE(E4058:E4257)</f>
        <v/>
      </c>
      <c r="J4257">
        <f>AVERAGE(F4058:F4257)</f>
        <v/>
      </c>
    </row>
    <row r="4258">
      <c r="C4258" s="539" t="n">
        <v>45628</v>
      </c>
      <c r="D4258" t="n">
        <v>243.4400024414062</v>
      </c>
      <c r="E4258" t="n">
        <v>71.04000091552734</v>
      </c>
      <c r="F4258" t="n">
        <v>24.62862586975098</v>
      </c>
      <c r="G4258" t="n">
        <v>85.3916015625</v>
      </c>
      <c r="H4258">
        <f>AVERAGE(D4059:D4258)</f>
        <v/>
      </c>
      <c r="I4258">
        <f>AVERAGE(E4059:E4258)</f>
        <v/>
      </c>
      <c r="J4258">
        <f>AVERAGE(F4059:F4258)</f>
        <v/>
      </c>
    </row>
    <row r="4259">
      <c r="C4259" s="539" t="n">
        <v>45629</v>
      </c>
      <c r="D4259" t="n">
        <v>243.9299926757812</v>
      </c>
      <c r="E4259" t="n">
        <v>73.04000091552734</v>
      </c>
      <c r="F4259" t="n">
        <v>24.51735305786133</v>
      </c>
      <c r="G4259" t="n">
        <v>85.41025543212891</v>
      </c>
      <c r="H4259">
        <f>AVERAGE(D4060:D4259)</f>
        <v/>
      </c>
      <c r="I4259">
        <f>AVERAGE(E4060:E4259)</f>
        <v/>
      </c>
      <c r="J4259">
        <f>AVERAGE(F4060:F4259)</f>
        <v/>
      </c>
    </row>
    <row r="4260">
      <c r="C4260" s="539" t="n">
        <v>45630</v>
      </c>
      <c r="D4260" t="n">
        <v>244.6699981689453</v>
      </c>
      <c r="E4260" t="n">
        <v>71.87999725341797</v>
      </c>
      <c r="F4260" t="n">
        <v>24.61935424804688</v>
      </c>
      <c r="G4260" t="n">
        <v>85.41960144042969</v>
      </c>
      <c r="H4260">
        <f>AVERAGE(D4061:D4260)</f>
        <v/>
      </c>
      <c r="I4260">
        <f>AVERAGE(E4061:E4260)</f>
        <v/>
      </c>
      <c r="J4260">
        <f>AVERAGE(F4061:F4260)</f>
        <v/>
      </c>
    </row>
    <row r="4261">
      <c r="C4261" s="539" t="n">
        <v>45631</v>
      </c>
      <c r="D4261" t="n">
        <v>242.8600006103516</v>
      </c>
      <c r="E4261" t="n">
        <v>71.47000122070312</v>
      </c>
      <c r="F4261" t="n">
        <v>25.03663063049316</v>
      </c>
      <c r="G4261" t="n">
        <v>85.42893981933594</v>
      </c>
      <c r="H4261">
        <f>AVERAGE(D4062:D4261)</f>
        <v/>
      </c>
      <c r="I4261">
        <f>AVERAGE(E4062:E4261)</f>
        <v/>
      </c>
      <c r="J4261">
        <f>AVERAGE(F4062:F4261)</f>
        <v/>
      </c>
    </row>
    <row r="4262">
      <c r="C4262" s="539" t="n">
        <v>45632</v>
      </c>
      <c r="D4262" t="n">
        <v>242.9499969482422</v>
      </c>
      <c r="E4262" t="n">
        <v>70.23999786376953</v>
      </c>
      <c r="F4262" t="n">
        <v>25.26845169067383</v>
      </c>
      <c r="G4262" t="n">
        <v>85.46627044677734</v>
      </c>
      <c r="H4262">
        <f>AVERAGE(D4063:D4262)</f>
        <v/>
      </c>
      <c r="I4262">
        <f>AVERAGE(E4063:E4262)</f>
        <v/>
      </c>
      <c r="J4262">
        <f>AVERAGE(F4063:F4262)</f>
        <v/>
      </c>
    </row>
    <row r="4263">
      <c r="C4263" s="539" t="n">
        <v>45635</v>
      </c>
      <c r="D4263" t="n">
        <v>245.3600006103516</v>
      </c>
      <c r="E4263" t="n">
        <v>71.16999816894531</v>
      </c>
      <c r="F4263" t="n">
        <v>25.37045288085938</v>
      </c>
      <c r="G4263" t="n">
        <v>85.47560119628906</v>
      </c>
      <c r="H4263">
        <f>AVERAGE(D4064:D4263)</f>
        <v/>
      </c>
      <c r="I4263">
        <f>AVERAGE(E4064:E4263)</f>
        <v/>
      </c>
      <c r="J4263">
        <f>AVERAGE(F4064:F4263)</f>
        <v/>
      </c>
    </row>
    <row r="4264">
      <c r="C4264" s="539" t="n">
        <v>45636</v>
      </c>
      <c r="D4264" t="n">
        <v>248.5899963378906</v>
      </c>
      <c r="E4264" t="n">
        <v>71.40000152587891</v>
      </c>
      <c r="F4264" t="n">
        <v>25.57445526123047</v>
      </c>
      <c r="G4264" t="n">
        <v>85.4942626953125</v>
      </c>
      <c r="H4264">
        <f>AVERAGE(D4065:D4264)</f>
        <v/>
      </c>
      <c r="I4264">
        <f>AVERAGE(E4065:E4264)</f>
        <v/>
      </c>
      <c r="J4264">
        <f>AVERAGE(F4065:F4264)</f>
        <v/>
      </c>
    </row>
    <row r="4265">
      <c r="C4265" s="539" t="n">
        <v>45637</v>
      </c>
      <c r="D4265" t="n">
        <v>250.9600067138672</v>
      </c>
      <c r="E4265" t="n">
        <v>73.33000183105469</v>
      </c>
      <c r="F4265" t="n">
        <v>25.49099922180176</v>
      </c>
      <c r="G4265" t="n">
        <v>85.50360870361328</v>
      </c>
      <c r="H4265">
        <f>AVERAGE(D4066:D4265)</f>
        <v/>
      </c>
      <c r="I4265">
        <f>AVERAGE(E4066:E4265)</f>
        <v/>
      </c>
      <c r="J4265">
        <f>AVERAGE(F4066:F4265)</f>
        <v/>
      </c>
    </row>
    <row r="4266">
      <c r="C4266" s="539" t="n">
        <v>45638</v>
      </c>
      <c r="D4266" t="n">
        <v>247.2799987792969</v>
      </c>
      <c r="E4266" t="n">
        <v>73.20999908447266</v>
      </c>
      <c r="F4266" t="n">
        <v>25.46318054199219</v>
      </c>
      <c r="G4266" t="n">
        <v>85.52228546142578</v>
      </c>
      <c r="H4266">
        <f>AVERAGE(D4067:D4266)</f>
        <v/>
      </c>
      <c r="I4266">
        <f>AVERAGE(E4067:E4266)</f>
        <v/>
      </c>
      <c r="J4266">
        <f>AVERAGE(F4067:F4266)</f>
        <v/>
      </c>
    </row>
    <row r="4267">
      <c r="C4267" s="539" t="n">
        <v>45639</v>
      </c>
      <c r="D4267" t="n">
        <v>244.2899932861328</v>
      </c>
      <c r="E4267" t="n">
        <v>74.20999908447266</v>
      </c>
      <c r="F4267" t="n">
        <v>25.63009071350098</v>
      </c>
      <c r="G4267" t="n">
        <v>85.55029296875</v>
      </c>
      <c r="H4267">
        <f>AVERAGE(D4068:D4267)</f>
        <v/>
      </c>
      <c r="I4267">
        <f>AVERAGE(E4068:E4267)</f>
        <v/>
      </c>
      <c r="J4267">
        <f>AVERAGE(F4068:F4267)</f>
        <v/>
      </c>
    </row>
    <row r="4268">
      <c r="C4268" s="539" t="n">
        <v>45642</v>
      </c>
      <c r="D4268" t="n">
        <v>244.8800048828125</v>
      </c>
      <c r="E4268" t="n">
        <v>73.69999694824219</v>
      </c>
      <c r="F4268" t="n">
        <v>25.74136543273926</v>
      </c>
      <c r="G4268" t="n">
        <v>85.55963897705078</v>
      </c>
      <c r="H4268">
        <f>AVERAGE(D4069:D4268)</f>
        <v/>
      </c>
      <c r="I4268">
        <f>AVERAGE(E4069:E4268)</f>
        <v/>
      </c>
      <c r="J4268">
        <f>AVERAGE(F4069:F4268)</f>
        <v/>
      </c>
    </row>
    <row r="4269">
      <c r="C4269" s="539" t="n">
        <v>45643</v>
      </c>
      <c r="D4269" t="n">
        <v>243.9400024414062</v>
      </c>
      <c r="E4269" t="n">
        <v>73.30000305175781</v>
      </c>
      <c r="F4269" t="n">
        <v>25.69500160217285</v>
      </c>
      <c r="G4269" t="n">
        <v>85.56895446777344</v>
      </c>
      <c r="H4269">
        <f>AVERAGE(D4070:D4269)</f>
        <v/>
      </c>
      <c r="I4269">
        <f>AVERAGE(E4070:E4269)</f>
        <v/>
      </c>
      <c r="J4269">
        <f>AVERAGE(F4070:F4269)</f>
        <v/>
      </c>
    </row>
    <row r="4270">
      <c r="C4270" s="539" t="n">
        <v>45644</v>
      </c>
      <c r="D4270" t="n">
        <v>239.2599945068359</v>
      </c>
      <c r="E4270" t="n">
        <v>72.94000244140625</v>
      </c>
      <c r="F4270" t="n">
        <v>25.80627632141113</v>
      </c>
      <c r="G4270" t="n">
        <v>85.56895446777344</v>
      </c>
      <c r="H4270">
        <f>AVERAGE(D4071:D4270)</f>
        <v/>
      </c>
      <c r="I4270">
        <f>AVERAGE(E4071:E4270)</f>
        <v/>
      </c>
      <c r="J4270">
        <f>AVERAGE(F4071:F4270)</f>
        <v/>
      </c>
    </row>
    <row r="4271">
      <c r="C4271" s="539" t="n">
        <v>45645</v>
      </c>
      <c r="D4271" t="n">
        <v>239.6000061035156</v>
      </c>
      <c r="E4271" t="n">
        <v>72.61000061035156</v>
      </c>
      <c r="F4271" t="n">
        <v>25.3426342010498</v>
      </c>
      <c r="G4271" t="n">
        <v>85.58113098144531</v>
      </c>
      <c r="H4271">
        <f>AVERAGE(D4072:D4271)</f>
        <v/>
      </c>
      <c r="I4271">
        <f>AVERAGE(E4072:E4271)</f>
        <v/>
      </c>
      <c r="J4271">
        <f>AVERAGE(F4072:F4271)</f>
        <v/>
      </c>
    </row>
    <row r="4272">
      <c r="C4272" s="539" t="n">
        <v>45646</v>
      </c>
      <c r="D4272" t="n">
        <v>242.1000061035156</v>
      </c>
      <c r="E4272" t="n">
        <v>73.09999847412109</v>
      </c>
      <c r="F4272" t="n">
        <v>25.5930004119873</v>
      </c>
      <c r="G4272" t="n">
        <v>85.61865997314453</v>
      </c>
      <c r="H4272">
        <f>AVERAGE(D4073:D4272)</f>
        <v/>
      </c>
      <c r="I4272">
        <f>AVERAGE(E4073:E4272)</f>
        <v/>
      </c>
      <c r="J4272">
        <f>AVERAGE(F4073:F4272)</f>
        <v/>
      </c>
    </row>
    <row r="4273">
      <c r="C4273" s="539" t="n">
        <v>45649</v>
      </c>
      <c r="D4273" t="n">
        <v>240.9600067138672</v>
      </c>
      <c r="E4273" t="n">
        <v>73.05999755859375</v>
      </c>
      <c r="F4273" t="n">
        <v>25.47138595581055</v>
      </c>
      <c r="G4273" t="n">
        <v>85.61865997314453</v>
      </c>
      <c r="H4273">
        <f>AVERAGE(D4074:D4273)</f>
        <v/>
      </c>
      <c r="I4273">
        <f>AVERAGE(E4074:E4273)</f>
        <v/>
      </c>
      <c r="J4273">
        <f>AVERAGE(F4074:F4273)</f>
        <v/>
      </c>
    </row>
    <row r="4274">
      <c r="C4274" s="539" t="n">
        <v>45650</v>
      </c>
      <c r="D4274" t="n">
        <v>241.4400024414062</v>
      </c>
      <c r="E4274" t="n">
        <v>73.65000152587891</v>
      </c>
      <c r="F4274" t="n">
        <v>25.60651397705078</v>
      </c>
      <c r="G4274" t="n">
        <v>85.63738250732422</v>
      </c>
      <c r="H4274">
        <f>AVERAGE(D4075:D4274)</f>
        <v/>
      </c>
      <c r="I4274">
        <f>AVERAGE(E4075:E4274)</f>
        <v/>
      </c>
      <c r="J4274">
        <f>AVERAGE(F4075:F4274)</f>
        <v/>
      </c>
    </row>
    <row r="4275">
      <c r="C4275" s="539" t="n">
        <v>45652</v>
      </c>
      <c r="D4275" t="n">
        <v>243.0700073242188</v>
      </c>
      <c r="E4275" t="n">
        <v>73.12999725341797</v>
      </c>
      <c r="F4275" t="n">
        <v>25.33625984191895</v>
      </c>
      <c r="G4275" t="n">
        <v>85.65614318847656</v>
      </c>
      <c r="H4275">
        <f>AVERAGE(D4076:D4275)</f>
        <v/>
      </c>
      <c r="I4275">
        <f>AVERAGE(E4076:E4275)</f>
        <v/>
      </c>
      <c r="J4275">
        <f>AVERAGE(F4076:F4275)</f>
        <v/>
      </c>
    </row>
    <row r="4276">
      <c r="C4276" s="539" t="n">
        <v>45653</v>
      </c>
      <c r="D4276" t="n">
        <v>241.3999938964844</v>
      </c>
      <c r="E4276" t="n">
        <v>73.84999847412109</v>
      </c>
      <c r="F4276" t="n">
        <v>24.9501838684082</v>
      </c>
      <c r="G4276" t="n">
        <v>85.69365692138672</v>
      </c>
      <c r="H4276">
        <f>AVERAGE(D4077:D4276)</f>
        <v/>
      </c>
      <c r="I4276">
        <f>AVERAGE(E4077:E4276)</f>
        <v/>
      </c>
      <c r="J4276">
        <f>AVERAGE(F4077:F4276)</f>
        <v/>
      </c>
    </row>
    <row r="4277">
      <c r="C4277" s="539" t="n">
        <v>45656</v>
      </c>
      <c r="D4277" t="n">
        <v>240.6300048828125</v>
      </c>
      <c r="E4277" t="n">
        <v>74.81999969482422</v>
      </c>
      <c r="F4277" t="n">
        <v>25.35556411743164</v>
      </c>
      <c r="G4277" t="n">
        <v>85.69365692138672</v>
      </c>
      <c r="H4277">
        <f>AVERAGE(D4078:D4277)</f>
        <v/>
      </c>
      <c r="I4277">
        <f>AVERAGE(E4078:E4277)</f>
        <v/>
      </c>
      <c r="J4277">
        <f>AVERAGE(F4078:F4277)</f>
        <v/>
      </c>
    </row>
    <row r="4278">
      <c r="C4278" s="539" t="n">
        <v>45657</v>
      </c>
      <c r="D4278" t="n">
        <v>242.1300048828125</v>
      </c>
      <c r="E4278" t="n">
        <v>75.55000305175781</v>
      </c>
      <c r="F4278" t="n">
        <v>25.66442489624023</v>
      </c>
      <c r="G4278" t="n">
        <v>85.71240234375</v>
      </c>
      <c r="H4278">
        <f>AVERAGE(D4079:D4278)</f>
        <v/>
      </c>
      <c r="I4278">
        <f>AVERAGE(E4079:E4278)</f>
        <v/>
      </c>
      <c r="J4278">
        <f>AVERAGE(F4079:F4278)</f>
        <v/>
      </c>
    </row>
    <row r="4279">
      <c r="C4279" s="539" t="n">
        <v>45659</v>
      </c>
      <c r="D4279" t="n">
        <v>245.4199981689453</v>
      </c>
      <c r="E4279" t="n">
        <v>76.93000030517578</v>
      </c>
      <c r="F4279" t="n">
        <v>25.69338035583496</v>
      </c>
      <c r="G4279" t="n">
        <v>85.73114776611328</v>
      </c>
      <c r="H4279">
        <f>AVERAGE(D4080:D4279)</f>
        <v/>
      </c>
      <c r="I4279">
        <f>AVERAGE(E4080:E4279)</f>
        <v/>
      </c>
      <c r="J4279">
        <f>AVERAGE(F4080:F4279)</f>
        <v/>
      </c>
    </row>
    <row r="4280">
      <c r="C4280" s="539" t="n">
        <v>45660</v>
      </c>
      <c r="D4280" t="n">
        <v>243.4900054931641</v>
      </c>
      <c r="E4280" t="n">
        <v>77.91999816894531</v>
      </c>
      <c r="F4280" t="n">
        <v>25.56790542602539</v>
      </c>
      <c r="G4280" t="n">
        <v>85.74053192138672</v>
      </c>
      <c r="H4280">
        <f>AVERAGE(D4081:D4280)</f>
        <v/>
      </c>
      <c r="I4280">
        <f>AVERAGE(E4081:E4280)</f>
        <v/>
      </c>
      <c r="J4280">
        <f>AVERAGE(F4081:F4280)</f>
        <v/>
      </c>
    </row>
    <row r="4281">
      <c r="C4281" s="539" t="n">
        <v>45663</v>
      </c>
      <c r="D4281" t="n">
        <v>243.1900024414062</v>
      </c>
      <c r="E4281" t="n">
        <v>77.30000305175781</v>
      </c>
      <c r="F4281" t="n">
        <v>25.50999450683594</v>
      </c>
      <c r="G4281" t="n">
        <v>85.74989318847656</v>
      </c>
      <c r="H4281">
        <f>AVERAGE(D4082:D4281)</f>
        <v/>
      </c>
      <c r="I4281">
        <f>AVERAGE(E4082:E4281)</f>
        <v/>
      </c>
      <c r="J4281">
        <f>AVERAGE(F4082:F4281)</f>
        <v/>
      </c>
    </row>
    <row r="4282">
      <c r="C4282" s="539" t="n">
        <v>45664</v>
      </c>
      <c r="D4282" t="n">
        <v>244.5599975585938</v>
      </c>
      <c r="E4282" t="n">
        <v>78.16999816894531</v>
      </c>
      <c r="F4282" t="n">
        <v>25.57755661010742</v>
      </c>
      <c r="G4282" t="n">
        <v>85.76864624023438</v>
      </c>
      <c r="H4282">
        <f>AVERAGE(D4083:D4282)</f>
        <v/>
      </c>
      <c r="I4282">
        <f>AVERAGE(E4083:E4282)</f>
        <v/>
      </c>
      <c r="J4282">
        <f>AVERAGE(F4083:F4282)</f>
        <v/>
      </c>
    </row>
    <row r="4283">
      <c r="C4283" s="539" t="n">
        <v>45665</v>
      </c>
      <c r="D4283" t="n">
        <v>245.8600006103516</v>
      </c>
      <c r="E4283" t="n">
        <v>77.30000305175781</v>
      </c>
      <c r="F4283" t="n">
        <v>25.44243049621582</v>
      </c>
      <c r="G4283" t="n">
        <v>85.78739929199219</v>
      </c>
      <c r="H4283">
        <f>AVERAGE(D4084:D4283)</f>
        <v/>
      </c>
      <c r="I4283">
        <f>AVERAGE(E4084:E4283)</f>
        <v/>
      </c>
      <c r="J4283">
        <f>AVERAGE(F4084:F4283)</f>
        <v/>
      </c>
    </row>
    <row r="4284">
      <c r="C4284" s="539" t="n">
        <v>45667</v>
      </c>
      <c r="D4284" t="n">
        <v>248.2100067138672</v>
      </c>
      <c r="E4284" t="n">
        <v>80.63999938964844</v>
      </c>
      <c r="F4284" t="n">
        <v>25.52929878234863</v>
      </c>
      <c r="G4284" t="n">
        <v>85.81553649902344</v>
      </c>
      <c r="H4284">
        <f>AVERAGE(D4085:D4284)</f>
        <v/>
      </c>
      <c r="I4284">
        <f>AVERAGE(E4085:E4284)</f>
        <v/>
      </c>
      <c r="J4284">
        <f>AVERAGE(F4085:F4284)</f>
        <v/>
      </c>
    </row>
    <row r="4285">
      <c r="C4285" s="539" t="n">
        <v>45670</v>
      </c>
      <c r="D4285" t="n">
        <v>245.7400054931641</v>
      </c>
      <c r="E4285" t="n">
        <v>82.23000335693359</v>
      </c>
      <c r="F4285" t="n">
        <v>25.81885528564453</v>
      </c>
      <c r="G4285" t="n">
        <v>85.82488250732422</v>
      </c>
      <c r="H4285">
        <f>AVERAGE(D4086:D4285)</f>
        <v/>
      </c>
      <c r="I4285">
        <f>AVERAGE(E4086:E4285)</f>
        <v/>
      </c>
      <c r="J4285">
        <f>AVERAGE(F4086:F4285)</f>
        <v/>
      </c>
    </row>
    <row r="4286">
      <c r="C4286" s="539" t="n">
        <v>45671</v>
      </c>
      <c r="D4286" t="n">
        <v>247.0299987792969</v>
      </c>
      <c r="E4286" t="n">
        <v>81.66999816894531</v>
      </c>
      <c r="F4286" t="n">
        <v>25.73198699951172</v>
      </c>
      <c r="G4286" t="n">
        <v>85.84363555908203</v>
      </c>
      <c r="H4286">
        <f>AVERAGE(D4087:D4286)</f>
        <v/>
      </c>
      <c r="I4286">
        <f>AVERAGE(E4087:E4286)</f>
        <v/>
      </c>
      <c r="J4286">
        <f>AVERAGE(F4087:F4286)</f>
        <v/>
      </c>
    </row>
    <row r="4287">
      <c r="C4287" s="539" t="n">
        <v>45672</v>
      </c>
      <c r="D4287" t="n">
        <v>248.8800048828125</v>
      </c>
      <c r="E4287" t="n">
        <v>84.33999633789062</v>
      </c>
      <c r="F4287" t="n">
        <v>25.79955101013184</v>
      </c>
      <c r="G4287" t="n">
        <v>85.85301971435547</v>
      </c>
      <c r="H4287">
        <f>AVERAGE(D4088:D4287)</f>
        <v/>
      </c>
      <c r="I4287">
        <f>AVERAGE(E4088:E4287)</f>
        <v/>
      </c>
      <c r="J4287">
        <f>AVERAGE(F4088:F4287)</f>
        <v/>
      </c>
    </row>
    <row r="4288">
      <c r="C4288" s="539" t="n">
        <v>45673</v>
      </c>
      <c r="D4288" t="n">
        <v>250.6000061035156</v>
      </c>
      <c r="E4288" t="n">
        <v>82.94000244140625</v>
      </c>
      <c r="F4288" t="n">
        <v>25.42312622070312</v>
      </c>
      <c r="G4288" t="n">
        <v>85.85301971435547</v>
      </c>
      <c r="H4288">
        <f>AVERAGE(D4089:D4288)</f>
        <v/>
      </c>
      <c r="I4288">
        <f>AVERAGE(E4089:E4288)</f>
        <v/>
      </c>
      <c r="J4288">
        <f>AVERAGE(F4089:F4288)</f>
        <v/>
      </c>
    </row>
    <row r="4289">
      <c r="C4289" s="539" t="n">
        <v>45674</v>
      </c>
      <c r="D4289" t="n">
        <v>249.2700042724609</v>
      </c>
      <c r="E4289" t="n">
        <v>82.51999664306641</v>
      </c>
      <c r="F4289" t="n">
        <v>25.67407608032227</v>
      </c>
      <c r="G4289" t="n">
        <v>85.89988708496094</v>
      </c>
      <c r="H4289">
        <f>AVERAGE(D4090:D4289)</f>
        <v/>
      </c>
      <c r="I4289">
        <f>AVERAGE(E4090:E4289)</f>
        <v/>
      </c>
      <c r="J4289">
        <f>AVERAGE(F4090:F4289)</f>
        <v/>
      </c>
    </row>
    <row r="4290">
      <c r="C4290" s="539" t="n">
        <v>45678</v>
      </c>
      <c r="D4290" t="n">
        <v>253.1300048828125</v>
      </c>
      <c r="E4290" t="n">
        <v>81.11000061035156</v>
      </c>
      <c r="F4290" t="n">
        <v>25.98293685913086</v>
      </c>
      <c r="G4290" t="n">
        <v>85.89988708496094</v>
      </c>
      <c r="H4290">
        <f>AVERAGE(D4091:D4290)</f>
        <v/>
      </c>
      <c r="I4290">
        <f>AVERAGE(E4091:E4290)</f>
        <v/>
      </c>
      <c r="J4290">
        <f>AVERAGE(F4091:F4290)</f>
        <v/>
      </c>
    </row>
    <row r="4291">
      <c r="C4291" s="539" t="n">
        <v>45679</v>
      </c>
      <c r="D4291" t="n">
        <v>254.4299926757812</v>
      </c>
      <c r="E4291" t="n">
        <v>80.43000030517578</v>
      </c>
      <c r="F4291" t="n">
        <v>26.27249336242676</v>
      </c>
      <c r="G4291" t="n">
        <v>85.91864013671875</v>
      </c>
      <c r="H4291">
        <f>AVERAGE(D4092:D4291)</f>
        <v/>
      </c>
      <c r="I4291">
        <f>AVERAGE(E4092:E4291)</f>
        <v/>
      </c>
      <c r="J4291">
        <f>AVERAGE(F4092:F4291)</f>
        <v/>
      </c>
    </row>
    <row r="4292">
      <c r="C4292" s="539" t="n">
        <v>45680</v>
      </c>
      <c r="D4292" t="n">
        <v>254.0700073242188</v>
      </c>
      <c r="E4292" t="n">
        <v>79.20999908447266</v>
      </c>
      <c r="F4292" t="n">
        <v>26.31110191345215</v>
      </c>
      <c r="G4292" t="n">
        <v>85.91864013671875</v>
      </c>
      <c r="H4292">
        <f>AVERAGE(D4093:D4292)</f>
        <v/>
      </c>
      <c r="I4292">
        <f>AVERAGE(E4093:E4292)</f>
        <v/>
      </c>
      <c r="J4292">
        <f>AVERAGE(F4093:F4292)</f>
        <v/>
      </c>
    </row>
    <row r="4293">
      <c r="C4293" s="539" t="n">
        <v>45681</v>
      </c>
      <c r="D4293" t="n">
        <v>255.6499938964844</v>
      </c>
      <c r="E4293" t="n">
        <v>79.59999847412109</v>
      </c>
      <c r="F4293" t="n">
        <v>26.40762138366699</v>
      </c>
      <c r="G4293" t="n">
        <v>85.95615386962891</v>
      </c>
      <c r="H4293">
        <f>AVERAGE(D4094:D4293)</f>
        <v/>
      </c>
      <c r="I4293">
        <f>AVERAGE(E4094:E4293)</f>
        <v/>
      </c>
      <c r="J4293">
        <f>AVERAGE(F4094:F4293)</f>
        <v/>
      </c>
    </row>
    <row r="4294">
      <c r="C4294" s="539" t="n">
        <v>45684</v>
      </c>
      <c r="D4294" t="n">
        <v>252.9900054931641</v>
      </c>
      <c r="E4294" t="n">
        <v>77.93000030517578</v>
      </c>
      <c r="F4294" t="n">
        <v>26.3690128326416</v>
      </c>
      <c r="G4294" t="n">
        <v>85.96551513671875</v>
      </c>
      <c r="H4294">
        <f>AVERAGE(D4095:D4294)</f>
        <v/>
      </c>
      <c r="I4294">
        <f>AVERAGE(E4095:E4294)</f>
        <v/>
      </c>
      <c r="J4294">
        <f>AVERAGE(F4095:F4294)</f>
        <v/>
      </c>
    </row>
    <row r="4295">
      <c r="C4295" s="539" t="n">
        <v>45685</v>
      </c>
      <c r="D4295" t="n">
        <v>255.1799926757812</v>
      </c>
      <c r="E4295" t="n">
        <v>78.86000061035156</v>
      </c>
      <c r="F4295" t="n">
        <v>26.60065841674805</v>
      </c>
      <c r="G4295" t="n">
        <v>85.96551513671875</v>
      </c>
      <c r="H4295">
        <f>AVERAGE(D4096:D4295)</f>
        <v/>
      </c>
      <c r="I4295">
        <f>AVERAGE(E4096:E4295)</f>
        <v/>
      </c>
      <c r="J4295">
        <f>AVERAGE(F4096:F4295)</f>
        <v/>
      </c>
    </row>
    <row r="4296">
      <c r="C4296" s="539" t="n">
        <v>45686</v>
      </c>
      <c r="D4296" t="n">
        <v>254.1999969482422</v>
      </c>
      <c r="E4296" t="n">
        <v>77.77999877929688</v>
      </c>
      <c r="F4296" t="n">
        <v>26.94812774658203</v>
      </c>
      <c r="G4296" t="n">
        <v>85.97488403320312</v>
      </c>
      <c r="H4296">
        <f>AVERAGE(D4097:D4296)</f>
        <v/>
      </c>
      <c r="I4296">
        <f>AVERAGE(E4097:E4296)</f>
        <v/>
      </c>
      <c r="J4296">
        <f>AVERAGE(F4097:F4296)</f>
        <v/>
      </c>
    </row>
    <row r="4297">
      <c r="C4297" s="539" t="n">
        <v>45687</v>
      </c>
      <c r="D4297" t="n">
        <v>258.0499877929688</v>
      </c>
      <c r="E4297" t="n">
        <v>77.75</v>
      </c>
      <c r="F4297" t="n">
        <v>26.75508880615234</v>
      </c>
      <c r="G4297" t="n">
        <v>85.9842529296875</v>
      </c>
      <c r="H4297">
        <f>AVERAGE(D4098:D4297)</f>
        <v/>
      </c>
      <c r="I4297">
        <f>AVERAGE(E4098:E4297)</f>
        <v/>
      </c>
      <c r="J4297">
        <f>AVERAGE(F4098:F4297)</f>
        <v/>
      </c>
    </row>
    <row r="4298">
      <c r="C4298" s="539" t="n">
        <v>45688</v>
      </c>
      <c r="D4298" t="n">
        <v>258.5599975585938</v>
      </c>
      <c r="E4298" t="n">
        <v>78.01999664306641</v>
      </c>
      <c r="F4298" t="n">
        <v>26.63926696777344</v>
      </c>
      <c r="G4298" t="n">
        <v>86.01237487792969</v>
      </c>
      <c r="H4298">
        <f>AVERAGE(D4099:D4298)</f>
        <v/>
      </c>
      <c r="I4298">
        <f>AVERAGE(E4099:E4298)</f>
        <v/>
      </c>
      <c r="J4298">
        <f>AVERAGE(F4099:F4298)</f>
        <v/>
      </c>
    </row>
    <row r="4299">
      <c r="C4299" s="539" t="n">
        <v>45691</v>
      </c>
      <c r="D4299" t="n">
        <v>259.9400024414062</v>
      </c>
      <c r="E4299" t="n">
        <v>77.81999969482422</v>
      </c>
      <c r="F4299" t="n">
        <v>26.6778736114502</v>
      </c>
      <c r="G4299" t="n">
        <v>86.03684997558594</v>
      </c>
      <c r="H4299">
        <f>AVERAGE(D4100:D4299)</f>
        <v/>
      </c>
      <c r="I4299">
        <f>AVERAGE(E4100:E4299)</f>
        <v/>
      </c>
      <c r="J4299">
        <f>AVERAGE(F4100:F4299)</f>
        <v/>
      </c>
    </row>
    <row r="4300">
      <c r="C4300" s="539" t="n">
        <v>45692</v>
      </c>
      <c r="D4300" t="n">
        <v>262.5</v>
      </c>
      <c r="E4300" t="n">
        <v>77.51000213623047</v>
      </c>
      <c r="F4300" t="n">
        <v>26.76474189758301</v>
      </c>
      <c r="G4300" t="n">
        <v>86.03684997558594</v>
      </c>
      <c r="H4300">
        <f>AVERAGE(D4101:D4300)</f>
        <v/>
      </c>
      <c r="I4300">
        <f>AVERAGE(E4101:E4300)</f>
        <v/>
      </c>
      <c r="J4300">
        <f>AVERAGE(F4101:F4300)</f>
        <v/>
      </c>
    </row>
    <row r="4301">
      <c r="C4301" s="539" t="n">
        <v>45693</v>
      </c>
      <c r="D4301" t="n">
        <v>264.1300048828125</v>
      </c>
      <c r="E4301" t="n">
        <v>76.08999633789062</v>
      </c>
      <c r="F4301" t="n">
        <v>26.89986991882324</v>
      </c>
      <c r="G4301" t="n">
        <v>86.0462646484375</v>
      </c>
      <c r="H4301">
        <f>AVERAGE(D4102:D4301)</f>
        <v/>
      </c>
      <c r="I4301">
        <f>AVERAGE(E4102:E4301)</f>
        <v/>
      </c>
      <c r="J4301">
        <f>AVERAGE(F4102:F4301)</f>
        <v/>
      </c>
    </row>
    <row r="4302">
      <c r="C4302" s="539" t="n">
        <v>45694</v>
      </c>
      <c r="D4302" t="n">
        <v>263.4299926757812</v>
      </c>
      <c r="E4302" t="n">
        <v>75.44999694824219</v>
      </c>
      <c r="F4302" t="n">
        <v>26.71648216247559</v>
      </c>
      <c r="G4302" t="n">
        <v>86.06507873535156</v>
      </c>
      <c r="H4302">
        <f>AVERAGE(D4103:D4302)</f>
        <v/>
      </c>
      <c r="I4302">
        <f>AVERAGE(E4103:E4302)</f>
        <v/>
      </c>
      <c r="J4302">
        <f>AVERAGE(F4103:F4302)</f>
        <v/>
      </c>
    </row>
    <row r="4303">
      <c r="C4303" s="539" t="n">
        <v>45695</v>
      </c>
      <c r="D4303" t="n">
        <v>263.8999938964844</v>
      </c>
      <c r="E4303" t="n">
        <v>75.86000061035156</v>
      </c>
      <c r="F4303" t="n">
        <v>26.61031150817871</v>
      </c>
      <c r="G4303" t="n">
        <v>86.08388519287109</v>
      </c>
      <c r="H4303">
        <f>AVERAGE(D4104:D4303)</f>
        <v/>
      </c>
      <c r="I4303">
        <f>AVERAGE(E4104:E4303)</f>
        <v/>
      </c>
      <c r="J4303">
        <f>AVERAGE(F4104:F4303)</f>
        <v/>
      </c>
    </row>
    <row r="4304">
      <c r="C4304" s="539" t="n">
        <v>45698</v>
      </c>
      <c r="D4304" t="n">
        <v>268.3699951171875</v>
      </c>
      <c r="E4304" t="n">
        <v>77.40000152587891</v>
      </c>
      <c r="F4304" t="n">
        <v>26.9191722869873</v>
      </c>
      <c r="G4304" t="n">
        <v>86.09329986572266</v>
      </c>
      <c r="H4304">
        <f>AVERAGE(D4105:D4304)</f>
        <v/>
      </c>
      <c r="I4304">
        <f>AVERAGE(E4105:E4304)</f>
        <v/>
      </c>
      <c r="J4304">
        <f>AVERAGE(F4105:F4304)</f>
        <v/>
      </c>
    </row>
    <row r="4305">
      <c r="C4305" s="539" t="n">
        <v>45699</v>
      </c>
      <c r="D4305" t="n">
        <v>267.3900146484375</v>
      </c>
      <c r="E4305" t="n">
        <v>78.26999664306641</v>
      </c>
      <c r="F4305" t="n">
        <v>26.9191722869873</v>
      </c>
      <c r="G4305" t="n">
        <v>86.10271453857422</v>
      </c>
      <c r="H4305">
        <f>AVERAGE(D4106:D4305)</f>
        <v/>
      </c>
      <c r="I4305">
        <f>AVERAGE(E4106:E4305)</f>
        <v/>
      </c>
      <c r="J4305">
        <f>AVERAGE(F4106:F4305)</f>
        <v/>
      </c>
    </row>
    <row r="4306">
      <c r="C4306" s="539" t="n">
        <v>45700</v>
      </c>
      <c r="D4306" t="n">
        <v>267.6700134277344</v>
      </c>
      <c r="E4306" t="n">
        <v>76.31999969482422</v>
      </c>
      <c r="F4306" t="n">
        <v>26.99638748168945</v>
      </c>
      <c r="G4306" t="n">
        <v>86.11212158203125</v>
      </c>
      <c r="H4306">
        <f>AVERAGE(D4107:D4306)</f>
        <v/>
      </c>
      <c r="I4306">
        <f>AVERAGE(E4107:E4306)</f>
        <v/>
      </c>
      <c r="J4306">
        <f>AVERAGE(F4107:F4306)</f>
        <v/>
      </c>
    </row>
    <row r="4307">
      <c r="C4307" s="539" t="n">
        <v>45701</v>
      </c>
      <c r="D4307" t="n">
        <v>270.3099975585938</v>
      </c>
      <c r="E4307" t="n">
        <v>76.38999938964844</v>
      </c>
      <c r="F4307" t="n">
        <v>27.20873069763184</v>
      </c>
      <c r="G4307" t="n">
        <v>86.13092041015625</v>
      </c>
      <c r="H4307">
        <f>AVERAGE(D4108:D4307)</f>
        <v/>
      </c>
      <c r="I4307">
        <f>AVERAGE(E4108:E4307)</f>
        <v/>
      </c>
      <c r="J4307">
        <f>AVERAGE(F4108:F4307)</f>
        <v/>
      </c>
    </row>
    <row r="4308">
      <c r="C4308" s="539" t="n">
        <v>45702</v>
      </c>
      <c r="D4308" t="n">
        <v>266.2900085449219</v>
      </c>
      <c r="E4308" t="n">
        <v>75.81999969482422</v>
      </c>
      <c r="F4308" t="n">
        <v>27.18942642211914</v>
      </c>
      <c r="G4308" t="n">
        <v>86.15915679931641</v>
      </c>
      <c r="H4308">
        <f>AVERAGE(D4109:D4308)</f>
        <v/>
      </c>
      <c r="I4308">
        <f>AVERAGE(E4109:E4308)</f>
        <v/>
      </c>
      <c r="J4308">
        <f>AVERAGE(F4109:F4308)</f>
        <v/>
      </c>
    </row>
    <row r="4309">
      <c r="C4309" s="539" t="n">
        <v>45706</v>
      </c>
      <c r="D4309" t="n">
        <v>270.7000122070312</v>
      </c>
      <c r="E4309" t="n">
        <v>76.95999908447266</v>
      </c>
      <c r="F4309" t="n">
        <v>27.39211463928223</v>
      </c>
      <c r="G4309" t="n">
        <v>86.17796325683594</v>
      </c>
      <c r="H4309">
        <f>AVERAGE(D4110:D4309)</f>
        <v/>
      </c>
      <c r="I4309">
        <f>AVERAGE(E4110:E4309)</f>
        <v/>
      </c>
      <c r="J4309">
        <f>AVERAGE(F4110:F4309)</f>
        <v/>
      </c>
    </row>
    <row r="4310">
      <c r="C4310" s="539" t="n">
        <v>45707</v>
      </c>
      <c r="D4310" t="n">
        <v>270.8500061035156</v>
      </c>
      <c r="E4310" t="n">
        <v>77.44999694824219</v>
      </c>
      <c r="F4310" t="n">
        <v>27.23768424987793</v>
      </c>
      <c r="G4310" t="n">
        <v>86.18736267089844</v>
      </c>
      <c r="H4310">
        <f>AVERAGE(D4111:D4310)</f>
        <v/>
      </c>
      <c r="I4310">
        <f>AVERAGE(E4111:E4310)</f>
        <v/>
      </c>
      <c r="J4310">
        <f>AVERAGE(F4111:F4310)</f>
        <v/>
      </c>
    </row>
    <row r="4311">
      <c r="C4311" s="539" t="n">
        <v>45708</v>
      </c>
      <c r="D4311" t="n">
        <v>270.989990234375</v>
      </c>
      <c r="E4311" t="n">
        <v>77.76000213623047</v>
      </c>
      <c r="F4311" t="n">
        <v>26.94812774658203</v>
      </c>
      <c r="G4311" t="n">
        <v>86.20619201660156</v>
      </c>
      <c r="H4311">
        <f>AVERAGE(D4112:D4311)</f>
        <v/>
      </c>
      <c r="I4311">
        <f>AVERAGE(E4112:E4311)</f>
        <v/>
      </c>
      <c r="J4311">
        <f>AVERAGE(F4112:F4311)</f>
        <v/>
      </c>
    </row>
    <row r="4312">
      <c r="C4312" s="539" t="n">
        <v>45709</v>
      </c>
      <c r="D4312" t="n">
        <v>270.739990234375</v>
      </c>
      <c r="E4312" t="n">
        <v>75.34999847412109</v>
      </c>
      <c r="F4312" t="n">
        <v>26.59100723266602</v>
      </c>
      <c r="G4312" t="n">
        <v>86.23442077636719</v>
      </c>
      <c r="H4312">
        <f>AVERAGE(D4113:D4312)</f>
        <v/>
      </c>
      <c r="I4312">
        <f>AVERAGE(E4113:E4312)</f>
        <v/>
      </c>
      <c r="J4312">
        <f>AVERAGE(F4113:F4312)</f>
        <v/>
      </c>
    </row>
    <row r="4313">
      <c r="C4313" s="539" t="n">
        <v>45712</v>
      </c>
      <c r="D4313" t="n">
        <v>272.2099914550781</v>
      </c>
      <c r="E4313" t="n">
        <v>75.97000122070312</v>
      </c>
      <c r="F4313" t="n">
        <v>26.08910942077637</v>
      </c>
      <c r="G4313" t="n">
        <v>86.24381256103516</v>
      </c>
      <c r="H4313">
        <f>AVERAGE(D4114:D4313)</f>
        <v/>
      </c>
      <c r="I4313">
        <f>AVERAGE(E4114:E4313)</f>
        <v/>
      </c>
      <c r="J4313">
        <f>AVERAGE(F4114:F4313)</f>
        <v/>
      </c>
    </row>
    <row r="4314">
      <c r="C4314" s="539" t="n">
        <v>45713</v>
      </c>
      <c r="D4314" t="n">
        <v>268.6199951171875</v>
      </c>
      <c r="E4314" t="n">
        <v>74.12999725341797</v>
      </c>
      <c r="F4314" t="n">
        <v>26.11806297302246</v>
      </c>
      <c r="G4314" t="n">
        <v>86.24381256103516</v>
      </c>
      <c r="H4314">
        <f>AVERAGE(D4115:D4314)</f>
        <v/>
      </c>
      <c r="I4314">
        <f>AVERAGE(E4115:E4314)</f>
        <v/>
      </c>
      <c r="J4314">
        <f>AVERAGE(F4115:F4314)</f>
        <v/>
      </c>
    </row>
    <row r="4315">
      <c r="C4315" s="539" t="n">
        <v>45714</v>
      </c>
      <c r="D4315" t="n">
        <v>269.0299987792969</v>
      </c>
      <c r="E4315" t="n">
        <v>73.84999847412109</v>
      </c>
      <c r="F4315" t="n">
        <v>26.17597579956055</v>
      </c>
      <c r="G4315" t="n">
        <v>86.26265716552734</v>
      </c>
      <c r="H4315">
        <f>AVERAGE(D4116:D4315)</f>
        <v/>
      </c>
      <c r="I4315">
        <f>AVERAGE(E4116:E4315)</f>
        <v/>
      </c>
      <c r="J4315">
        <f>AVERAGE(F4116:F4315)</f>
        <v/>
      </c>
    </row>
    <row r="4316">
      <c r="C4316" s="539" t="n">
        <v>45715</v>
      </c>
      <c r="D4316" t="n">
        <v>264.9299926757812</v>
      </c>
      <c r="E4316" t="n">
        <v>75.27999877929688</v>
      </c>
      <c r="F4316" t="n">
        <v>25.87676620483398</v>
      </c>
      <c r="G4316" t="n">
        <v>86.27205657958984</v>
      </c>
      <c r="H4316">
        <f>AVERAGE(D4117:D4316)</f>
        <v/>
      </c>
      <c r="I4316">
        <f>AVERAGE(E4117:E4316)</f>
        <v/>
      </c>
      <c r="J4316">
        <f>AVERAGE(F4117:F4316)</f>
        <v/>
      </c>
    </row>
    <row r="4317">
      <c r="C4317" s="539" t="n">
        <v>45716</v>
      </c>
      <c r="D4317" t="n">
        <v>263.2699890136719</v>
      </c>
      <c r="E4317" t="n">
        <v>75.22000122070312</v>
      </c>
      <c r="F4317" t="n">
        <v>25.56790542602539</v>
      </c>
      <c r="G4317" t="n">
        <v>86.29085540771484</v>
      </c>
      <c r="H4317">
        <f>AVERAGE(D4118:D4317)</f>
        <v/>
      </c>
      <c r="I4317">
        <f>AVERAGE(E4118:E4317)</f>
        <v/>
      </c>
      <c r="J4317">
        <f>AVERAGE(F4118:F4317)</f>
        <v/>
      </c>
    </row>
    <row r="4318">
      <c r="C4318" s="539" t="n">
        <v>45719</v>
      </c>
      <c r="D4318" t="n">
        <v>266.739990234375</v>
      </c>
      <c r="E4318" t="n">
        <v>73.31999969482422</v>
      </c>
      <c r="F4318" t="n">
        <v>25.14322090148926</v>
      </c>
      <c r="G4318" t="n">
        <v>86.30879211425781</v>
      </c>
      <c r="H4318">
        <f>AVERAGE(D4119:D4318)</f>
        <v/>
      </c>
      <c r="I4318">
        <f>AVERAGE(E4119:E4318)</f>
        <v/>
      </c>
      <c r="J4318">
        <f>AVERAGE(F4119:F4318)</f>
        <v/>
      </c>
    </row>
    <row r="4319">
      <c r="C4319" s="539" t="n">
        <v>45720</v>
      </c>
      <c r="D4319" t="n">
        <v>269.0599975585938</v>
      </c>
      <c r="E4319" t="n">
        <v>73.30999755859375</v>
      </c>
      <c r="F4319" t="n">
        <v>25.27834892272949</v>
      </c>
      <c r="G4319" t="n">
        <v>86.30879211425781</v>
      </c>
      <c r="H4319">
        <f>AVERAGE(D4120:D4319)</f>
        <v/>
      </c>
      <c r="I4319">
        <f>AVERAGE(E4120:E4319)</f>
        <v/>
      </c>
      <c r="J4319">
        <f>AVERAGE(F4120:F4319)</f>
        <v/>
      </c>
    </row>
    <row r="4320">
      <c r="C4320" s="539" t="n">
        <v>45721</v>
      </c>
      <c r="D4320" t="n">
        <v>269.6199951171875</v>
      </c>
      <c r="E4320" t="n">
        <v>71.41999816894531</v>
      </c>
      <c r="F4320" t="n">
        <v>25.47138595581055</v>
      </c>
      <c r="G4320" t="n">
        <v>86.31822967529297</v>
      </c>
      <c r="H4320">
        <f>AVERAGE(D4121:D4320)</f>
        <v/>
      </c>
      <c r="I4320">
        <f>AVERAGE(E4121:E4320)</f>
        <v/>
      </c>
      <c r="J4320">
        <f>AVERAGE(F4121:F4320)</f>
        <v/>
      </c>
    </row>
    <row r="4321">
      <c r="C4321" s="539" t="n">
        <v>45722</v>
      </c>
      <c r="D4321" t="n">
        <v>268.25</v>
      </c>
      <c r="E4321" t="n">
        <v>71.12999725341797</v>
      </c>
      <c r="F4321" t="n">
        <v>25.37486839294434</v>
      </c>
      <c r="G4321" t="n">
        <v>86.32767486572266</v>
      </c>
      <c r="H4321">
        <f>AVERAGE(D4122:D4321)</f>
        <v/>
      </c>
      <c r="I4321">
        <f>AVERAGE(E4122:E4321)</f>
        <v/>
      </c>
      <c r="J4321">
        <f>AVERAGE(F4122:F4321)</f>
        <v/>
      </c>
    </row>
    <row r="4322">
      <c r="C4322" s="539" t="n">
        <v>45723</v>
      </c>
      <c r="D4322" t="n">
        <v>268.3900146484375</v>
      </c>
      <c r="E4322" t="n">
        <v>72.08999633789062</v>
      </c>
      <c r="F4322" t="n">
        <v>25.57755661010742</v>
      </c>
      <c r="G4322" t="n">
        <v>86.36542510986328</v>
      </c>
      <c r="H4322">
        <f>AVERAGE(D4123:D4322)</f>
        <v/>
      </c>
      <c r="I4322">
        <f>AVERAGE(E4123:E4322)</f>
        <v/>
      </c>
      <c r="J4322">
        <f>AVERAGE(F4123:F4322)</f>
        <v/>
      </c>
    </row>
    <row r="4323">
      <c r="C4323" s="539" t="n">
        <v>45726</v>
      </c>
      <c r="D4323" t="n">
        <v>266.0400085449219</v>
      </c>
      <c r="E4323" t="n">
        <v>70.88999938964844</v>
      </c>
      <c r="F4323" t="n">
        <v>25.70303153991699</v>
      </c>
      <c r="G4323" t="n">
        <v>86.3748779296875</v>
      </c>
      <c r="H4323">
        <f>AVERAGE(D4124:D4323)</f>
        <v/>
      </c>
      <c r="I4323">
        <f>AVERAGE(E4124:E4323)</f>
        <v/>
      </c>
      <c r="J4323">
        <f>AVERAGE(F4124:F4323)</f>
        <v/>
      </c>
    </row>
    <row r="4324">
      <c r="C4324" s="539" t="n">
        <v>45727</v>
      </c>
      <c r="D4324" t="n">
        <v>269.1600036621094</v>
      </c>
      <c r="E4324" t="n">
        <v>71.44999694824219</v>
      </c>
      <c r="F4324" t="n">
        <v>25.71268272399902</v>
      </c>
      <c r="G4324" t="n">
        <v>86.38430023193359</v>
      </c>
      <c r="H4324">
        <f>AVERAGE(D4125:D4324)</f>
        <v/>
      </c>
      <c r="I4324">
        <f>AVERAGE(E4125:E4324)</f>
        <v/>
      </c>
      <c r="J4324">
        <f>AVERAGE(F4125:F4324)</f>
        <v/>
      </c>
    </row>
    <row r="4325">
      <c r="C4325" s="539" t="n">
        <v>45728</v>
      </c>
      <c r="D4325" t="n">
        <v>270.3299865722656</v>
      </c>
      <c r="E4325" t="n">
        <v>72.80000305175781</v>
      </c>
      <c r="F4325" t="n">
        <v>25.65477180480957</v>
      </c>
      <c r="G4325" t="n">
        <v>86.39373779296875</v>
      </c>
      <c r="H4325">
        <f>AVERAGE(D4126:D4325)</f>
        <v/>
      </c>
      <c r="I4325">
        <f>AVERAGE(E4126:E4325)</f>
        <v/>
      </c>
      <c r="J4325">
        <f>AVERAGE(F4126:F4325)</f>
        <v/>
      </c>
    </row>
    <row r="4326">
      <c r="C4326" s="539" t="n">
        <v>45729</v>
      </c>
      <c r="D4326" t="n">
        <v>275.1300048828125</v>
      </c>
      <c r="E4326" t="n">
        <v>71.62000274658203</v>
      </c>
      <c r="F4326" t="n">
        <v>25.69338035583496</v>
      </c>
      <c r="G4326" t="n">
        <v>86.41261291503906</v>
      </c>
      <c r="H4326">
        <f>AVERAGE(D4127:D4326)</f>
        <v/>
      </c>
      <c r="I4326">
        <f>AVERAGE(E4127:E4326)</f>
        <v/>
      </c>
      <c r="J4326">
        <f>AVERAGE(F4127:F4326)</f>
        <v/>
      </c>
    </row>
    <row r="4327">
      <c r="C4327" s="539" t="n">
        <v>45730</v>
      </c>
      <c r="D4327" t="n">
        <v>275.239990234375</v>
      </c>
      <c r="E4327" t="n">
        <v>72.27999877929688</v>
      </c>
      <c r="F4327" t="n">
        <v>25.53894805908203</v>
      </c>
      <c r="G4327" t="n">
        <v>86.43148040771484</v>
      </c>
      <c r="H4327">
        <f>AVERAGE(D4128:D4327)</f>
        <v/>
      </c>
      <c r="I4327">
        <f>AVERAGE(E4128:E4327)</f>
        <v/>
      </c>
      <c r="J4327">
        <f>AVERAGE(F4128:F4327)</f>
        <v/>
      </c>
    </row>
    <row r="4328">
      <c r="C4328" s="539" t="n">
        <v>45733</v>
      </c>
      <c r="D4328" t="n">
        <v>276.7300109863281</v>
      </c>
      <c r="E4328" t="n">
        <v>72.70999908447266</v>
      </c>
      <c r="F4328" t="n">
        <v>25.92502593994141</v>
      </c>
      <c r="G4328" t="n">
        <v>86.45036315917969</v>
      </c>
      <c r="H4328">
        <f>AVERAGE(D4129:D4328)</f>
        <v/>
      </c>
      <c r="I4328">
        <f>AVERAGE(E4129:E4328)</f>
        <v/>
      </c>
      <c r="J4328">
        <f>AVERAGE(F4129:F4328)</f>
        <v/>
      </c>
    </row>
    <row r="4329">
      <c r="C4329" s="539" t="n">
        <v>45734</v>
      </c>
      <c r="D4329" t="n">
        <v>279.9599914550781</v>
      </c>
      <c r="E4329" t="n">
        <v>72.20999908447266</v>
      </c>
      <c r="F4329" t="n">
        <v>25.92502593994141</v>
      </c>
      <c r="G4329" t="n">
        <v>86.45036315917969</v>
      </c>
      <c r="H4329">
        <f>AVERAGE(D4130:D4329)</f>
        <v/>
      </c>
      <c r="I4329">
        <f>AVERAGE(E4130:E4329)</f>
        <v/>
      </c>
      <c r="J4329">
        <f>AVERAGE(F4130:F4329)</f>
        <v/>
      </c>
    </row>
    <row r="4330">
      <c r="C4330" s="539" t="n">
        <v>45735</v>
      </c>
      <c r="D4330" t="n">
        <v>281.1099853515625</v>
      </c>
      <c r="E4330" t="n">
        <v>72.41999816894531</v>
      </c>
      <c r="F4330" t="n">
        <v>25.91537475585938</v>
      </c>
      <c r="G4330" t="n">
        <v>86.45977783203125</v>
      </c>
      <c r="H4330">
        <f>AVERAGE(D4131:D4330)</f>
        <v/>
      </c>
      <c r="I4330">
        <f>AVERAGE(E4131:E4330)</f>
        <v/>
      </c>
      <c r="J4330">
        <f>AVERAGE(F4131:F4330)</f>
        <v/>
      </c>
    </row>
    <row r="4331">
      <c r="C4331" s="539" t="n">
        <v>45736</v>
      </c>
      <c r="D4331" t="n">
        <v>280.75</v>
      </c>
      <c r="E4331" t="n">
        <v>73.73000335693359</v>
      </c>
      <c r="F4331" t="n">
        <v>25.96363258361816</v>
      </c>
      <c r="G4331" t="n">
        <v>86.47867584228516</v>
      </c>
      <c r="H4331">
        <f>AVERAGE(D4132:D4331)</f>
        <v/>
      </c>
      <c r="I4331">
        <f>AVERAGE(E4132:E4331)</f>
        <v/>
      </c>
      <c r="J4331">
        <f>AVERAGE(F4132:F4331)</f>
        <v/>
      </c>
    </row>
    <row r="4332">
      <c r="C4332" s="539" t="n">
        <v>45737</v>
      </c>
      <c r="D4332" t="n">
        <v>278.489990234375</v>
      </c>
      <c r="E4332" t="n">
        <v>73.79000091552734</v>
      </c>
      <c r="F4332" t="n">
        <v>25.80920219421387</v>
      </c>
      <c r="G4332" t="n">
        <v>86.50699615478516</v>
      </c>
      <c r="H4332">
        <f>AVERAGE(D4133:D4332)</f>
        <v/>
      </c>
      <c r="I4332">
        <f>AVERAGE(E4133:E4332)</f>
        <v/>
      </c>
      <c r="J4332">
        <f>AVERAGE(F4133:F4332)</f>
        <v/>
      </c>
    </row>
    <row r="4333">
      <c r="C4333" s="539" t="n">
        <v>45740</v>
      </c>
      <c r="D4333" t="n">
        <v>277.25</v>
      </c>
      <c r="E4333" t="n">
        <v>74.87999725341797</v>
      </c>
      <c r="F4333" t="n">
        <v>25.75129127502441</v>
      </c>
      <c r="G4333" t="n">
        <v>86.50699615478516</v>
      </c>
      <c r="H4333">
        <f>AVERAGE(D4134:D4333)</f>
        <v/>
      </c>
      <c r="I4333">
        <f>AVERAGE(E4134:E4333)</f>
        <v/>
      </c>
      <c r="J4333">
        <f>AVERAGE(F4134:F4333)</f>
        <v/>
      </c>
    </row>
    <row r="4334">
      <c r="C4334" s="539" t="n">
        <v>45741</v>
      </c>
      <c r="D4334" t="n">
        <v>278.4700012207031</v>
      </c>
      <c r="E4334" t="n">
        <v>74.81999969482422</v>
      </c>
      <c r="F4334" t="n">
        <v>25.83815956115723</v>
      </c>
      <c r="G4334" t="n">
        <v>86.51641082763672</v>
      </c>
      <c r="H4334">
        <f>AVERAGE(D4135:D4334)</f>
        <v/>
      </c>
      <c r="I4334">
        <f>AVERAGE(E4135:E4334)</f>
        <v/>
      </c>
      <c r="J4334">
        <f>AVERAGE(F4135:F4334)</f>
        <v/>
      </c>
    </row>
    <row r="4335">
      <c r="C4335" s="539" t="n">
        <v>45742</v>
      </c>
      <c r="D4335" t="n">
        <v>278.239990234375</v>
      </c>
      <c r="E4335" t="n">
        <v>75.41999816894531</v>
      </c>
      <c r="F4335" t="n">
        <v>25.64512062072754</v>
      </c>
      <c r="G4335" t="n">
        <v>86.52587890625</v>
      </c>
      <c r="H4335">
        <f>AVERAGE(D4136:D4335)</f>
        <v/>
      </c>
      <c r="I4335">
        <f>AVERAGE(E4136:E4335)</f>
        <v/>
      </c>
      <c r="J4335">
        <f>AVERAGE(F4136:F4335)</f>
        <v/>
      </c>
    </row>
    <row r="4336">
      <c r="C4336" s="539" t="n">
        <v>45743</v>
      </c>
      <c r="D4336" t="n">
        <v>281.9700012207031</v>
      </c>
      <c r="E4336" t="n">
        <v>75.48000335693359</v>
      </c>
      <c r="F4336" t="n">
        <v>25.50999450683594</v>
      </c>
      <c r="G4336" t="n">
        <v>86.54473876953125</v>
      </c>
      <c r="H4336">
        <f>AVERAGE(D4137:D4336)</f>
        <v/>
      </c>
      <c r="I4336">
        <f>AVERAGE(E4137:E4336)</f>
        <v/>
      </c>
      <c r="J4336">
        <f>AVERAGE(F4137:F4336)</f>
        <v/>
      </c>
    </row>
    <row r="4337">
      <c r="C4337" s="539" t="n">
        <v>45744</v>
      </c>
      <c r="D4337" t="n">
        <v>284.0599975585938</v>
      </c>
      <c r="E4337" t="n">
        <v>74.76999664306641</v>
      </c>
      <c r="F4337" t="n">
        <v>25.5486011505127</v>
      </c>
      <c r="G4337" t="n">
        <v>86.57304382324219</v>
      </c>
      <c r="H4337">
        <f>AVERAGE(D4138:D4337)</f>
        <v/>
      </c>
      <c r="I4337">
        <f>AVERAGE(E4138:E4337)</f>
        <v/>
      </c>
      <c r="J4337">
        <f>AVERAGE(F4138:F4337)</f>
        <v/>
      </c>
    </row>
    <row r="4338">
      <c r="C4338" s="539" t="n">
        <v>45747</v>
      </c>
      <c r="D4338" t="n">
        <v>288.1400146484375</v>
      </c>
      <c r="E4338" t="n">
        <v>77.33000183105469</v>
      </c>
      <c r="F4338" t="n">
        <v>25.42312622070312</v>
      </c>
      <c r="G4338" t="n">
        <v>86.57304382324219</v>
      </c>
      <c r="H4338">
        <f>AVERAGE(D4139:D4338)</f>
        <v/>
      </c>
      <c r="I4338">
        <f>AVERAGE(E4139:E4338)</f>
        <v/>
      </c>
      <c r="J4338">
        <f>AVERAGE(F4139:F4338)</f>
        <v/>
      </c>
    </row>
    <row r="4339">
      <c r="C4339" s="539" t="n">
        <v>45748</v>
      </c>
      <c r="D4339" t="n">
        <v>287.5700073242188</v>
      </c>
      <c r="E4339" t="n">
        <v>77.08000183105469</v>
      </c>
      <c r="F4339" t="n">
        <v>25.99258995056152</v>
      </c>
      <c r="G4339" t="n">
        <v>86.59294128417969</v>
      </c>
      <c r="H4339">
        <f>AVERAGE(D4140:D4339)</f>
        <v/>
      </c>
      <c r="I4339">
        <f>AVERAGE(E4140:E4339)</f>
        <v/>
      </c>
      <c r="J4339">
        <f>AVERAGE(F4140:F4339)</f>
        <v/>
      </c>
    </row>
    <row r="4340">
      <c r="C4340" s="539" t="n">
        <v>45749</v>
      </c>
      <c r="D4340" t="n">
        <v>288.1600036621094</v>
      </c>
      <c r="E4340" t="n">
        <v>77.73999786376953</v>
      </c>
      <c r="F4340" t="n">
        <v>26.23388671875</v>
      </c>
      <c r="G4340" t="n">
        <v>86.60242462158203</v>
      </c>
      <c r="H4340">
        <f>AVERAGE(D4141:D4340)</f>
        <v/>
      </c>
      <c r="I4340">
        <f>AVERAGE(E4141:E4340)</f>
        <v/>
      </c>
      <c r="J4340">
        <f>AVERAGE(F4141:F4340)</f>
        <v/>
      </c>
    </row>
    <row r="4341">
      <c r="C4341" s="539" t="n">
        <v>45750</v>
      </c>
      <c r="D4341" t="n">
        <v>286.4200134277344</v>
      </c>
      <c r="E4341" t="n">
        <v>72.25</v>
      </c>
      <c r="F4341" t="n">
        <v>26.04084777832031</v>
      </c>
      <c r="G4341" t="n">
        <v>86.61187744140625</v>
      </c>
      <c r="H4341">
        <f>AVERAGE(D4142:D4341)</f>
        <v/>
      </c>
      <c r="I4341">
        <f>AVERAGE(E4142:E4341)</f>
        <v/>
      </c>
      <c r="J4341">
        <f>AVERAGE(F4142:F4341)</f>
        <v/>
      </c>
    </row>
    <row r="4342">
      <c r="C4342" s="539" t="n">
        <v>45751</v>
      </c>
      <c r="D4342" t="n">
        <v>279.7200012207031</v>
      </c>
      <c r="E4342" t="n">
        <v>67.91999816894531</v>
      </c>
      <c r="F4342" t="n">
        <v>25.23008728027344</v>
      </c>
      <c r="G4342" t="n">
        <v>86.64029693603516</v>
      </c>
      <c r="H4342">
        <f>AVERAGE(D4143:D4342)</f>
        <v/>
      </c>
      <c r="I4342">
        <f>AVERAGE(E4143:E4342)</f>
        <v/>
      </c>
      <c r="J4342">
        <f>AVERAGE(F4143:F4342)</f>
        <v/>
      </c>
    </row>
    <row r="4343">
      <c r="C4343" s="539" t="n">
        <v>45754</v>
      </c>
      <c r="D4343" t="n">
        <v>273.7099914550781</v>
      </c>
      <c r="E4343" t="n">
        <v>65.98000335693359</v>
      </c>
      <c r="F4343" t="n">
        <v>24.58341026306152</v>
      </c>
      <c r="G4343" t="n">
        <v>86.64976501464844</v>
      </c>
      <c r="H4343">
        <f>AVERAGE(D4144:D4343)</f>
        <v/>
      </c>
      <c r="I4343">
        <f>AVERAGE(E4144:E4343)</f>
        <v/>
      </c>
      <c r="J4343">
        <f>AVERAGE(F4144:F4343)</f>
        <v/>
      </c>
    </row>
    <row r="4344">
      <c r="C4344" s="539" t="n">
        <v>45755</v>
      </c>
      <c r="D4344" t="n">
        <v>275.2000122070312</v>
      </c>
      <c r="E4344" t="n">
        <v>63.34000015258789</v>
      </c>
      <c r="F4344" t="n">
        <v>24.39037322998047</v>
      </c>
      <c r="G4344" t="n">
        <v>86.668701171875</v>
      </c>
      <c r="H4344">
        <f>AVERAGE(D4145:D4344)</f>
        <v/>
      </c>
      <c r="I4344">
        <f>AVERAGE(E4145:E4344)</f>
        <v/>
      </c>
      <c r="J4344">
        <f>AVERAGE(F4145:F4344)</f>
        <v/>
      </c>
    </row>
    <row r="4345">
      <c r="C4345" s="539" t="n">
        <v>45756</v>
      </c>
      <c r="D4345" t="n">
        <v>285.3800048828125</v>
      </c>
      <c r="E4345" t="n">
        <v>67.58000183105469</v>
      </c>
      <c r="F4345" t="n">
        <v>25.11426544189453</v>
      </c>
      <c r="G4345" t="n">
        <v>86.668701171875</v>
      </c>
      <c r="H4345">
        <f>AVERAGE(D4146:D4345)</f>
        <v/>
      </c>
      <c r="I4345">
        <f>AVERAGE(E4146:E4345)</f>
        <v/>
      </c>
      <c r="J4345">
        <f>AVERAGE(F4146:F4345)</f>
        <v/>
      </c>
    </row>
    <row r="4346">
      <c r="C4346" s="539" t="n">
        <v>45757</v>
      </c>
      <c r="D4346" t="n">
        <v>292.3500061035156</v>
      </c>
      <c r="E4346" t="n">
        <v>65.31999969482422</v>
      </c>
      <c r="F4346" t="n">
        <v>24.86331558227539</v>
      </c>
      <c r="G4346" t="n">
        <v>86.67819213867188</v>
      </c>
      <c r="H4346">
        <f>AVERAGE(D4147:D4346)</f>
        <v/>
      </c>
      <c r="I4346">
        <f>AVERAGE(E4147:E4346)</f>
        <v/>
      </c>
      <c r="J4346">
        <f>AVERAGE(F4147:F4346)</f>
        <v/>
      </c>
    </row>
    <row r="4347">
      <c r="C4347" s="539" t="n">
        <v>45758</v>
      </c>
      <c r="D4347" t="n">
        <v>297.9299926757812</v>
      </c>
      <c r="E4347" t="n">
        <v>66.45999908447266</v>
      </c>
      <c r="F4347" t="n">
        <v>25.3941707611084</v>
      </c>
      <c r="G4347" t="n">
        <v>86.716064453125</v>
      </c>
      <c r="H4347">
        <f>AVERAGE(D4148:D4347)</f>
        <v/>
      </c>
      <c r="I4347">
        <f>AVERAGE(E4148:E4347)</f>
        <v/>
      </c>
      <c r="J4347">
        <f>AVERAGE(F4148:F4347)</f>
        <v/>
      </c>
    </row>
    <row r="4348">
      <c r="C4348" s="539" t="n">
        <v>45761</v>
      </c>
      <c r="D4348" t="n">
        <v>296.2300109863281</v>
      </c>
      <c r="E4348" t="n">
        <v>66.66000366210938</v>
      </c>
      <c r="F4348" t="n">
        <v>25.36521530151367</v>
      </c>
      <c r="G4348" t="n">
        <v>86.716064453125</v>
      </c>
      <c r="H4348">
        <f>AVERAGE(D4149:D4348)</f>
        <v/>
      </c>
      <c r="I4348">
        <f>AVERAGE(E4149:E4348)</f>
        <v/>
      </c>
      <c r="J4348">
        <f>AVERAGE(F4149:F4348)</f>
        <v/>
      </c>
    </row>
    <row r="4349">
      <c r="C4349" s="539" t="n">
        <v>45762</v>
      </c>
      <c r="D4349" t="n">
        <v>297.7799987792969</v>
      </c>
      <c r="E4349" t="n">
        <v>66.48000335693359</v>
      </c>
      <c r="F4349" t="n">
        <v>25.23008728027344</v>
      </c>
      <c r="G4349" t="n">
        <v>86.73500061035156</v>
      </c>
      <c r="H4349">
        <f>AVERAGE(D4150:D4349)</f>
        <v/>
      </c>
      <c r="I4349">
        <f>AVERAGE(E4150:E4349)</f>
        <v/>
      </c>
      <c r="J4349">
        <f>AVERAGE(F4150:F4349)</f>
        <v/>
      </c>
    </row>
    <row r="4350">
      <c r="C4350" s="539" t="n">
        <v>45763</v>
      </c>
      <c r="D4350" t="n">
        <v>307.4700012207031</v>
      </c>
      <c r="E4350" t="n">
        <v>67.75</v>
      </c>
      <c r="F4350" t="n">
        <v>25.59686088562012</v>
      </c>
      <c r="G4350" t="n">
        <v>86.74448394775391</v>
      </c>
      <c r="H4350">
        <f>AVERAGE(D4151:D4350)</f>
        <v/>
      </c>
      <c r="I4350">
        <f>AVERAGE(E4151:E4350)</f>
        <v/>
      </c>
      <c r="J4350">
        <f>AVERAGE(F4151:F4350)</f>
        <v/>
      </c>
    </row>
    <row r="4351">
      <c r="C4351" s="539" t="n">
        <v>45764</v>
      </c>
      <c r="D4351" t="n">
        <v>306.1199951171875</v>
      </c>
      <c r="E4351" t="n">
        <v>69.48000335693359</v>
      </c>
      <c r="F4351" t="n">
        <v>25.72233581542969</v>
      </c>
      <c r="G4351" t="n">
        <v>86.7823486328125</v>
      </c>
      <c r="H4351">
        <f>AVERAGE(D4152:D4351)</f>
        <v/>
      </c>
      <c r="I4351">
        <f>AVERAGE(E4152:E4351)</f>
        <v/>
      </c>
      <c r="J4351">
        <f>AVERAGE(F4152:F4351)</f>
        <v/>
      </c>
    </row>
    <row r="4352">
      <c r="C4352" s="539" t="n">
        <v>45768</v>
      </c>
      <c r="D4352" t="n">
        <v>315.5899963378906</v>
      </c>
      <c r="E4352" t="n">
        <v>68.62000274658203</v>
      </c>
      <c r="F4352" t="n">
        <v>25.70303153991699</v>
      </c>
      <c r="G4352" t="n">
        <v>86.79182434082031</v>
      </c>
      <c r="H4352">
        <f>AVERAGE(D4153:D4352)</f>
        <v/>
      </c>
      <c r="I4352">
        <f>AVERAGE(E4153:E4352)</f>
        <v/>
      </c>
      <c r="J4352">
        <f>AVERAGE(F4153:F4352)</f>
        <v/>
      </c>
    </row>
    <row r="4353">
      <c r="C4353" s="539" t="n">
        <v>45769</v>
      </c>
      <c r="D4353" t="n">
        <v>311.1099853515625</v>
      </c>
      <c r="E4353" t="n">
        <v>69.37000274658203</v>
      </c>
      <c r="F4353" t="n">
        <v>26.04084777832031</v>
      </c>
      <c r="G4353" t="n">
        <v>86.79182434082031</v>
      </c>
      <c r="H4353">
        <f>AVERAGE(D4154:D4353)</f>
        <v/>
      </c>
      <c r="I4353">
        <f>AVERAGE(E4154:E4353)</f>
        <v/>
      </c>
      <c r="J4353">
        <f>AVERAGE(F4154:F4353)</f>
        <v/>
      </c>
    </row>
    <row r="4354">
      <c r="C4354" s="539" t="n">
        <v>45770</v>
      </c>
      <c r="D4354" t="n">
        <v>303.6499938964844</v>
      </c>
      <c r="E4354" t="n">
        <v>68.05000305175781</v>
      </c>
      <c r="F4354" t="n">
        <v>26.03119659423828</v>
      </c>
      <c r="G4354" t="n">
        <v>86.81075286865234</v>
      </c>
      <c r="H4354">
        <f>AVERAGE(D4155:D4354)</f>
        <v/>
      </c>
      <c r="I4354">
        <f>AVERAGE(E4155:E4354)</f>
        <v/>
      </c>
      <c r="J4354">
        <f>AVERAGE(F4155:F4354)</f>
        <v/>
      </c>
    </row>
    <row r="4355">
      <c r="C4355" s="539" t="n">
        <v>45771</v>
      </c>
      <c r="D4355" t="n">
        <v>308.0700073242188</v>
      </c>
      <c r="E4355" t="n">
        <v>68.45999908447266</v>
      </c>
      <c r="F4355" t="n">
        <v>26.30145072937012</v>
      </c>
      <c r="G4355" t="n">
        <v>86.81075286865234</v>
      </c>
      <c r="H4355">
        <f>AVERAGE(D4156:D4355)</f>
        <v/>
      </c>
      <c r="I4355">
        <f>AVERAGE(E4156:E4355)</f>
        <v/>
      </c>
      <c r="J4355">
        <f>AVERAGE(F4156:F4355)</f>
        <v/>
      </c>
    </row>
    <row r="4356">
      <c r="C4356" s="539" t="n">
        <v>45772</v>
      </c>
      <c r="D4356" t="n">
        <v>304.7300109863281</v>
      </c>
      <c r="E4356" t="n">
        <v>69.02999877929688</v>
      </c>
      <c r="F4356" t="n">
        <v>26.5234432220459</v>
      </c>
      <c r="G4356" t="n">
        <v>86.84866333007812</v>
      </c>
      <c r="H4356">
        <f>AVERAGE(D4157:D4356)</f>
        <v/>
      </c>
      <c r="I4356">
        <f>AVERAGE(E4157:E4356)</f>
        <v/>
      </c>
      <c r="J4356">
        <f>AVERAGE(F4157:F4356)</f>
        <v/>
      </c>
    </row>
    <row r="4357">
      <c r="C4357" s="539" t="n">
        <v>45775</v>
      </c>
      <c r="D4357" t="n">
        <v>309.0700073242188</v>
      </c>
      <c r="E4357" t="n">
        <v>67.76000213623047</v>
      </c>
      <c r="F4357" t="n">
        <v>26.34005928039551</v>
      </c>
      <c r="G4357" t="n">
        <v>86.85813903808594</v>
      </c>
      <c r="H4357">
        <f>AVERAGE(D4158:D4357)</f>
        <v/>
      </c>
      <c r="I4357">
        <f>AVERAGE(E4158:E4357)</f>
        <v/>
      </c>
      <c r="J4357">
        <f>AVERAGE(F4158:F4357)</f>
        <v/>
      </c>
    </row>
    <row r="4358">
      <c r="C4358" s="539" t="n">
        <v>45776</v>
      </c>
      <c r="D4358" t="n">
        <v>306.0599975585938</v>
      </c>
      <c r="E4358" t="n">
        <v>65.84999847412109</v>
      </c>
      <c r="F4358" t="n">
        <v>26.04084777832031</v>
      </c>
      <c r="G4358" t="n">
        <v>86.85813903808594</v>
      </c>
      <c r="H4358">
        <f>AVERAGE(D4159:D4358)</f>
        <v/>
      </c>
      <c r="I4358">
        <f>AVERAGE(E4159:E4358)</f>
        <v/>
      </c>
      <c r="J4358">
        <f>AVERAGE(F4159:F4358)</f>
        <v/>
      </c>
    </row>
    <row r="4359">
      <c r="C4359" s="539" t="n">
        <v>45777</v>
      </c>
      <c r="D4359" t="n">
        <v>303.7699890136719</v>
      </c>
      <c r="E4359" t="n">
        <v>63.56000137329102</v>
      </c>
      <c r="F4359" t="n">
        <v>25.87676620483398</v>
      </c>
      <c r="G4359" t="n">
        <v>86.86758422851562</v>
      </c>
      <c r="H4359">
        <f>AVERAGE(D4160:D4359)</f>
        <v/>
      </c>
      <c r="I4359">
        <f>AVERAGE(E4160:E4359)</f>
        <v/>
      </c>
      <c r="J4359">
        <f>AVERAGE(F4160:F4359)</f>
        <v/>
      </c>
    </row>
    <row r="4360">
      <c r="C4360" s="539" t="n">
        <v>45778</v>
      </c>
      <c r="D4360" t="n">
        <v>297.4599914550781</v>
      </c>
      <c r="E4360" t="n">
        <v>64.51999664306641</v>
      </c>
      <c r="F4360" t="n">
        <v>25.69338035583496</v>
      </c>
      <c r="G4360" t="n">
        <v>86.88850402832031</v>
      </c>
      <c r="H4360">
        <f>AVERAGE(D4161:D4360)</f>
        <v/>
      </c>
      <c r="I4360">
        <f>AVERAGE(E4161:E4360)</f>
        <v/>
      </c>
      <c r="J4360">
        <f>AVERAGE(F4161:F4360)</f>
        <v/>
      </c>
    </row>
    <row r="4361">
      <c r="C4361" s="539" t="n">
        <v>45779</v>
      </c>
      <c r="D4361" t="n">
        <v>297.9800109863281</v>
      </c>
      <c r="E4361" t="n">
        <v>64.01000213623047</v>
      </c>
      <c r="F4361" t="n">
        <v>25.92502593994141</v>
      </c>
      <c r="G4361" t="n">
        <v>86.91700744628906</v>
      </c>
      <c r="H4361">
        <f>AVERAGE(D4162:D4361)</f>
        <v/>
      </c>
      <c r="I4361">
        <f>AVERAGE(E4162:E4361)</f>
        <v/>
      </c>
      <c r="J4361">
        <f>AVERAGE(F4162:F4361)</f>
        <v/>
      </c>
    </row>
    <row r="4362">
      <c r="C4362" s="539" t="n">
        <v>45782</v>
      </c>
      <c r="D4362" t="n">
        <v>306.8800048828125</v>
      </c>
      <c r="E4362" t="n">
        <v>62.36999893188477</v>
      </c>
      <c r="F4362" t="n">
        <v>25.78024673461914</v>
      </c>
      <c r="G4362" t="n">
        <v>86.91700744628906</v>
      </c>
      <c r="H4362">
        <f>AVERAGE(D4163:D4362)</f>
        <v/>
      </c>
      <c r="I4362">
        <f>AVERAGE(E4163:E4362)</f>
        <v/>
      </c>
      <c r="J4362">
        <f>AVERAGE(F4163:F4362)</f>
        <v/>
      </c>
    </row>
    <row r="4363">
      <c r="C4363" s="539" t="n">
        <v>45783</v>
      </c>
      <c r="D4363" t="n">
        <v>315.4800109863281</v>
      </c>
      <c r="E4363" t="n">
        <v>64.59999847412109</v>
      </c>
      <c r="F4363" t="n">
        <v>25.94432830810547</v>
      </c>
      <c r="G4363" t="n">
        <v>86.93601989746094</v>
      </c>
      <c r="H4363">
        <f>AVERAGE(D4164:D4363)</f>
        <v/>
      </c>
      <c r="I4363">
        <f>AVERAGE(E4164:E4363)</f>
        <v/>
      </c>
      <c r="J4363">
        <f>AVERAGE(F4164:F4363)</f>
        <v/>
      </c>
    </row>
    <row r="4364">
      <c r="C4364" s="539" t="n">
        <v>45784</v>
      </c>
      <c r="D4364" t="n">
        <v>310.75</v>
      </c>
      <c r="E4364" t="n">
        <v>63.5099983215332</v>
      </c>
      <c r="F4364" t="n">
        <v>25.93467903137207</v>
      </c>
      <c r="G4364" t="n">
        <v>86.93601989746094</v>
      </c>
      <c r="H4364">
        <f>AVERAGE(D4165:D4364)</f>
        <v/>
      </c>
      <c r="I4364">
        <f>AVERAGE(E4165:E4364)</f>
        <v/>
      </c>
      <c r="J4364">
        <f>AVERAGE(F4165:F4364)</f>
        <v/>
      </c>
    </row>
    <row r="4365">
      <c r="C4365" s="539" t="n">
        <v>45785</v>
      </c>
      <c r="D4365" t="n">
        <v>304.6300048828125</v>
      </c>
      <c r="E4365" t="n">
        <v>65.59999847412109</v>
      </c>
      <c r="F4365" t="n">
        <v>25.97328567504883</v>
      </c>
      <c r="G4365" t="n">
        <v>86.95502471923828</v>
      </c>
      <c r="H4365">
        <f>AVERAGE(D4166:D4365)</f>
        <v/>
      </c>
      <c r="I4365">
        <f>AVERAGE(E4166:E4365)</f>
        <v/>
      </c>
      <c r="J4365">
        <f>AVERAGE(F4166:F4365)</f>
        <v/>
      </c>
    </row>
    <row r="4366">
      <c r="C4366" s="539" t="n">
        <v>45786</v>
      </c>
      <c r="D4366" t="n">
        <v>306.8399963378906</v>
      </c>
      <c r="E4366" t="n">
        <v>66.61000061035156</v>
      </c>
      <c r="F4366" t="n">
        <v>26.0794563293457</v>
      </c>
      <c r="G4366" t="n">
        <v>86.98353576660156</v>
      </c>
      <c r="H4366">
        <f>AVERAGE(D4167:D4366)</f>
        <v/>
      </c>
      <c r="I4366">
        <f>AVERAGE(E4167:E4366)</f>
        <v/>
      </c>
      <c r="J4366">
        <f>AVERAGE(F4167:F4366)</f>
        <v/>
      </c>
    </row>
    <row r="4367">
      <c r="C4367" s="539" t="n">
        <v>45789</v>
      </c>
      <c r="D4367" t="n">
        <v>298.1900024414062</v>
      </c>
      <c r="E4367" t="n">
        <v>67.59999847412109</v>
      </c>
      <c r="F4367" t="n">
        <v>26.05050086975098</v>
      </c>
      <c r="G4367" t="n">
        <v>86.98353576660156</v>
      </c>
      <c r="H4367">
        <f>AVERAGE(D4168:D4367)</f>
        <v/>
      </c>
      <c r="I4367">
        <f>AVERAGE(E4168:E4367)</f>
        <v/>
      </c>
      <c r="J4367">
        <f>AVERAGE(F4168:F4367)</f>
        <v/>
      </c>
    </row>
    <row r="4368">
      <c r="C4368" s="539" t="n">
        <v>45790</v>
      </c>
      <c r="D4368" t="n">
        <v>299.4599914550781</v>
      </c>
      <c r="E4368" t="n">
        <v>69.58999633789062</v>
      </c>
      <c r="F4368" t="n">
        <v>26.42692375183105</v>
      </c>
      <c r="G4368" t="n">
        <v>87.00253295898438</v>
      </c>
      <c r="H4368">
        <f>AVERAGE(D4169:D4368)</f>
        <v/>
      </c>
      <c r="I4368">
        <f>AVERAGE(E4169:E4368)</f>
        <v/>
      </c>
      <c r="J4368">
        <f>AVERAGE(F4169:F4368)</f>
        <v/>
      </c>
    </row>
    <row r="4369">
      <c r="C4369" s="539" t="n">
        <v>45791</v>
      </c>
      <c r="D4369" t="n">
        <v>293.1600036621094</v>
      </c>
      <c r="E4369" t="n">
        <v>68.73000335693359</v>
      </c>
      <c r="F4369" t="n">
        <v>26.28214645385742</v>
      </c>
      <c r="G4369" t="n">
        <v>87.00253295898438</v>
      </c>
      <c r="H4369">
        <f>AVERAGE(D4170:D4369)</f>
        <v/>
      </c>
      <c r="I4369">
        <f>AVERAGE(E4170:E4369)</f>
        <v/>
      </c>
      <c r="J4369">
        <f>AVERAGE(F4170:F4369)</f>
        <v/>
      </c>
    </row>
    <row r="4370">
      <c r="C4370" s="539" t="n">
        <v>45792</v>
      </c>
      <c r="D4370" t="n">
        <v>297.8399963378906</v>
      </c>
      <c r="E4370" t="n">
        <v>67.58999633789062</v>
      </c>
      <c r="F4370" t="n">
        <v>26.44622802734375</v>
      </c>
      <c r="G4370" t="n">
        <v>87.01204681396484</v>
      </c>
      <c r="H4370">
        <f>AVERAGE(D4171:D4370)</f>
        <v/>
      </c>
      <c r="I4370">
        <f>AVERAGE(E4171:E4370)</f>
        <v/>
      </c>
      <c r="J4370">
        <f>AVERAGE(F4171:F4370)</f>
        <v/>
      </c>
    </row>
    <row r="4371">
      <c r="C4371" s="539" t="n">
        <v>45793</v>
      </c>
      <c r="D4371" t="n">
        <v>294.239990234375</v>
      </c>
      <c r="E4371" t="n">
        <v>68.09999847412109</v>
      </c>
      <c r="F4371" t="n">
        <v>26.3883171081543</v>
      </c>
      <c r="G4371" t="n">
        <v>87.05003356933594</v>
      </c>
      <c r="H4371">
        <f>AVERAGE(D4172:D4371)</f>
        <v/>
      </c>
      <c r="I4371">
        <f>AVERAGE(E4172:E4371)</f>
        <v/>
      </c>
      <c r="J4371">
        <f>AVERAGE(F4172:F4371)</f>
        <v/>
      </c>
    </row>
    <row r="4372">
      <c r="C4372" s="539" t="n">
        <v>45796</v>
      </c>
      <c r="D4372" t="n">
        <v>298.0299987792969</v>
      </c>
      <c r="E4372" t="n">
        <v>68.51000213623047</v>
      </c>
      <c r="F4372" t="n">
        <v>26.61996269226074</v>
      </c>
      <c r="G4372" t="n">
        <v>87.05003356933594</v>
      </c>
      <c r="H4372">
        <f>AVERAGE(D4173:D4372)</f>
        <v/>
      </c>
      <c r="I4372">
        <f>AVERAGE(E4173:E4372)</f>
        <v/>
      </c>
      <c r="J4372">
        <f>AVERAGE(F4173:F4372)</f>
        <v/>
      </c>
    </row>
    <row r="4373">
      <c r="C4373" s="539" t="n">
        <v>45797</v>
      </c>
      <c r="D4373" t="n">
        <v>303.5799865722656</v>
      </c>
      <c r="E4373" t="n">
        <v>68.66000366210938</v>
      </c>
      <c r="F4373" t="n">
        <v>26.68752670288086</v>
      </c>
      <c r="G4373" t="n">
        <v>87.06906127929688</v>
      </c>
      <c r="H4373">
        <f>AVERAGE(D4174:D4373)</f>
        <v/>
      </c>
      <c r="I4373">
        <f>AVERAGE(E4174:E4373)</f>
        <v/>
      </c>
      <c r="J4373">
        <f>AVERAGE(F4174:F4373)</f>
        <v/>
      </c>
    </row>
    <row r="4374">
      <c r="C4374" s="539" t="n">
        <v>45798</v>
      </c>
      <c r="D4374" t="n">
        <v>305.8200073242188</v>
      </c>
      <c r="E4374" t="n">
        <v>67.58999633789062</v>
      </c>
      <c r="F4374" t="n">
        <v>26.71648216247559</v>
      </c>
      <c r="G4374" t="n">
        <v>87.07855987548828</v>
      </c>
      <c r="H4374">
        <f>AVERAGE(D4175:D4374)</f>
        <v/>
      </c>
      <c r="I4374">
        <f>AVERAGE(E4175:E4374)</f>
        <v/>
      </c>
      <c r="J4374">
        <f>AVERAGE(F4175:F4374)</f>
        <v/>
      </c>
    </row>
    <row r="4375">
      <c r="C4375" s="539" t="n">
        <v>45799</v>
      </c>
      <c r="D4375" t="n">
        <v>303.1099853515625</v>
      </c>
      <c r="E4375" t="n">
        <v>67.13999938964844</v>
      </c>
      <c r="F4375" t="n">
        <v>26.44622802734375</v>
      </c>
      <c r="G4375" t="n">
        <v>87.09759521484375</v>
      </c>
      <c r="H4375">
        <f>AVERAGE(D4176:D4375)</f>
        <v/>
      </c>
      <c r="I4375">
        <f>AVERAGE(E4176:E4375)</f>
        <v/>
      </c>
      <c r="J4375">
        <f>AVERAGE(F4176:F4375)</f>
        <v/>
      </c>
    </row>
    <row r="4376">
      <c r="C4376" s="539" t="n">
        <v>45800</v>
      </c>
      <c r="D4376" t="n">
        <v>309.75</v>
      </c>
      <c r="E4376" t="n">
        <v>67.98999786376953</v>
      </c>
      <c r="F4376" t="n">
        <v>26.19527816772461</v>
      </c>
      <c r="G4376" t="n">
        <v>87.13558959960938</v>
      </c>
      <c r="H4376">
        <f>AVERAGE(D4177:D4376)</f>
        <v/>
      </c>
      <c r="I4376">
        <f>AVERAGE(E4177:E4376)</f>
        <v/>
      </c>
      <c r="J4376">
        <f>AVERAGE(F4177:F4376)</f>
        <v/>
      </c>
    </row>
    <row r="4377">
      <c r="C4377" s="539" t="n">
        <v>45804</v>
      </c>
      <c r="D4377" t="n">
        <v>304.5</v>
      </c>
      <c r="E4377" t="n">
        <v>67.27999877929688</v>
      </c>
      <c r="F4377" t="n">
        <v>26.06980514526367</v>
      </c>
      <c r="G4377" t="n">
        <v>87.13558959960938</v>
      </c>
      <c r="H4377">
        <f>AVERAGE(D4178:D4377)</f>
        <v/>
      </c>
      <c r="I4377">
        <f>AVERAGE(E4178:E4377)</f>
        <v/>
      </c>
      <c r="J4377">
        <f>AVERAGE(F4178:F4377)</f>
        <v/>
      </c>
    </row>
    <row r="4378">
      <c r="C4378" s="539" t="n">
        <v>45805</v>
      </c>
      <c r="D4378" t="n">
        <v>303.8099975585938</v>
      </c>
      <c r="E4378" t="n">
        <v>67.88999938964844</v>
      </c>
      <c r="F4378" t="n">
        <v>25.78989791870117</v>
      </c>
      <c r="G4378" t="n">
        <v>87.14509582519531</v>
      </c>
      <c r="H4378">
        <f>AVERAGE(D4179:D4378)</f>
        <v/>
      </c>
      <c r="I4378">
        <f>AVERAGE(E4179:E4378)</f>
        <v/>
      </c>
      <c r="J4378">
        <f>AVERAGE(F4179:F4378)</f>
        <v/>
      </c>
    </row>
    <row r="4379">
      <c r="C4379" s="539" t="n">
        <v>45806</v>
      </c>
      <c r="D4379" t="n">
        <v>305.6099853515625</v>
      </c>
      <c r="E4379" t="n">
        <v>67.19000244140625</v>
      </c>
      <c r="F4379" t="n">
        <v>25.64512062072754</v>
      </c>
      <c r="G4379" t="n">
        <v>87.15460968017578</v>
      </c>
      <c r="H4379">
        <f>AVERAGE(D4180:D4379)</f>
        <v/>
      </c>
      <c r="I4379">
        <f>AVERAGE(E4180:E4379)</f>
        <v/>
      </c>
      <c r="J4379">
        <f>AVERAGE(F4180:F4379)</f>
        <v/>
      </c>
    </row>
    <row r="4380">
      <c r="C4380" s="539" t="n">
        <v>45807</v>
      </c>
      <c r="D4380" t="n">
        <v>303.6000061035156</v>
      </c>
      <c r="E4380" t="n">
        <v>67.15000152587891</v>
      </c>
      <c r="F4380" t="n">
        <v>25.77059555053711</v>
      </c>
      <c r="G4380" t="n">
        <v>87.18311309814453</v>
      </c>
      <c r="H4380">
        <f>AVERAGE(D4181:D4380)</f>
        <v/>
      </c>
      <c r="I4380">
        <f>AVERAGE(E4181:E4380)</f>
        <v/>
      </c>
      <c r="J4380">
        <f>AVERAGE(F4181:F4380)</f>
        <v/>
      </c>
    </row>
    <row r="4381">
      <c r="C4381" s="539" t="n">
        <v>45810</v>
      </c>
      <c r="D4381" t="n">
        <v>311.6700134277344</v>
      </c>
      <c r="E4381" t="n">
        <v>69.55000305175781</v>
      </c>
      <c r="F4381" t="n">
        <v>25.70303153991699</v>
      </c>
      <c r="G4381" t="n">
        <v>87.19837188720703</v>
      </c>
      <c r="H4381">
        <f>AVERAGE(D4182:D4381)</f>
        <v/>
      </c>
      <c r="I4381">
        <f>AVERAGE(E4182:E4381)</f>
        <v/>
      </c>
      <c r="J4381">
        <f>AVERAGE(F4182:F4381)</f>
        <v/>
      </c>
    </row>
    <row r="4382">
      <c r="C4382" s="539" t="n">
        <v>45811</v>
      </c>
      <c r="D4382" t="n">
        <v>308.9100036621094</v>
      </c>
      <c r="E4382" t="n">
        <v>69.88999938964844</v>
      </c>
      <c r="F4382" t="n">
        <v>25.77059555053711</v>
      </c>
      <c r="G4382" t="n">
        <v>87.21742248535156</v>
      </c>
      <c r="H4382">
        <f>AVERAGE(D4183:D4382)</f>
        <v/>
      </c>
      <c r="I4382">
        <f>AVERAGE(E4183:E4382)</f>
        <v/>
      </c>
      <c r="J4382">
        <f>AVERAGE(F4183:F4382)</f>
        <v/>
      </c>
    </row>
    <row r="4383">
      <c r="C4383" s="539" t="n">
        <v>45812</v>
      </c>
      <c r="D4383" t="n">
        <v>310.8999938964844</v>
      </c>
      <c r="E4383" t="n">
        <v>69.33999633789062</v>
      </c>
      <c r="F4383" t="n">
        <v>25.96363258361816</v>
      </c>
      <c r="G4383" t="n">
        <v>87.21742248535156</v>
      </c>
      <c r="H4383">
        <f>AVERAGE(D4184:D4383)</f>
        <v/>
      </c>
      <c r="I4383">
        <f>AVERAGE(E4184:E4383)</f>
        <v/>
      </c>
      <c r="J4383">
        <f>AVERAGE(F4184:F4383)</f>
        <v/>
      </c>
    </row>
    <row r="4384">
      <c r="C4384" s="539" t="n">
        <v>45813</v>
      </c>
      <c r="D4384" t="n">
        <v>309.3299865722656</v>
      </c>
      <c r="E4384" t="n">
        <v>69.93000030517578</v>
      </c>
      <c r="F4384" t="n">
        <v>26.31110191345215</v>
      </c>
      <c r="G4384" t="n">
        <v>87.22698211669922</v>
      </c>
      <c r="H4384">
        <f>AVERAGE(D4185:D4384)</f>
        <v/>
      </c>
      <c r="I4384">
        <f>AVERAGE(E4185:E4384)</f>
        <v/>
      </c>
      <c r="J4384">
        <f>AVERAGE(F4185:F4384)</f>
        <v/>
      </c>
    </row>
    <row r="4385">
      <c r="C4385" s="539" t="n">
        <v>45814</v>
      </c>
      <c r="D4385" t="n">
        <v>305.1799926757812</v>
      </c>
      <c r="E4385" t="n">
        <v>71.37999725341797</v>
      </c>
      <c r="F4385" t="n">
        <v>26.5234432220459</v>
      </c>
      <c r="G4385" t="n">
        <v>87.25556945800781</v>
      </c>
      <c r="H4385">
        <f>AVERAGE(D4186:D4385)</f>
        <v/>
      </c>
      <c r="I4385">
        <f>AVERAGE(E4186:E4385)</f>
        <v/>
      </c>
      <c r="J4385">
        <f>AVERAGE(F4186:F4385)</f>
        <v/>
      </c>
    </row>
    <row r="4386">
      <c r="C4386" s="539" t="n">
        <v>45817</v>
      </c>
      <c r="D4386" t="n">
        <v>306.6199951171875</v>
      </c>
      <c r="E4386" t="n">
        <v>72.05000305175781</v>
      </c>
      <c r="F4386" t="n">
        <v>26.43657684326172</v>
      </c>
      <c r="G4386" t="n">
        <v>87.274658203125</v>
      </c>
      <c r="H4386">
        <f>AVERAGE(D4187:D4386)</f>
        <v/>
      </c>
      <c r="I4386">
        <f>AVERAGE(E4187:E4386)</f>
        <v/>
      </c>
      <c r="J4386">
        <f>AVERAGE(F4187:F4386)</f>
        <v/>
      </c>
    </row>
    <row r="4387">
      <c r="C4387" s="539" t="n">
        <v>45818</v>
      </c>
      <c r="D4387" t="n">
        <v>306.7099914550781</v>
      </c>
      <c r="E4387" t="n">
        <v>71.59999847412109</v>
      </c>
      <c r="F4387" t="n">
        <v>26.12771606445312</v>
      </c>
      <c r="G4387" t="n">
        <v>87.28418731689453</v>
      </c>
      <c r="H4387">
        <f>AVERAGE(D4188:D4387)</f>
        <v/>
      </c>
      <c r="I4387">
        <f>AVERAGE(E4188:E4387)</f>
        <v/>
      </c>
      <c r="J4387">
        <f>AVERAGE(F4188:F4387)</f>
        <v/>
      </c>
    </row>
    <row r="4388">
      <c r="C4388" s="539" t="n">
        <v>45819</v>
      </c>
      <c r="D4388" t="n">
        <v>308.3699951171875</v>
      </c>
      <c r="E4388" t="n">
        <v>74.81999969482422</v>
      </c>
      <c r="F4388" t="n">
        <v>26.10841178894043</v>
      </c>
      <c r="G4388" t="n">
        <v>87.28418731689453</v>
      </c>
      <c r="H4388">
        <f>AVERAGE(D4189:D4388)</f>
        <v/>
      </c>
      <c r="I4388">
        <f>AVERAGE(E4189:E4388)</f>
        <v/>
      </c>
      <c r="J4388">
        <f>AVERAGE(F4189:F4388)</f>
        <v/>
      </c>
    </row>
    <row r="4389">
      <c r="C4389" s="539" t="n">
        <v>45820</v>
      </c>
      <c r="D4389" t="n">
        <v>312.2000122070312</v>
      </c>
      <c r="E4389" t="n">
        <v>75.05000305175781</v>
      </c>
      <c r="F4389" t="n">
        <v>26.06980514526367</v>
      </c>
      <c r="G4389" t="n">
        <v>87.29371643066406</v>
      </c>
      <c r="H4389">
        <f>AVERAGE(D4190:D4389)</f>
        <v/>
      </c>
      <c r="I4389">
        <f>AVERAGE(E4190:E4389)</f>
        <v/>
      </c>
      <c r="J4389">
        <f>AVERAGE(F4190:F4389)</f>
        <v/>
      </c>
    </row>
    <row r="4390">
      <c r="C4390" s="539" t="n">
        <v>45821</v>
      </c>
      <c r="D4390" t="n">
        <v>316.2900085449219</v>
      </c>
      <c r="E4390" t="n">
        <v>80.22000122070312</v>
      </c>
      <c r="F4390" t="n">
        <v>26.02154350280762</v>
      </c>
      <c r="G4390" t="n">
        <v>87.33186340332031</v>
      </c>
      <c r="H4390">
        <f>AVERAGE(D4191:D4390)</f>
        <v/>
      </c>
      <c r="I4390">
        <f>AVERAGE(E4191:E4390)</f>
        <v/>
      </c>
      <c r="J4390">
        <f>AVERAGE(F4191:F4390)</f>
        <v/>
      </c>
    </row>
    <row r="4391">
      <c r="C4391" s="539" t="n">
        <v>45824</v>
      </c>
      <c r="D4391" t="n">
        <v>311.7799987792969</v>
      </c>
      <c r="E4391" t="n">
        <v>78.58999633789062</v>
      </c>
      <c r="F4391" t="n">
        <v>26.22423553466797</v>
      </c>
      <c r="G4391" t="n">
        <v>87.33186340332031</v>
      </c>
      <c r="H4391">
        <f>AVERAGE(D4192:D4391)</f>
        <v/>
      </c>
      <c r="I4391">
        <f>AVERAGE(E4192:E4391)</f>
        <v/>
      </c>
      <c r="J4391">
        <f>AVERAGE(F4192:F4391)</f>
        <v/>
      </c>
    </row>
    <row r="4392">
      <c r="C4392" s="539" t="n">
        <v>45825</v>
      </c>
      <c r="D4392" t="n">
        <v>311.9400024414062</v>
      </c>
      <c r="E4392" t="n">
        <v>82.30000305175781</v>
      </c>
      <c r="F4392" t="n">
        <v>25.95398139953613</v>
      </c>
      <c r="G4392" t="n">
        <v>87.35092163085938</v>
      </c>
      <c r="H4392">
        <f>AVERAGE(D4193:D4392)</f>
        <v/>
      </c>
      <c r="I4392">
        <f>AVERAGE(E4193:E4392)</f>
        <v/>
      </c>
      <c r="J4392">
        <f>AVERAGE(F4193:F4392)</f>
        <v/>
      </c>
    </row>
    <row r="4393">
      <c r="C4393" s="539" t="n">
        <v>45826</v>
      </c>
      <c r="D4393" t="n">
        <v>310.260009765625</v>
      </c>
      <c r="E4393" t="n">
        <v>82.26999664306641</v>
      </c>
      <c r="F4393" t="n">
        <v>25.84781074523926</v>
      </c>
      <c r="G4393" t="n">
        <v>87.37000274658203</v>
      </c>
      <c r="H4393">
        <f>AVERAGE(D4194:D4393)</f>
        <v/>
      </c>
      <c r="I4393">
        <f>AVERAGE(E4194:E4393)</f>
        <v/>
      </c>
      <c r="J4393">
        <f>AVERAGE(F4194:F4393)</f>
        <v/>
      </c>
    </row>
    <row r="4394">
      <c r="C4394" s="539" t="n">
        <v>45828</v>
      </c>
      <c r="D4394" t="n">
        <v>310.1300048828125</v>
      </c>
      <c r="E4394" t="n">
        <v>83.12000274658203</v>
      </c>
      <c r="F4394" t="n">
        <v>25.49069023132324</v>
      </c>
      <c r="G4394" t="n">
        <v>87.38907623291016</v>
      </c>
      <c r="H4394">
        <f>AVERAGE(D4195:D4394)</f>
        <v/>
      </c>
      <c r="I4394">
        <f>AVERAGE(E4195:E4394)</f>
        <v/>
      </c>
      <c r="J4394">
        <f>AVERAGE(F4195:F4394)</f>
        <v/>
      </c>
    </row>
    <row r="4395">
      <c r="C4395" s="539" t="n">
        <v>45831</v>
      </c>
      <c r="D4395" t="n">
        <v>311.0799865722656</v>
      </c>
      <c r="E4395" t="n">
        <v>76.41000366210938</v>
      </c>
      <c r="F4395" t="n">
        <v>25.55825233459473</v>
      </c>
      <c r="G4395" t="n">
        <v>87.40814208984375</v>
      </c>
      <c r="H4395">
        <f>AVERAGE(D4196:D4395)</f>
        <v/>
      </c>
      <c r="I4395">
        <f>AVERAGE(E4196:E4395)</f>
        <v/>
      </c>
      <c r="J4395">
        <f>AVERAGE(F4196:F4395)</f>
        <v/>
      </c>
    </row>
    <row r="4396">
      <c r="C4396" s="539" t="n">
        <v>45832</v>
      </c>
      <c r="D4396" t="n">
        <v>306.1900024414062</v>
      </c>
      <c r="E4396" t="n">
        <v>73</v>
      </c>
      <c r="F4396" t="n">
        <v>25.37486839294434</v>
      </c>
      <c r="G4396" t="n">
        <v>87.40814208984375</v>
      </c>
      <c r="H4396">
        <f>AVERAGE(D4197:D4396)</f>
        <v/>
      </c>
      <c r="I4396">
        <f>AVERAGE(E4197:E4396)</f>
        <v/>
      </c>
      <c r="J4396">
        <f>AVERAGE(F4197:F4396)</f>
        <v/>
      </c>
    </row>
    <row r="4397">
      <c r="C4397" s="539" t="n">
        <v>45833</v>
      </c>
      <c r="D4397" t="n">
        <v>307.1199951171875</v>
      </c>
      <c r="E4397" t="n">
        <v>73.30999755859375</v>
      </c>
      <c r="F4397" t="n">
        <v>25.17217636108398</v>
      </c>
      <c r="G4397" t="n">
        <v>87.41770172119141</v>
      </c>
      <c r="H4397">
        <f>AVERAGE(D4198:D4397)</f>
        <v/>
      </c>
      <c r="I4397">
        <f>AVERAGE(E4198:E4397)</f>
        <v/>
      </c>
      <c r="J4397">
        <f>AVERAGE(F4198:F4397)</f>
        <v/>
      </c>
    </row>
    <row r="4398">
      <c r="C4398" s="539" t="n">
        <v>45834</v>
      </c>
      <c r="D4398" t="n">
        <v>306.7799987792969</v>
      </c>
      <c r="E4398" t="n">
        <v>73.58999633789062</v>
      </c>
      <c r="F4398" t="n">
        <v>25.23008728027344</v>
      </c>
      <c r="G4398" t="n">
        <v>87.42723846435547</v>
      </c>
      <c r="H4398">
        <f>AVERAGE(D4199:D4398)</f>
        <v/>
      </c>
      <c r="I4398">
        <f>AVERAGE(E4199:E4398)</f>
        <v/>
      </c>
      <c r="J4398">
        <f>AVERAGE(F4199:F4398)</f>
        <v/>
      </c>
    </row>
    <row r="4399">
      <c r="C4399" s="539" t="n">
        <v>45835</v>
      </c>
      <c r="D4399" t="n">
        <v>301.2200012207031</v>
      </c>
      <c r="E4399" t="n">
        <v>73.27999877929688</v>
      </c>
      <c r="F4399" t="n">
        <v>25.41347503662109</v>
      </c>
      <c r="G4399" t="n">
        <v>87.46536254882812</v>
      </c>
      <c r="H4399">
        <f>AVERAGE(D4200:D4399)</f>
        <v/>
      </c>
      <c r="I4399">
        <f>AVERAGE(E4200:E4399)</f>
        <v/>
      </c>
      <c r="J4399">
        <f>AVERAGE(F4200:F4399)</f>
        <v/>
      </c>
    </row>
    <row r="4400">
      <c r="C4400" s="539" t="n">
        <v>45838</v>
      </c>
      <c r="D4400" t="n">
        <v>304.8299865722656</v>
      </c>
      <c r="E4400" t="n">
        <v>73.11000061035156</v>
      </c>
      <c r="F4400" t="n">
        <v>25.2397403717041</v>
      </c>
      <c r="G4400" t="n">
        <v>87.47491455078125</v>
      </c>
      <c r="H4400">
        <f>AVERAGE(D4201:D4400)</f>
        <v/>
      </c>
      <c r="I4400">
        <f>AVERAGE(E4201:E4400)</f>
        <v/>
      </c>
      <c r="J4400">
        <f>AVERAGE(F4201:F4400)</f>
        <v/>
      </c>
    </row>
    <row r="4401">
      <c r="C4401" s="539" t="n">
        <v>45839</v>
      </c>
      <c r="D4401" t="n">
        <v>307.5499877929688</v>
      </c>
      <c r="E4401" t="n">
        <v>73.93000030517578</v>
      </c>
      <c r="F4401" t="n">
        <v>24.75714492797852</v>
      </c>
      <c r="G4401" t="n">
        <v>87.49021911621094</v>
      </c>
      <c r="H4401">
        <f>AVERAGE(D4202:D4401)</f>
        <v/>
      </c>
      <c r="I4401">
        <f>AVERAGE(E4202:E4401)</f>
        <v/>
      </c>
      <c r="J4401">
        <f>AVERAGE(F4202:F4401)</f>
        <v/>
      </c>
    </row>
    <row r="4402">
      <c r="C4402" s="539" t="n">
        <v>45840</v>
      </c>
      <c r="D4402" t="n">
        <v>309.25</v>
      </c>
      <c r="E4402" t="n">
        <v>75.58999633789062</v>
      </c>
      <c r="F4402" t="n">
        <v>24.9694881439209</v>
      </c>
      <c r="G4402" t="n">
        <v>87.49979400634766</v>
      </c>
      <c r="H4402">
        <f>AVERAGE(D4203:D4402)</f>
        <v/>
      </c>
      <c r="I4402">
        <f>AVERAGE(E4203:E4402)</f>
        <v/>
      </c>
      <c r="J4402">
        <f>AVERAGE(F4203:F4402)</f>
        <v/>
      </c>
    </row>
    <row r="4403">
      <c r="C4403" s="539" t="n">
        <v>45841</v>
      </c>
      <c r="D4403" t="n">
        <v>307.1400146484375</v>
      </c>
      <c r="E4403" t="n">
        <v>75.19000244140625</v>
      </c>
      <c r="F4403" t="n">
        <v>24.98879051208496</v>
      </c>
      <c r="G4403" t="n">
        <v>87.54763031005859</v>
      </c>
      <c r="H4403">
        <f>AVERAGE(D4204:D4403)</f>
        <v/>
      </c>
      <c r="I4403">
        <f>AVERAGE(E4204:E4403)</f>
        <v/>
      </c>
      <c r="J4403">
        <f>AVERAGE(F4204:F4403)</f>
        <v/>
      </c>
    </row>
    <row r="4404">
      <c r="C4404" s="539" t="n">
        <v>45845</v>
      </c>
      <c r="D4404" t="n">
        <v>307.3699951171875</v>
      </c>
      <c r="E4404" t="n">
        <v>76.48000335693359</v>
      </c>
      <c r="F4404" t="n">
        <v>24.81505584716797</v>
      </c>
      <c r="G4404" t="n">
        <v>87.55721282958984</v>
      </c>
      <c r="H4404">
        <f>AVERAGE(D4205:D4404)</f>
        <v/>
      </c>
      <c r="I4404">
        <f>AVERAGE(E4205:E4404)</f>
        <v/>
      </c>
      <c r="J4404">
        <f>AVERAGE(F4205:F4404)</f>
        <v/>
      </c>
    </row>
    <row r="4405">
      <c r="C4405" s="539" t="n">
        <v>45846</v>
      </c>
      <c r="D4405" t="n">
        <v>304.1600036621094</v>
      </c>
      <c r="E4405" t="n">
        <v>76.95999908447266</v>
      </c>
      <c r="F4405" t="n">
        <v>24.8440113067627</v>
      </c>
      <c r="G4405" t="n">
        <v>87.55721282958984</v>
      </c>
      <c r="H4405">
        <f>AVERAGE(D4206:D4405)</f>
        <v/>
      </c>
      <c r="I4405">
        <f>AVERAGE(E4206:E4405)</f>
        <v/>
      </c>
      <c r="J4405">
        <f>AVERAGE(F4206:F4405)</f>
        <v/>
      </c>
    </row>
    <row r="4406">
      <c r="C4406" s="539" t="n">
        <v>45847</v>
      </c>
      <c r="D4406" t="n">
        <v>305.5199890136719</v>
      </c>
      <c r="E4406" t="n">
        <v>76.93000030517578</v>
      </c>
      <c r="F4406" t="n">
        <v>25.02739906311035</v>
      </c>
      <c r="G4406" t="n">
        <v>87.5667724609375</v>
      </c>
      <c r="H4406">
        <f>AVERAGE(D4207:D4406)</f>
        <v/>
      </c>
      <c r="I4406">
        <f>AVERAGE(E4207:E4406)</f>
        <v/>
      </c>
      <c r="J4406">
        <f>AVERAGE(F4207:F4406)</f>
        <v/>
      </c>
    </row>
    <row r="4407">
      <c r="C4407" s="539" t="n">
        <v>45848</v>
      </c>
      <c r="D4407" t="n">
        <v>306.2000122070312</v>
      </c>
      <c r="E4407" t="n">
        <v>75.38999938964844</v>
      </c>
      <c r="F4407" t="n">
        <v>24.87296867370605</v>
      </c>
      <c r="G4407" t="n">
        <v>87.58589172363281</v>
      </c>
      <c r="H4407">
        <f>AVERAGE(D4208:D4407)</f>
        <v/>
      </c>
      <c r="I4407">
        <f>AVERAGE(E4208:E4407)</f>
        <v/>
      </c>
      <c r="J4407">
        <f>AVERAGE(F4208:F4407)</f>
        <v/>
      </c>
    </row>
    <row r="4408">
      <c r="C4408" s="539" t="n">
        <v>45849</v>
      </c>
      <c r="D4408" t="n">
        <v>309.1400146484375</v>
      </c>
      <c r="E4408" t="n">
        <v>77.29000091552734</v>
      </c>
      <c r="F4408" t="n">
        <v>24.87296867370605</v>
      </c>
      <c r="G4408" t="n">
        <v>87.60504150390625</v>
      </c>
      <c r="H4408">
        <f>AVERAGE(D4209:D4408)</f>
        <v/>
      </c>
      <c r="I4408">
        <f>AVERAGE(E4209:E4408)</f>
        <v/>
      </c>
      <c r="J4408">
        <f>AVERAGE(F4209:F4408)</f>
        <v/>
      </c>
    </row>
    <row r="4409">
      <c r="C4409" s="539" t="n">
        <v>45852</v>
      </c>
      <c r="D4409" t="n">
        <v>308.010009765625</v>
      </c>
      <c r="E4409" t="n">
        <v>75.62000274658203</v>
      </c>
      <c r="F4409" t="n">
        <v>24.9791374206543</v>
      </c>
      <c r="G4409" t="n">
        <v>87.61460113525391</v>
      </c>
      <c r="H4409">
        <f>AVERAGE(D4210:D4409)</f>
        <v/>
      </c>
      <c r="I4409">
        <f>AVERAGE(E4210:E4409)</f>
        <v/>
      </c>
      <c r="J4409">
        <f>AVERAGE(F4210:F4409)</f>
        <v/>
      </c>
    </row>
    <row r="4410">
      <c r="C4410" s="539" t="n">
        <v>45853</v>
      </c>
      <c r="D4410" t="n">
        <v>306.7300109863281</v>
      </c>
      <c r="E4410" t="n">
        <v>75.26000213623047</v>
      </c>
      <c r="F4410" t="n">
        <v>24.72818946838379</v>
      </c>
      <c r="G4410" t="n">
        <v>87.62416839599609</v>
      </c>
      <c r="H4410">
        <f>AVERAGE(D4211:D4410)</f>
        <v/>
      </c>
      <c r="I4410">
        <f>AVERAGE(E4211:E4410)</f>
        <v/>
      </c>
      <c r="J4410">
        <f>AVERAGE(F4211:F4410)</f>
        <v/>
      </c>
    </row>
    <row r="4411">
      <c r="C4411" s="539" t="n">
        <v>45854</v>
      </c>
      <c r="D4411" t="n">
        <v>308.260009765625</v>
      </c>
      <c r="E4411" t="n">
        <v>75.19000244140625</v>
      </c>
      <c r="F4411" t="n">
        <v>24.9791374206543</v>
      </c>
      <c r="G4411" t="n">
        <v>87.64330291748047</v>
      </c>
      <c r="H4411">
        <f>AVERAGE(D4212:D4411)</f>
        <v/>
      </c>
      <c r="I4411">
        <f>AVERAGE(E4212:E4411)</f>
        <v/>
      </c>
      <c r="J4411">
        <f>AVERAGE(F4212:F4411)</f>
        <v/>
      </c>
    </row>
    <row r="4412">
      <c r="C4412" s="539" t="n">
        <v>45855</v>
      </c>
      <c r="D4412" t="n">
        <v>307.5899963378906</v>
      </c>
      <c r="E4412" t="n">
        <v>76.16000366210938</v>
      </c>
      <c r="F4412" t="n">
        <v>24.88261985778809</v>
      </c>
      <c r="G4412" t="n">
        <v>87.64330291748047</v>
      </c>
      <c r="H4412">
        <f>AVERAGE(D4213:D4412)</f>
        <v/>
      </c>
      <c r="I4412">
        <f>AVERAGE(E4213:E4412)</f>
        <v/>
      </c>
      <c r="J4412">
        <f>AVERAGE(F4213:F4412)</f>
        <v/>
      </c>
    </row>
    <row r="4413">
      <c r="C4413" s="539" t="n">
        <v>45856</v>
      </c>
      <c r="D4413" t="n">
        <v>308.3900146484375</v>
      </c>
      <c r="E4413" t="n">
        <v>75.93000030517578</v>
      </c>
      <c r="F4413" t="n">
        <v>25.1239185333252</v>
      </c>
      <c r="G4413" t="n">
        <v>87.68158721923828</v>
      </c>
      <c r="H4413">
        <f>AVERAGE(D4214:D4413)</f>
        <v/>
      </c>
      <c r="I4413">
        <f>AVERAGE(E4214:E4413)</f>
        <v/>
      </c>
      <c r="J4413">
        <f>AVERAGE(F4214:F4413)</f>
        <v/>
      </c>
    </row>
    <row r="4414">
      <c r="C4414" s="539" t="n">
        <v>45859</v>
      </c>
      <c r="D4414" t="n">
        <v>313.1300048828125</v>
      </c>
      <c r="E4414" t="n">
        <v>75.58999633789062</v>
      </c>
      <c r="F4414" t="n">
        <v>24.99844169616699</v>
      </c>
      <c r="G4414" t="n">
        <v>87.70071411132812</v>
      </c>
      <c r="H4414">
        <f>AVERAGE(D4215:D4414)</f>
        <v/>
      </c>
      <c r="I4414">
        <f>AVERAGE(E4215:E4414)</f>
        <v/>
      </c>
      <c r="J4414">
        <f>AVERAGE(F4215:F4414)</f>
        <v/>
      </c>
    </row>
    <row r="4415">
      <c r="C4415" s="539" t="n">
        <v>45860</v>
      </c>
      <c r="D4415" t="n">
        <v>316.1000061035156</v>
      </c>
      <c r="E4415" t="n">
        <v>75.34999847412109</v>
      </c>
      <c r="F4415" t="n">
        <v>25.06600570678711</v>
      </c>
      <c r="G4415" t="n">
        <v>87.71027374267578</v>
      </c>
      <c r="H4415">
        <f>AVERAGE(D4216:D4415)</f>
        <v/>
      </c>
      <c r="I4415">
        <f>AVERAGE(E4216:E4415)</f>
        <v/>
      </c>
      <c r="J4415">
        <f>AVERAGE(F4216:F4415)</f>
        <v/>
      </c>
    </row>
    <row r="4416">
      <c r="C4416" s="539" t="n">
        <v>45861</v>
      </c>
      <c r="D4416" t="n">
        <v>312.1799926757812</v>
      </c>
      <c r="E4416" t="n">
        <v>75.27999877929688</v>
      </c>
      <c r="F4416" t="n">
        <v>25.28800010681152</v>
      </c>
      <c r="G4416" t="n">
        <v>87.7198486328125</v>
      </c>
      <c r="H4416">
        <f>AVERAGE(D4217:D4416)</f>
        <v/>
      </c>
      <c r="I4416">
        <f>AVERAGE(E4217:E4416)</f>
        <v/>
      </c>
      <c r="J4416">
        <f>AVERAGE(F4217:F4416)</f>
        <v/>
      </c>
    </row>
    <row r="4417">
      <c r="C4417" s="539" t="n">
        <v>45862</v>
      </c>
      <c r="D4417" t="n">
        <v>310.2699890136719</v>
      </c>
      <c r="E4417" t="n">
        <v>76.08999633789062</v>
      </c>
      <c r="F4417" t="n">
        <v>25.28800010681152</v>
      </c>
      <c r="G4417" t="n">
        <v>87.7198486328125</v>
      </c>
      <c r="H4417">
        <f>AVERAGE(D4218:D4417)</f>
        <v/>
      </c>
      <c r="I4417">
        <f>AVERAGE(E4218:E4417)</f>
        <v/>
      </c>
      <c r="J4417">
        <f>AVERAGE(F4218:F4417)</f>
        <v/>
      </c>
    </row>
    <row r="4418">
      <c r="C4418" s="539" t="n">
        <v>45863</v>
      </c>
      <c r="D4418" t="n">
        <v>307.3999938964844</v>
      </c>
      <c r="E4418" t="n">
        <v>74.84999847412109</v>
      </c>
      <c r="F4418" t="n">
        <v>25.17217636108398</v>
      </c>
      <c r="G4418" t="n">
        <v>87.74856567382812</v>
      </c>
      <c r="H4418">
        <f>AVERAGE(D4219:D4418)</f>
        <v/>
      </c>
      <c r="I4418">
        <f>AVERAGE(E4219:E4418)</f>
        <v/>
      </c>
      <c r="J4418">
        <f>AVERAGE(F4219:F4418)</f>
        <v/>
      </c>
    </row>
    <row r="4419">
      <c r="C4419" s="539" t="n">
        <v>45866</v>
      </c>
      <c r="D4419" t="n">
        <v>305.4100036621094</v>
      </c>
      <c r="E4419" t="n">
        <v>77.16999816894531</v>
      </c>
      <c r="F4419" t="n">
        <v>25.31695556640625</v>
      </c>
      <c r="G4419" t="n">
        <v>87.75812530517578</v>
      </c>
      <c r="H4419">
        <f>AVERAGE(D4220:D4419)</f>
        <v/>
      </c>
      <c r="I4419">
        <f>AVERAGE(E4220:E4419)</f>
        <v/>
      </c>
      <c r="J4419">
        <f>AVERAGE(F4220:F4419)</f>
        <v/>
      </c>
    </row>
    <row r="4420">
      <c r="C4420" s="539" t="n">
        <v>45867</v>
      </c>
      <c r="D4420" t="n">
        <v>306.25</v>
      </c>
      <c r="E4420" t="n">
        <v>79.80000305175781</v>
      </c>
      <c r="F4420" t="n">
        <v>25.1046142578125</v>
      </c>
      <c r="G4420" t="n">
        <v>87.7677001953125</v>
      </c>
      <c r="H4420">
        <f>AVERAGE(D4221:D4420)</f>
        <v/>
      </c>
      <c r="I4420">
        <f>AVERAGE(E4221:E4420)</f>
        <v/>
      </c>
      <c r="J4420">
        <f>AVERAGE(F4221:F4420)</f>
        <v/>
      </c>
    </row>
    <row r="4421">
      <c r="C4421" s="539" t="n">
        <v>45868</v>
      </c>
      <c r="D4421" t="n">
        <v>300.9599914550781</v>
      </c>
      <c r="E4421" t="n">
        <v>81.04000091552734</v>
      </c>
      <c r="F4421" t="n">
        <v>25.05635261535645</v>
      </c>
      <c r="G4421" t="n">
        <v>87.77725982666016</v>
      </c>
      <c r="H4421">
        <f>AVERAGE(D4222:D4421)</f>
        <v/>
      </c>
      <c r="I4421">
        <f>AVERAGE(E4222:E4421)</f>
        <v/>
      </c>
      <c r="J4421">
        <f>AVERAGE(F4222:F4421)</f>
        <v/>
      </c>
    </row>
    <row r="4422">
      <c r="C4422" s="539" t="n">
        <v>45869</v>
      </c>
      <c r="D4422" t="n">
        <v>302.9599914550781</v>
      </c>
      <c r="E4422" t="n">
        <v>79.58999633789062</v>
      </c>
      <c r="F4422" t="n">
        <v>24.99844169616699</v>
      </c>
      <c r="G4422" t="n">
        <v>87.78683471679688</v>
      </c>
      <c r="H4422">
        <f>AVERAGE(D4223:D4422)</f>
        <v/>
      </c>
      <c r="I4422">
        <f>AVERAGE(E4223:E4422)</f>
        <v/>
      </c>
      <c r="J4422">
        <f>AVERAGE(F4223:F4422)</f>
        <v/>
      </c>
    </row>
    <row r="4423">
      <c r="C4423" s="539" t="n">
        <v>45870</v>
      </c>
      <c r="D4423" t="n">
        <v>309.1099853515625</v>
      </c>
      <c r="E4423" t="n">
        <v>77.45999908447266</v>
      </c>
      <c r="F4423" t="n">
        <v>24.77644920349121</v>
      </c>
      <c r="G4423" t="n">
        <v>87.82427978515625</v>
      </c>
      <c r="H4423">
        <f>AVERAGE(D4224:D4423)</f>
        <v/>
      </c>
      <c r="I4423">
        <f>AVERAGE(E4224:E4423)</f>
        <v/>
      </c>
      <c r="J4423">
        <f>AVERAGE(F4224:F4423)</f>
        <v/>
      </c>
    </row>
    <row r="4424">
      <c r="C4424" s="539" t="n">
        <v>45873</v>
      </c>
      <c r="D4424" t="n">
        <v>310.9100036621094</v>
      </c>
      <c r="E4424" t="n">
        <v>76.11000061035156</v>
      </c>
      <c r="F4424" t="n">
        <v>24.83436012268066</v>
      </c>
      <c r="G4424" t="n">
        <v>87.83389282226562</v>
      </c>
      <c r="H4424">
        <f>AVERAGE(D4225:D4424)</f>
        <v/>
      </c>
      <c r="I4424">
        <f>AVERAGE(E4225:E4424)</f>
        <v/>
      </c>
      <c r="J4424">
        <f>AVERAGE(F4225:F4424)</f>
        <v/>
      </c>
    </row>
    <row r="4425">
      <c r="C4425" s="539" t="n">
        <v>45874</v>
      </c>
      <c r="D4425" t="n">
        <v>311.1600036621094</v>
      </c>
      <c r="E4425" t="n">
        <v>75.01999664306641</v>
      </c>
      <c r="F4425" t="n">
        <v>25.01774597167969</v>
      </c>
      <c r="G4425" t="n">
        <v>87.83389282226562</v>
      </c>
      <c r="H4425">
        <f>AVERAGE(D4226:D4425)</f>
        <v/>
      </c>
      <c r="I4425">
        <f>AVERAGE(E4226:E4425)</f>
        <v/>
      </c>
      <c r="J4425">
        <f>AVERAGE(F4226:F4425)</f>
        <v/>
      </c>
    </row>
    <row r="4426">
      <c r="C4426" s="539" t="n">
        <v>45875</v>
      </c>
      <c r="D4426" t="n">
        <v>310.5</v>
      </c>
      <c r="E4426" t="n">
        <v>73.79000091552734</v>
      </c>
      <c r="F4426" t="n">
        <v>25.0853099822998</v>
      </c>
      <c r="G4426" t="n">
        <v>87.86268615722656</v>
      </c>
      <c r="H4426">
        <f>AVERAGE(D4227:D4426)</f>
        <v/>
      </c>
      <c r="I4426">
        <f>AVERAGE(E4227:E4426)</f>
        <v/>
      </c>
      <c r="J4426">
        <f>AVERAGE(F4227:F4426)</f>
        <v/>
      </c>
    </row>
    <row r="4427">
      <c r="C4427" s="539" t="n">
        <v>45876</v>
      </c>
      <c r="D4427" t="n">
        <v>313.1199951171875</v>
      </c>
      <c r="E4427" t="n">
        <v>73.41999816894531</v>
      </c>
      <c r="F4427" t="n">
        <v>25.33625984191895</v>
      </c>
      <c r="G4427" t="n">
        <v>87.86268615722656</v>
      </c>
      <c r="H4427">
        <f>AVERAGE(D4228:D4427)</f>
        <v/>
      </c>
      <c r="I4427">
        <f>AVERAGE(E4228:E4427)</f>
        <v/>
      </c>
      <c r="J4427">
        <f>AVERAGE(F4228:F4427)</f>
        <v/>
      </c>
    </row>
    <row r="4428">
      <c r="C4428" s="539" t="n">
        <v>45877</v>
      </c>
      <c r="D4428" t="n">
        <v>313.0499877929688</v>
      </c>
      <c r="E4428" t="n">
        <v>73.30000305175781</v>
      </c>
      <c r="F4428" t="n">
        <v>25.29765129089355</v>
      </c>
      <c r="G4428" t="n">
        <v>87.8914794921875</v>
      </c>
      <c r="H4428">
        <f>AVERAGE(D4229:D4428)</f>
        <v/>
      </c>
      <c r="I4428">
        <f>AVERAGE(E4229:E4428)</f>
        <v/>
      </c>
      <c r="J4428">
        <f>AVERAGE(F4229:F4428)</f>
        <v/>
      </c>
    </row>
    <row r="4429">
      <c r="C4429" s="539" t="n">
        <v>45880</v>
      </c>
      <c r="D4429" t="n">
        <v>308.5499877929688</v>
      </c>
      <c r="E4429" t="n">
        <v>73.80000305175781</v>
      </c>
      <c r="F4429" t="n">
        <v>25.70303153991699</v>
      </c>
      <c r="G4429" t="n">
        <v>87.90107727050781</v>
      </c>
      <c r="H4429">
        <f>AVERAGE(D4230:D4429)</f>
        <v/>
      </c>
      <c r="I4429">
        <f>AVERAGE(E4230:E4429)</f>
        <v/>
      </c>
      <c r="J4429">
        <f>AVERAGE(F4230:F4429)</f>
        <v/>
      </c>
    </row>
    <row r="4430">
      <c r="C4430" s="539" t="n">
        <v>45881</v>
      </c>
      <c r="D4430" t="n">
        <v>308.2699890136719</v>
      </c>
      <c r="E4430" t="n">
        <v>72.94999694824219</v>
      </c>
      <c r="F4430" t="n">
        <v>25.87676620483398</v>
      </c>
      <c r="G4430" t="n">
        <v>87.91069030761719</v>
      </c>
      <c r="H4430">
        <f>AVERAGE(D4231:D4430)</f>
        <v/>
      </c>
      <c r="I4430">
        <f>AVERAGE(E4231:E4430)</f>
        <v/>
      </c>
      <c r="J4430">
        <f>AVERAGE(F4231:F4430)</f>
        <v/>
      </c>
    </row>
    <row r="4431">
      <c r="C4431" s="539" t="n">
        <v>45882</v>
      </c>
      <c r="D4431" t="n">
        <v>309.2099914550781</v>
      </c>
      <c r="E4431" t="n">
        <v>72.45999908447266</v>
      </c>
      <c r="F4431" t="n">
        <v>25.96363258361816</v>
      </c>
      <c r="G4431" t="n">
        <v>87.92029571533203</v>
      </c>
      <c r="H4431">
        <f>AVERAGE(D4232:D4431)</f>
        <v/>
      </c>
      <c r="I4431">
        <f>AVERAGE(E4232:E4431)</f>
        <v/>
      </c>
      <c r="J4431">
        <f>AVERAGE(F4232:F4431)</f>
        <v/>
      </c>
    </row>
    <row r="4432">
      <c r="C4432" s="539" t="n">
        <v>45883</v>
      </c>
      <c r="D4432" t="n">
        <v>307.25</v>
      </c>
      <c r="E4432" t="n">
        <v>73.73999786376953</v>
      </c>
      <c r="F4432" t="n">
        <v>25.67407608032227</v>
      </c>
      <c r="G4432" t="n">
        <v>87.92990875244141</v>
      </c>
      <c r="H4432">
        <f>AVERAGE(D4233:D4432)</f>
        <v/>
      </c>
      <c r="I4432">
        <f>AVERAGE(E4233:E4432)</f>
        <v/>
      </c>
      <c r="J4432">
        <f>AVERAGE(F4233:F4432)</f>
        <v/>
      </c>
    </row>
    <row r="4433">
      <c r="C4433" s="539" t="n">
        <v>45884</v>
      </c>
      <c r="D4433" t="n">
        <v>307.4299926757812</v>
      </c>
      <c r="E4433" t="n">
        <v>72.80000305175781</v>
      </c>
      <c r="F4433" t="n">
        <v>26.11806297302246</v>
      </c>
      <c r="G4433" t="n">
        <v>87.96830749511719</v>
      </c>
      <c r="H4433">
        <f>AVERAGE(D4234:D4433)</f>
        <v/>
      </c>
      <c r="I4433">
        <f>AVERAGE(E4234:E4433)</f>
        <v/>
      </c>
      <c r="J4433">
        <f>AVERAGE(F4234:F4433)</f>
        <v/>
      </c>
    </row>
    <row r="4434">
      <c r="C4434" s="539" t="n">
        <v>45887</v>
      </c>
      <c r="D4434" t="n">
        <v>306.9500122070312</v>
      </c>
      <c r="E4434" t="n">
        <v>73.16999816894531</v>
      </c>
      <c r="F4434" t="n">
        <v>26.0794563293457</v>
      </c>
      <c r="G4434" t="n">
        <v>87.96830749511719</v>
      </c>
      <c r="H4434">
        <f>AVERAGE(D4235:D4434)</f>
        <v/>
      </c>
      <c r="I4434">
        <f>AVERAGE(E4235:E4434)</f>
        <v/>
      </c>
      <c r="J4434">
        <f>AVERAGE(F4235:F4434)</f>
        <v/>
      </c>
    </row>
    <row r="4435">
      <c r="C4435" s="539" t="n">
        <v>45888</v>
      </c>
      <c r="D4435" t="n">
        <v>305.2699890136719</v>
      </c>
      <c r="E4435" t="n">
        <v>72.30000305175781</v>
      </c>
      <c r="F4435" t="n">
        <v>26.18562698364258</v>
      </c>
      <c r="G4435" t="n">
        <v>87.98749542236328</v>
      </c>
      <c r="H4435">
        <f>AVERAGE(D4236:D4435)</f>
        <v/>
      </c>
      <c r="I4435">
        <f>AVERAGE(E4236:E4435)</f>
        <v/>
      </c>
      <c r="J4435">
        <f>AVERAGE(F4236:F4435)</f>
        <v/>
      </c>
    </row>
    <row r="4436">
      <c r="C4436" s="539" t="n">
        <v>45889</v>
      </c>
      <c r="D4436" t="n">
        <v>308.3599853515625</v>
      </c>
      <c r="E4436" t="n">
        <v>73.51999664306641</v>
      </c>
      <c r="F4436" t="n">
        <v>26.2531909942627</v>
      </c>
      <c r="G4436" t="n">
        <v>88.00670623779297</v>
      </c>
      <c r="H4436">
        <f>AVERAGE(D4237:D4436)</f>
        <v/>
      </c>
      <c r="I4436">
        <f>AVERAGE(E4237:E4436)</f>
        <v/>
      </c>
      <c r="J4436">
        <f>AVERAGE(F4237:F4436)</f>
        <v/>
      </c>
    </row>
    <row r="4437">
      <c r="C4437" s="539" t="n">
        <v>45890</v>
      </c>
      <c r="D4437" t="n">
        <v>307.2900085449219</v>
      </c>
      <c r="E4437" t="n">
        <v>74.12999725341797</v>
      </c>
      <c r="F4437" t="n">
        <v>26.33040618896484</v>
      </c>
      <c r="G4437" t="n">
        <v>88.00670623779297</v>
      </c>
      <c r="H4437">
        <f>AVERAGE(D4238:D4437)</f>
        <v/>
      </c>
      <c r="I4437">
        <f>AVERAGE(E4238:E4437)</f>
        <v/>
      </c>
      <c r="J4437">
        <f>AVERAGE(F4238:F4437)</f>
        <v/>
      </c>
    </row>
    <row r="4438">
      <c r="C4438" s="539" t="n">
        <v>45891</v>
      </c>
      <c r="D4438" t="n">
        <v>310.5799865722656</v>
      </c>
      <c r="E4438" t="n">
        <v>74.63999938964844</v>
      </c>
      <c r="F4438" t="n">
        <v>26.62961578369141</v>
      </c>
      <c r="G4438" t="n">
        <v>88.03549957275391</v>
      </c>
      <c r="H4438">
        <f>AVERAGE(D4239:D4438)</f>
        <v/>
      </c>
      <c r="I4438">
        <f>AVERAGE(E4239:E4438)</f>
        <v/>
      </c>
      <c r="J4438">
        <f>AVERAGE(F4239:F4438)</f>
        <v/>
      </c>
    </row>
    <row r="4439">
      <c r="C4439" s="539" t="n">
        <v>45894</v>
      </c>
      <c r="D4439" t="n">
        <v>309.8299865722656</v>
      </c>
      <c r="E4439" t="n">
        <v>75.75</v>
      </c>
      <c r="F4439" t="n">
        <v>26.61996269226074</v>
      </c>
      <c r="G4439" t="n">
        <v>88.04509735107422</v>
      </c>
      <c r="H4439">
        <f>AVERAGE(D4240:D4439)</f>
        <v/>
      </c>
      <c r="I4439">
        <f>AVERAGE(E4240:E4439)</f>
        <v/>
      </c>
      <c r="J4439">
        <f>AVERAGE(F4240:F4439)</f>
        <v/>
      </c>
    </row>
    <row r="4440">
      <c r="C4440" s="539" t="n">
        <v>45895</v>
      </c>
      <c r="D4440" t="n">
        <v>312.0799865722656</v>
      </c>
      <c r="E4440" t="n">
        <v>74.05000305175781</v>
      </c>
      <c r="F4440" t="n">
        <v>26.46553230285645</v>
      </c>
      <c r="G4440" t="n">
        <v>88.05472564697266</v>
      </c>
      <c r="H4440">
        <f>AVERAGE(D4241:D4440)</f>
        <v/>
      </c>
      <c r="I4440">
        <f>AVERAGE(E4241:E4440)</f>
        <v/>
      </c>
      <c r="J4440">
        <f>AVERAGE(F4241:F4440)</f>
        <v/>
      </c>
    </row>
    <row r="4441">
      <c r="C4441" s="539" t="n">
        <v>45896</v>
      </c>
      <c r="D4441" t="n">
        <v>312.7099914550781</v>
      </c>
      <c r="E4441" t="n">
        <v>74.68000030517578</v>
      </c>
      <c r="F4441" t="n">
        <v>26.71648216247559</v>
      </c>
      <c r="G4441" t="n">
        <v>88.06431579589844</v>
      </c>
      <c r="H4441">
        <f>AVERAGE(D4242:D4441)</f>
        <v/>
      </c>
      <c r="I4441">
        <f>AVERAGE(E4242:E4441)</f>
        <v/>
      </c>
      <c r="J4441">
        <f>AVERAGE(F4242:F4441)</f>
        <v/>
      </c>
    </row>
    <row r="4442">
      <c r="C4442" s="539" t="n">
        <v>45897</v>
      </c>
      <c r="D4442" t="n">
        <v>315.0299987792969</v>
      </c>
      <c r="E4442" t="n">
        <v>75.23999786376953</v>
      </c>
      <c r="F4442" t="n">
        <v>26.56205177307129</v>
      </c>
      <c r="G4442" t="n">
        <v>88.07391357421875</v>
      </c>
      <c r="H4442">
        <f>AVERAGE(D4243:D4442)</f>
        <v/>
      </c>
      <c r="I4442">
        <f>AVERAGE(E4243:E4442)</f>
        <v/>
      </c>
      <c r="J4442">
        <f>AVERAGE(F4243:F4442)</f>
        <v/>
      </c>
    </row>
    <row r="4443">
      <c r="C4443" s="539" t="n">
        <v>45898</v>
      </c>
      <c r="D4443" t="n">
        <v>318.0700073242188</v>
      </c>
      <c r="E4443" t="n">
        <v>74.83999633789062</v>
      </c>
      <c r="F4443" t="n">
        <v>26.8033504486084</v>
      </c>
      <c r="G4443" t="n">
        <v>88.11231231689453</v>
      </c>
      <c r="H4443">
        <f>AVERAGE(D4244:D4443)</f>
        <v/>
      </c>
      <c r="I4443">
        <f>AVERAGE(E4244:E4443)</f>
        <v/>
      </c>
      <c r="J4443">
        <f>AVERAGE(F4244:F4443)</f>
        <v/>
      </c>
    </row>
    <row r="4444">
      <c r="C4444" s="539" t="n">
        <v>45902</v>
      </c>
      <c r="D4444" t="n">
        <v>325.5899963378906</v>
      </c>
      <c r="E4444" t="n">
        <v>76.76000213623047</v>
      </c>
      <c r="F4444" t="n">
        <v>26.4944896697998</v>
      </c>
      <c r="G4444" t="n">
        <v>88.13351440429688</v>
      </c>
      <c r="H4444">
        <f>AVERAGE(D4245:D4444)</f>
        <v/>
      </c>
      <c r="I4444">
        <f>AVERAGE(E4245:E4444)</f>
        <v/>
      </c>
      <c r="J4444">
        <f>AVERAGE(F4245:F4444)</f>
        <v/>
      </c>
    </row>
    <row r="4445">
      <c r="C4445" s="539" t="n">
        <v>45903</v>
      </c>
      <c r="D4445" t="n">
        <v>328.1400146484375</v>
      </c>
      <c r="E4445" t="n">
        <v>74.83000183105469</v>
      </c>
      <c r="F4445" t="n">
        <v>26.3690128326416</v>
      </c>
      <c r="G4445" t="n">
        <v>88.14316558837891</v>
      </c>
      <c r="H4445">
        <f>AVERAGE(D4246:D4445)</f>
        <v/>
      </c>
      <c r="I4445">
        <f>AVERAGE(E4246:E4445)</f>
        <v/>
      </c>
      <c r="J4445">
        <f>AVERAGE(F4246:F4445)</f>
        <v/>
      </c>
    </row>
    <row r="4446">
      <c r="C4446" s="539" t="n">
        <v>45904</v>
      </c>
      <c r="D4446" t="n">
        <v>326.6900024414062</v>
      </c>
      <c r="E4446" t="n">
        <v>74.18000030517578</v>
      </c>
      <c r="F4446" t="n">
        <v>26.29179763793945</v>
      </c>
      <c r="G4446" t="n">
        <v>88.16241455078125</v>
      </c>
      <c r="H4446">
        <f>AVERAGE(D4247:D4446)</f>
        <v/>
      </c>
      <c r="I4446">
        <f>AVERAGE(E4247:E4446)</f>
        <v/>
      </c>
      <c r="J4446">
        <f>AVERAGE(F4247:F4446)</f>
        <v/>
      </c>
    </row>
    <row r="4447">
      <c r="C4447" s="539" t="n">
        <v>45905</v>
      </c>
      <c r="D4447" t="n">
        <v>331.0499877929688</v>
      </c>
      <c r="E4447" t="n">
        <v>72.62999725341797</v>
      </c>
      <c r="F4447" t="n">
        <v>26.2145824432373</v>
      </c>
      <c r="G4447" t="n">
        <v>88.19131469726562</v>
      </c>
      <c r="H4447">
        <f>AVERAGE(D4248:D4447)</f>
        <v/>
      </c>
      <c r="I4447">
        <f>AVERAGE(E4248:E4447)</f>
        <v/>
      </c>
      <c r="J4447">
        <f>AVERAGE(F4248:F4447)</f>
        <v/>
      </c>
    </row>
    <row r="4448">
      <c r="C4448" s="539" t="n">
        <v>45908</v>
      </c>
      <c r="D4448" t="n">
        <v>334.8200073242188</v>
      </c>
      <c r="E4448" t="n">
        <v>73.04000091552734</v>
      </c>
      <c r="F4448" t="n">
        <v>26.33040618896484</v>
      </c>
      <c r="G4448" t="n">
        <v>88.20095825195312</v>
      </c>
      <c r="H4448">
        <f>AVERAGE(D4249:D4448)</f>
        <v/>
      </c>
      <c r="I4448">
        <f>AVERAGE(E4249:E4448)</f>
        <v/>
      </c>
      <c r="J4448">
        <f>AVERAGE(F4249:F4448)</f>
        <v/>
      </c>
    </row>
    <row r="4449">
      <c r="C4449" s="539" t="n">
        <v>45909</v>
      </c>
      <c r="D4449" t="n">
        <v>334.0599975585938</v>
      </c>
      <c r="E4449" t="n">
        <v>73.38999938964844</v>
      </c>
      <c r="F4449" t="n">
        <v>26.15667152404785</v>
      </c>
      <c r="G4449" t="n">
        <v>88.21059417724609</v>
      </c>
      <c r="H4449">
        <f>AVERAGE(D4250:D4449)</f>
        <v/>
      </c>
      <c r="I4449">
        <f>AVERAGE(E4250:E4449)</f>
        <v/>
      </c>
      <c r="J4449">
        <f>AVERAGE(F4250:F4449)</f>
        <v/>
      </c>
    </row>
    <row r="4450">
      <c r="C4450" s="539" t="n">
        <v>45910</v>
      </c>
      <c r="D4450" t="n">
        <v>335.260009765625</v>
      </c>
      <c r="E4450" t="n">
        <v>74.70999908447266</v>
      </c>
      <c r="F4450" t="n">
        <v>26.26284217834473</v>
      </c>
      <c r="G4450" t="n">
        <v>88.22023010253906</v>
      </c>
      <c r="H4450">
        <f>AVERAGE(D4251:D4450)</f>
        <v/>
      </c>
      <c r="I4450">
        <f>AVERAGE(E4251:E4450)</f>
        <v/>
      </c>
      <c r="J4450">
        <f>AVERAGE(F4251:F4450)</f>
        <v/>
      </c>
    </row>
    <row r="4451">
      <c r="C4451" s="539" t="n">
        <v>45911</v>
      </c>
      <c r="D4451" t="n">
        <v>334.760009765625</v>
      </c>
      <c r="E4451" t="n">
        <v>73</v>
      </c>
      <c r="F4451" t="n">
        <v>26.45588111877441</v>
      </c>
      <c r="G4451" t="n">
        <v>88.2298583984375</v>
      </c>
      <c r="H4451">
        <f>AVERAGE(D4252:D4451)</f>
        <v/>
      </c>
      <c r="I4451">
        <f>AVERAGE(E4252:E4451)</f>
        <v/>
      </c>
      <c r="J4451">
        <f>AVERAGE(F4252:F4451)</f>
        <v/>
      </c>
    </row>
    <row r="4452">
      <c r="C4452" s="539" t="n">
        <v>45912</v>
      </c>
      <c r="D4452" t="n">
        <v>335.4200134277344</v>
      </c>
      <c r="E4452" t="n">
        <v>73.30999755859375</v>
      </c>
      <c r="F4452" t="n">
        <v>26.54274749755859</v>
      </c>
      <c r="G4452" t="n">
        <v>88.25876617431641</v>
      </c>
      <c r="H4452">
        <f>AVERAGE(D4253:D4452)</f>
        <v/>
      </c>
      <c r="I4452">
        <f>AVERAGE(E4253:E4452)</f>
        <v/>
      </c>
      <c r="J4452">
        <f>AVERAGE(F4253:F4452)</f>
        <v/>
      </c>
    </row>
    <row r="4453">
      <c r="C4453" s="539" t="n">
        <v>45915</v>
      </c>
      <c r="D4453" t="n">
        <v>338.9100036621094</v>
      </c>
      <c r="E4453" t="n">
        <v>74.23000335693359</v>
      </c>
      <c r="F4453" t="n">
        <v>26.9384765625</v>
      </c>
      <c r="G4453" t="n">
        <v>88.26840972900391</v>
      </c>
      <c r="H4453">
        <f>AVERAGE(D4254:D4453)</f>
        <v/>
      </c>
      <c r="I4453">
        <f>AVERAGE(E4254:E4453)</f>
        <v/>
      </c>
      <c r="J4453">
        <f>AVERAGE(F4254:F4453)</f>
        <v/>
      </c>
    </row>
    <row r="4454">
      <c r="C4454" s="539" t="n">
        <v>45916</v>
      </c>
      <c r="D4454" t="n">
        <v>339.5899963378906</v>
      </c>
      <c r="E4454" t="n">
        <v>75.66999816894531</v>
      </c>
      <c r="F4454" t="n">
        <v>26.79369735717773</v>
      </c>
      <c r="G4454" t="n">
        <v>88.27806854248047</v>
      </c>
      <c r="H4454">
        <f>AVERAGE(D4255:D4454)</f>
        <v/>
      </c>
      <c r="I4454">
        <f>AVERAGE(E4255:E4454)</f>
        <v/>
      </c>
      <c r="J4454">
        <f>AVERAGE(F4255:F4454)</f>
        <v/>
      </c>
    </row>
    <row r="4455">
      <c r="C4455" s="539" t="n">
        <v>45917</v>
      </c>
      <c r="D4455" t="n">
        <v>336.9700012207031</v>
      </c>
      <c r="E4455" t="n">
        <v>74.97000122070312</v>
      </c>
      <c r="F4455" t="n">
        <v>26.23388671875</v>
      </c>
      <c r="G4455" t="n">
        <v>88.28768157958984</v>
      </c>
      <c r="H4455">
        <f>AVERAGE(D4256:D4455)</f>
        <v/>
      </c>
      <c r="I4455">
        <f>AVERAGE(E4256:E4455)</f>
        <v/>
      </c>
      <c r="J4455">
        <f>AVERAGE(F4256:F4455)</f>
        <v/>
      </c>
    </row>
    <row r="4456">
      <c r="C4456" s="539" t="n">
        <v>45918</v>
      </c>
      <c r="D4456" t="n">
        <v>335.6199951171875</v>
      </c>
      <c r="E4456" t="n">
        <v>74.69000244140625</v>
      </c>
      <c r="F4456" t="n">
        <v>26.13736724853516</v>
      </c>
      <c r="G4456" t="n">
        <v>88.29730987548828</v>
      </c>
      <c r="H4456">
        <f>AVERAGE(D4257:D4456)</f>
        <v/>
      </c>
      <c r="I4456">
        <f>AVERAGE(E4257:E4456)</f>
        <v/>
      </c>
      <c r="J4456">
        <f>AVERAGE(F4257:F4456)</f>
        <v/>
      </c>
    </row>
    <row r="4457">
      <c r="C4457" s="539" t="n">
        <v>45919</v>
      </c>
      <c r="D4457" t="n">
        <v>339.1799926757812</v>
      </c>
      <c r="E4457" t="n">
        <v>73.51999664306641</v>
      </c>
      <c r="F4457" t="n">
        <v>26.03119659423828</v>
      </c>
      <c r="G4457" t="n">
        <v>88.33584594726562</v>
      </c>
      <c r="H4457">
        <f>AVERAGE(D4258:D4457)</f>
        <v/>
      </c>
      <c r="I4457">
        <f>AVERAGE(E4258:E4457)</f>
        <v/>
      </c>
      <c r="J4457">
        <f>AVERAGE(F4258:F4457)</f>
        <v/>
      </c>
    </row>
    <row r="4458">
      <c r="C4458" s="539" t="n">
        <v>45922</v>
      </c>
      <c r="D4458" t="n">
        <v>345.0499877929688</v>
      </c>
      <c r="E4458" t="n">
        <v>73.44999694824219</v>
      </c>
      <c r="F4458" t="n">
        <v>25.91537475585938</v>
      </c>
      <c r="G4458" t="n">
        <v>88.34548950195312</v>
      </c>
      <c r="H4458">
        <f>AVERAGE(D4259:D4458)</f>
        <v/>
      </c>
      <c r="I4458">
        <f>AVERAGE(E4259:E4458)</f>
        <v/>
      </c>
      <c r="J4458">
        <f>AVERAGE(F4259:F4458)</f>
        <v/>
      </c>
    </row>
    <row r="4459">
      <c r="C4459" s="539" t="n">
        <v>45923</v>
      </c>
      <c r="D4459" t="n">
        <v>346.4599914550781</v>
      </c>
      <c r="E4459" t="n">
        <v>75.05000305175781</v>
      </c>
      <c r="F4459" t="n">
        <v>25.87676620483398</v>
      </c>
      <c r="G4459" t="n">
        <v>88.34548950195312</v>
      </c>
      <c r="H4459">
        <f>AVERAGE(D4260:D4459)</f>
        <v/>
      </c>
      <c r="I4459">
        <f>AVERAGE(E4260:E4459)</f>
        <v/>
      </c>
      <c r="J4459">
        <f>AVERAGE(F4260:F4459)</f>
        <v/>
      </c>
    </row>
    <row r="4460">
      <c r="C4460" s="539" t="n">
        <v>45924</v>
      </c>
      <c r="D4460" t="n">
        <v>343.3200073242188</v>
      </c>
      <c r="E4460" t="n">
        <v>76.38999938964844</v>
      </c>
      <c r="F4460" t="n">
        <v>25.96363258361816</v>
      </c>
      <c r="G4460" t="n">
        <v>88.36476898193359</v>
      </c>
      <c r="H4460">
        <f>AVERAGE(D4261:D4460)</f>
        <v/>
      </c>
      <c r="I4460">
        <f>AVERAGE(E4261:E4460)</f>
        <v/>
      </c>
      <c r="J4460">
        <f>AVERAGE(F4261:F4460)</f>
        <v/>
      </c>
    </row>
    <row r="4461">
      <c r="C4461" s="539" t="n">
        <v>45925</v>
      </c>
      <c r="D4461" t="n">
        <v>344.75</v>
      </c>
      <c r="E4461" t="n">
        <v>76.98999786376953</v>
      </c>
      <c r="F4461" t="n">
        <v>25.90572166442871</v>
      </c>
      <c r="G4461" t="n">
        <v>88.36476898193359</v>
      </c>
      <c r="H4461">
        <f>AVERAGE(D4262:D4461)</f>
        <v/>
      </c>
      <c r="I4461">
        <f>AVERAGE(E4262:E4461)</f>
        <v/>
      </c>
      <c r="J4461">
        <f>AVERAGE(F4262:F4461)</f>
        <v/>
      </c>
    </row>
    <row r="4462">
      <c r="C4462" s="539" t="n">
        <v>45926</v>
      </c>
      <c r="D4462" t="n">
        <v>346.739990234375</v>
      </c>
      <c r="E4462" t="n">
        <v>77.01999664306641</v>
      </c>
      <c r="F4462" t="n">
        <v>26.04084777832031</v>
      </c>
      <c r="G4462" t="n">
        <v>88.39366912841797</v>
      </c>
      <c r="H4462">
        <f>AVERAGE(D4263:D4462)</f>
        <v/>
      </c>
      <c r="I4462">
        <f>AVERAGE(E4263:E4462)</f>
        <v/>
      </c>
      <c r="J4462">
        <f>AVERAGE(F4263:F4462)</f>
        <v/>
      </c>
    </row>
    <row r="4463">
      <c r="C4463" s="539" t="n">
        <v>45929</v>
      </c>
      <c r="D4463" t="n">
        <v>352.4599914550781</v>
      </c>
      <c r="E4463" t="n">
        <v>74.58999633789062</v>
      </c>
      <c r="F4463" t="n">
        <v>25.97328567504883</v>
      </c>
      <c r="G4463" t="n">
        <v>88.40328979492188</v>
      </c>
      <c r="H4463">
        <f>AVERAGE(D4264:D4463)</f>
        <v/>
      </c>
      <c r="I4463">
        <f>AVERAGE(E4264:E4463)</f>
        <v/>
      </c>
      <c r="J4463">
        <f>AVERAGE(F4264:F4463)</f>
        <v/>
      </c>
    </row>
    <row r="4464">
      <c r="C4464" s="539" t="n">
        <v>45930</v>
      </c>
      <c r="D4464" t="n">
        <v>355.4700012207031</v>
      </c>
      <c r="E4464" t="n">
        <v>73.75</v>
      </c>
      <c r="F4464" t="n">
        <v>25.82850646972656</v>
      </c>
      <c r="G4464" t="n">
        <v>88.40328979492188</v>
      </c>
      <c r="H4464">
        <f>AVERAGE(D4265:D4464)</f>
        <v/>
      </c>
      <c r="I4464">
        <f>AVERAGE(E4265:E4464)</f>
        <v/>
      </c>
      <c r="J4464">
        <f>AVERAGE(F4265:F4464)</f>
        <v/>
      </c>
    </row>
    <row r="4465">
      <c r="C4465" s="539" t="n">
        <v>45931</v>
      </c>
      <c r="D4465" t="n">
        <v>356.0299987792969</v>
      </c>
      <c r="E4465" t="n">
        <v>73.13999938964844</v>
      </c>
      <c r="F4465" t="n">
        <v>25.87676620483398</v>
      </c>
      <c r="G4465" t="n">
        <v>88.42359924316406</v>
      </c>
      <c r="H4465">
        <f>AVERAGE(D4266:D4465)</f>
        <v/>
      </c>
      <c r="I4465">
        <f>AVERAGE(E4266:E4465)</f>
        <v/>
      </c>
      <c r="J4465">
        <f>AVERAGE(F4266:F4465)</f>
        <v/>
      </c>
    </row>
    <row r="4466">
      <c r="C4466" s="539" t="n">
        <v>45932</v>
      </c>
      <c r="D4466" t="n">
        <v>354.7900085449219</v>
      </c>
      <c r="E4466" t="n">
        <v>71.54000091552734</v>
      </c>
      <c r="F4466" t="n">
        <v>25.75129127502441</v>
      </c>
      <c r="G4466" t="n">
        <v>88.43328094482422</v>
      </c>
      <c r="H4466">
        <f>AVERAGE(D4267:D4466)</f>
        <v/>
      </c>
      <c r="I4466">
        <f>AVERAGE(E4267:E4466)</f>
        <v/>
      </c>
      <c r="J4466">
        <f>AVERAGE(F4267:F4466)</f>
        <v/>
      </c>
    </row>
    <row r="4467">
      <c r="C4467" s="539" t="n">
        <v>45933</v>
      </c>
      <c r="D4467" t="n">
        <v>357.6400146484375</v>
      </c>
      <c r="E4467" t="n">
        <v>71.70999908447266</v>
      </c>
      <c r="F4467" t="n">
        <v>25.74164009094238</v>
      </c>
      <c r="G4467" t="n">
        <v>88.45259857177734</v>
      </c>
      <c r="H4467">
        <f>AVERAGE(D4268:D4467)</f>
        <v/>
      </c>
      <c r="I4467">
        <f>AVERAGE(E4268:E4467)</f>
        <v/>
      </c>
      <c r="J4467">
        <f>AVERAGE(F4268:F4467)</f>
        <v/>
      </c>
    </row>
    <row r="4468">
      <c r="C4468" s="539" t="n">
        <v>45936</v>
      </c>
      <c r="D4468" t="n">
        <v>364.3800048828125</v>
      </c>
      <c r="E4468" t="n">
        <v>72.87000274658203</v>
      </c>
      <c r="F4468" t="n">
        <v>25.80920219421387</v>
      </c>
      <c r="G4468" t="n">
        <v>88.47194671630859</v>
      </c>
      <c r="H4468">
        <f>AVERAGE(D4269:D4468)</f>
        <v/>
      </c>
      <c r="I4468">
        <f>AVERAGE(E4269:E4468)</f>
        <v/>
      </c>
      <c r="J4468">
        <f>AVERAGE(F4269:F4468)</f>
        <v/>
      </c>
    </row>
    <row r="4469">
      <c r="C4469" s="539" t="n">
        <v>45937</v>
      </c>
      <c r="D4469" t="n">
        <v>366.260009765625</v>
      </c>
      <c r="E4469" t="n">
        <v>73.19999694824219</v>
      </c>
      <c r="F4469" t="n">
        <v>25.67407608032227</v>
      </c>
      <c r="G4469" t="n">
        <v>88.47194671630859</v>
      </c>
      <c r="H4469">
        <f>AVERAGE(D4270:D4469)</f>
        <v/>
      </c>
      <c r="I4469">
        <f>AVERAGE(E4270:E4469)</f>
        <v/>
      </c>
      <c r="J4469">
        <f>AVERAGE(F4270:F4469)</f>
        <v/>
      </c>
    </row>
    <row r="4470">
      <c r="C4470" s="539" t="n">
        <v>45938</v>
      </c>
      <c r="D4470" t="n">
        <v>372.2999877929688</v>
      </c>
      <c r="E4470" t="n">
        <v>73.52999877929688</v>
      </c>
      <c r="F4470" t="n">
        <v>25.71268272399902</v>
      </c>
      <c r="G4470" t="n">
        <v>88.49127197265625</v>
      </c>
      <c r="H4470">
        <f>AVERAGE(D4271:D4470)</f>
        <v/>
      </c>
      <c r="I4470">
        <f>AVERAGE(E4271:E4470)</f>
        <v/>
      </c>
      <c r="J4470">
        <f>AVERAGE(F4271:F4470)</f>
        <v/>
      </c>
    </row>
    <row r="4471">
      <c r="C4471" s="539" t="n">
        <v>45939</v>
      </c>
      <c r="D4471" t="n">
        <v>365.4299926757812</v>
      </c>
      <c r="E4471" t="n">
        <v>72.51000213623047</v>
      </c>
      <c r="F4471" t="n">
        <v>25.56790542602539</v>
      </c>
      <c r="G4471" t="n">
        <v>88.49127197265625</v>
      </c>
      <c r="H4471">
        <f>AVERAGE(D4272:D4471)</f>
        <v/>
      </c>
      <c r="I4471">
        <f>AVERAGE(E4272:E4471)</f>
        <v/>
      </c>
      <c r="J4471">
        <f>AVERAGE(F4272:F4471)</f>
        <v/>
      </c>
    </row>
    <row r="4472">
      <c r="C4472" s="539" t="n">
        <v>45940</v>
      </c>
      <c r="D4472" t="n">
        <v>369.1199951171875</v>
      </c>
      <c r="E4472" t="n">
        <v>69.38999938964844</v>
      </c>
      <c r="F4472" t="n">
        <v>25.40382194519043</v>
      </c>
      <c r="G4472" t="n">
        <v>88.52993774414062</v>
      </c>
      <c r="H4472">
        <f>AVERAGE(D4273:D4472)</f>
        <v/>
      </c>
      <c r="I4472">
        <f>AVERAGE(E4273:E4472)</f>
        <v/>
      </c>
      <c r="J4472">
        <f>AVERAGE(F4273:F4472)</f>
        <v/>
      </c>
    </row>
    <row r="4473">
      <c r="C4473" s="539" t="n">
        <v>45943</v>
      </c>
      <c r="D4473" t="n">
        <v>378.0899963378906</v>
      </c>
      <c r="E4473" t="n">
        <v>70.27999877929688</v>
      </c>
      <c r="F4473" t="n">
        <v>25.49069023132324</v>
      </c>
      <c r="G4473" t="n">
        <v>88.53962707519531</v>
      </c>
      <c r="H4473">
        <f>AVERAGE(D4274:D4473)</f>
        <v/>
      </c>
      <c r="I4473">
        <f>AVERAGE(E4274:E4473)</f>
        <v/>
      </c>
      <c r="J4473">
        <f>AVERAGE(F4274:F4473)</f>
        <v/>
      </c>
    </row>
    <row r="4474">
      <c r="C4474" s="539" t="n">
        <v>45944</v>
      </c>
      <c r="D4474" t="n">
        <v>380.7900085449219</v>
      </c>
      <c r="E4474" t="n">
        <v>69</v>
      </c>
      <c r="F4474" t="n">
        <v>25.66442489624023</v>
      </c>
      <c r="G4474" t="n">
        <v>88.53962707519531</v>
      </c>
      <c r="H4474">
        <f>AVERAGE(D4275:D4474)</f>
        <v/>
      </c>
      <c r="I4474">
        <f>AVERAGE(E4275:E4474)</f>
        <v/>
      </c>
      <c r="J4474">
        <f>AVERAGE(F4275:F4474)</f>
        <v/>
      </c>
    </row>
    <row r="4475">
      <c r="C4475" s="539" t="n">
        <v>45945</v>
      </c>
      <c r="D4475" t="n">
        <v>387.3900146484375</v>
      </c>
      <c r="E4475" t="n">
        <v>68.98999786376953</v>
      </c>
      <c r="F4475" t="n">
        <v>25.65477180480957</v>
      </c>
      <c r="G4475" t="n">
        <v>88.54928588867188</v>
      </c>
      <c r="H4475">
        <f>AVERAGE(D4276:D4475)</f>
        <v/>
      </c>
      <c r="I4475">
        <f>AVERAGE(E4276:E4475)</f>
        <v/>
      </c>
      <c r="J4475">
        <f>AVERAGE(F4276:F4475)</f>
        <v/>
      </c>
    </row>
    <row r="4476">
      <c r="C4476" s="539" t="n">
        <v>45946</v>
      </c>
      <c r="D4476" t="n">
        <v>396.4500122070312</v>
      </c>
      <c r="E4476" t="n">
        <v>67.80999755859375</v>
      </c>
      <c r="F4476" t="n">
        <v>25.79955101013184</v>
      </c>
      <c r="G4476" t="n">
        <v>88.55895233154297</v>
      </c>
      <c r="H4476">
        <f>AVERAGE(D4277:D4476)</f>
        <v/>
      </c>
      <c r="I4476">
        <f>AVERAGE(E4277:E4476)</f>
        <v/>
      </c>
      <c r="J4476">
        <f>AVERAGE(F4277:F4476)</f>
        <v/>
      </c>
    </row>
    <row r="4477">
      <c r="C4477" s="539" t="n">
        <v>45947</v>
      </c>
      <c r="D4477" t="n">
        <v>388.989990234375</v>
      </c>
      <c r="E4477" t="n">
        <v>67.98000335693359</v>
      </c>
      <c r="F4477" t="n">
        <v>25.61616516113281</v>
      </c>
      <c r="G4477" t="n">
        <v>88.57830810546875</v>
      </c>
      <c r="H4477">
        <f>AVERAGE(D4278:D4477)</f>
        <v/>
      </c>
      <c r="I4477">
        <f>AVERAGE(E4278:E4477)</f>
        <v/>
      </c>
      <c r="J4477">
        <f>AVERAGE(F4278:F4477)</f>
        <v/>
      </c>
    </row>
    <row r="4478">
      <c r="C4478" s="539" t="n">
        <v>45950</v>
      </c>
      <c r="D4478" t="n">
        <v>403.1499938964844</v>
      </c>
      <c r="E4478" t="n">
        <v>67.83000183105469</v>
      </c>
      <c r="F4478" t="n">
        <v>25.83815956115723</v>
      </c>
      <c r="G4478" t="n">
        <v>88.59761810302734</v>
      </c>
      <c r="H4478">
        <f>AVERAGE(D4279:D4478)</f>
        <v/>
      </c>
      <c r="I4478">
        <f>AVERAGE(E4279:E4478)</f>
        <v/>
      </c>
      <c r="J4478">
        <f>AVERAGE(F4279:F4478)</f>
        <v/>
      </c>
    </row>
    <row r="4479">
      <c r="C4479" s="539" t="n">
        <v>45951</v>
      </c>
      <c r="D4479" t="n">
        <v>377.239990234375</v>
      </c>
      <c r="E4479" t="n">
        <v>68.26999664306641</v>
      </c>
      <c r="F4479" t="n">
        <v>25.89607048034668</v>
      </c>
      <c r="G4479" t="n">
        <v>88.59761810302734</v>
      </c>
      <c r="H4479">
        <f>AVERAGE(D4280:D4479)</f>
        <v/>
      </c>
      <c r="I4479">
        <f>AVERAGE(E4280:E4479)</f>
        <v/>
      </c>
      <c r="J4479">
        <f>AVERAGE(F4280:F4479)</f>
        <v/>
      </c>
    </row>
    <row r="4480">
      <c r="C4480" s="539" t="n">
        <v>45952</v>
      </c>
      <c r="D4480" t="n">
        <v>377.2799987792969</v>
      </c>
      <c r="E4480" t="n">
        <v>70.62999725341797</v>
      </c>
      <c r="F4480" t="n">
        <v>26.02154350280762</v>
      </c>
      <c r="G4480" t="n">
        <v>88.61697387695312</v>
      </c>
      <c r="H4480">
        <f>AVERAGE(D4281:D4480)</f>
        <v/>
      </c>
      <c r="I4480">
        <f>AVERAGE(E4281:E4480)</f>
        <v/>
      </c>
      <c r="J4480">
        <f>AVERAGE(F4281:F4480)</f>
        <v/>
      </c>
    </row>
    <row r="4481">
      <c r="C4481" s="539" t="n">
        <v>45953</v>
      </c>
      <c r="D4481" t="n">
        <v>378.7900085449219</v>
      </c>
      <c r="E4481" t="n">
        <v>73.29000091552734</v>
      </c>
      <c r="F4481" t="n">
        <v>25.98293685913086</v>
      </c>
      <c r="G4481" t="n">
        <v>88.62662506103516</v>
      </c>
      <c r="H4481">
        <f>AVERAGE(D4282:D4481)</f>
        <v/>
      </c>
      <c r="I4481">
        <f>AVERAGE(E4282:E4481)</f>
        <v/>
      </c>
      <c r="J4481">
        <f>AVERAGE(F4282:F4481)</f>
        <v/>
      </c>
    </row>
    <row r="4482">
      <c r="C4482" s="539" t="n">
        <v>45954</v>
      </c>
      <c r="D4482" t="n">
        <v>377.5199890136719</v>
      </c>
      <c r="E4482" t="n">
        <v>73.18000030517578</v>
      </c>
      <c r="F4482" t="n">
        <v>25.66442489624023</v>
      </c>
      <c r="G4482" t="n">
        <v>88.65563201904297</v>
      </c>
      <c r="H4482">
        <f>AVERAGE(D4283:D4482)</f>
        <v/>
      </c>
      <c r="I4482">
        <f>AVERAGE(E4283:E4482)</f>
        <v/>
      </c>
      <c r="J4482">
        <f>AVERAGE(F4283:F4482)</f>
        <v/>
      </c>
    </row>
    <row r="4483">
      <c r="C4483" s="539" t="n">
        <v>45957</v>
      </c>
      <c r="D4483" t="n">
        <v>367.010009765625</v>
      </c>
      <c r="E4483" t="n">
        <v>73.12000274658203</v>
      </c>
      <c r="F4483" t="n">
        <v>25.37486839294434</v>
      </c>
      <c r="G4483" t="n">
        <v>88.65563201904297</v>
      </c>
      <c r="H4483">
        <f>AVERAGE(D4284:D4483)</f>
        <v/>
      </c>
      <c r="I4483">
        <f>AVERAGE(E4284:E4483)</f>
        <v/>
      </c>
      <c r="J4483">
        <f>AVERAGE(F4284:F4483)</f>
        <v/>
      </c>
    </row>
    <row r="4484">
      <c r="C4484" s="539" t="n">
        <v>45958</v>
      </c>
      <c r="D4484" t="n">
        <v>364.3800048828125</v>
      </c>
      <c r="E4484" t="n">
        <v>71.38999938964844</v>
      </c>
      <c r="F4484" t="n">
        <v>25.24939155578613</v>
      </c>
      <c r="G4484" t="n">
        <v>88.66530609130859</v>
      </c>
      <c r="H4484">
        <f>AVERAGE(D4285:D4484)</f>
        <v/>
      </c>
      <c r="I4484">
        <f>AVERAGE(E4285:E4484)</f>
        <v/>
      </c>
      <c r="J4484">
        <f>AVERAGE(F4285:F4484)</f>
        <v/>
      </c>
    </row>
    <row r="4485">
      <c r="C4485" s="539" t="n">
        <v>45959</v>
      </c>
      <c r="D4485" t="n">
        <v>363</v>
      </c>
      <c r="E4485" t="n">
        <v>71.80000305175781</v>
      </c>
      <c r="F4485" t="n">
        <v>25.40382194519043</v>
      </c>
      <c r="G4485" t="n">
        <v>88.69430541992188</v>
      </c>
      <c r="H4485">
        <f>AVERAGE(D4286:D4485)</f>
        <v/>
      </c>
      <c r="I4485">
        <f>AVERAGE(E4286:E4485)</f>
        <v/>
      </c>
      <c r="J4485">
        <f>AVERAGE(F4286:F4485)</f>
        <v/>
      </c>
    </row>
    <row r="4486">
      <c r="C4486" s="539" t="n">
        <v>45960</v>
      </c>
      <c r="D4486" t="n">
        <v>370.1300048828125</v>
      </c>
      <c r="E4486" t="n">
        <v>71.70999908447266</v>
      </c>
      <c r="F4486" t="n">
        <v>25.34591102600098</v>
      </c>
      <c r="G4486" t="n">
        <v>88.69430541992188</v>
      </c>
      <c r="H4486">
        <f>AVERAGE(D4287:D4486)</f>
        <v/>
      </c>
      <c r="I4486">
        <f>AVERAGE(E4287:E4486)</f>
        <v/>
      </c>
      <c r="J4486">
        <f>AVERAGE(F4287:F4486)</f>
        <v/>
      </c>
    </row>
    <row r="4487">
      <c r="C4487" s="539" t="n">
        <v>45961</v>
      </c>
      <c r="D4487" t="n">
        <v>368.1199951171875</v>
      </c>
      <c r="E4487" t="n">
        <v>72.55999755859375</v>
      </c>
      <c r="F4487" t="n">
        <v>25.45208358764648</v>
      </c>
      <c r="G4487" t="n">
        <v>88.71365356445312</v>
      </c>
      <c r="H4487">
        <f>AVERAGE(D4288:D4487)</f>
        <v/>
      </c>
      <c r="I4487">
        <f>AVERAGE(E4288:E4487)</f>
        <v/>
      </c>
      <c r="J4487">
        <f>AVERAGE(F4288:F4487)</f>
        <v/>
      </c>
    </row>
    <row r="4488">
      <c r="C4488" s="539" t="n">
        <v>45964</v>
      </c>
      <c r="D4488" t="n">
        <v>368.7799987792969</v>
      </c>
      <c r="E4488" t="n">
        <v>72.73999786376953</v>
      </c>
      <c r="F4488" t="n">
        <v>25.98293685913086</v>
      </c>
      <c r="G4488" t="n">
        <v>88.72626495361328</v>
      </c>
      <c r="H4488">
        <f>AVERAGE(D4289:D4488)</f>
        <v/>
      </c>
      <c r="I4488">
        <f>AVERAGE(E4289:E4488)</f>
        <v/>
      </c>
      <c r="J4488">
        <f>AVERAGE(F4289:F4488)</f>
        <v/>
      </c>
    </row>
    <row r="4489">
      <c r="C4489" s="539" t="n">
        <v>45965</v>
      </c>
      <c r="D4489" t="n">
        <v>362.3200073242188</v>
      </c>
      <c r="E4489" t="n">
        <v>71.93000030517578</v>
      </c>
      <c r="F4489" t="n">
        <v>25.72233581542969</v>
      </c>
      <c r="G4489" t="n">
        <v>88.7359619140625</v>
      </c>
      <c r="H4489">
        <f>AVERAGE(D4290:D4489)</f>
        <v/>
      </c>
      <c r="I4489">
        <f>AVERAGE(E4290:E4489)</f>
        <v/>
      </c>
      <c r="J4489">
        <f>AVERAGE(F4290:F4489)</f>
        <v/>
      </c>
    </row>
    <row r="4490">
      <c r="C4490" s="539" t="n">
        <v>45966</v>
      </c>
      <c r="D4490" t="n">
        <v>366.510009765625</v>
      </c>
      <c r="E4490" t="n">
        <v>71.02999877929688</v>
      </c>
      <c r="F4490" t="n">
        <v>25.62581634521484</v>
      </c>
      <c r="G4490" t="n">
        <v>88.74564361572266</v>
      </c>
      <c r="H4490">
        <f>AVERAGE(D4291:D4490)</f>
        <v/>
      </c>
      <c r="I4490">
        <f>AVERAGE(E4291:E4490)</f>
        <v/>
      </c>
      <c r="J4490">
        <f>AVERAGE(F4291:F4490)</f>
        <v/>
      </c>
    </row>
    <row r="4491">
      <c r="C4491" s="539" t="n">
        <v>45967</v>
      </c>
      <c r="D4491" t="n">
        <v>366.0700073242188</v>
      </c>
      <c r="E4491" t="n">
        <v>70.87999725341797</v>
      </c>
      <c r="F4491" t="n">
        <v>25.20113372802734</v>
      </c>
      <c r="G4491" t="n">
        <v>88.75535583496094</v>
      </c>
      <c r="H4491">
        <f>AVERAGE(D4292:D4491)</f>
        <v/>
      </c>
      <c r="I4491">
        <f>AVERAGE(E4292:E4491)</f>
        <v/>
      </c>
      <c r="J4491">
        <f>AVERAGE(F4292:F4491)</f>
        <v/>
      </c>
    </row>
    <row r="4492">
      <c r="C4492" s="539" t="n">
        <v>45968</v>
      </c>
      <c r="D4492" t="n">
        <v>368.3099975585938</v>
      </c>
      <c r="E4492" t="n">
        <v>71.26000213623047</v>
      </c>
      <c r="F4492" t="n">
        <v>25.28800010681152</v>
      </c>
      <c r="G4492" t="n">
        <v>88.78444671630859</v>
      </c>
      <c r="H4492">
        <f>AVERAGE(D4293:D4492)</f>
        <v/>
      </c>
      <c r="I4492">
        <f>AVERAGE(E4293:E4492)</f>
        <v/>
      </c>
      <c r="J4492">
        <f>AVERAGE(F4293:F4492)</f>
        <v/>
      </c>
    </row>
    <row r="4493">
      <c r="C4493" s="539" t="n">
        <v>45971</v>
      </c>
      <c r="D4493" t="n">
        <v>378.3800048828125</v>
      </c>
      <c r="E4493" t="n">
        <v>71.68000030517578</v>
      </c>
      <c r="F4493" t="n">
        <v>25.68372917175293</v>
      </c>
      <c r="G4493" t="n">
        <v>88.80384826660156</v>
      </c>
      <c r="H4493">
        <f>AVERAGE(D4294:D4493)</f>
        <v/>
      </c>
      <c r="I4493">
        <f>AVERAGE(E4294:E4493)</f>
        <v/>
      </c>
      <c r="J4493">
        <f>AVERAGE(F4294:F4493)</f>
        <v/>
      </c>
    </row>
    <row r="4494">
      <c r="C4494" s="539" t="n">
        <v>45972</v>
      </c>
      <c r="D4494" t="n">
        <v>379.8699951171875</v>
      </c>
      <c r="E4494" t="n">
        <v>72.72000122070312</v>
      </c>
      <c r="F4494" t="n">
        <v>25.61616516113281</v>
      </c>
      <c r="G4494" t="n">
        <v>88.79415893554688</v>
      </c>
      <c r="H4494">
        <f>AVERAGE(D4295:D4494)</f>
        <v/>
      </c>
      <c r="I4494">
        <f>AVERAGE(E4295:E4494)</f>
        <v/>
      </c>
      <c r="J4494">
        <f>AVERAGE(F4295:F4494)</f>
        <v/>
      </c>
    </row>
    <row r="4495">
      <c r="C4495" s="539" t="n">
        <v>45973</v>
      </c>
      <c r="D4495" t="n">
        <v>385.989990234375</v>
      </c>
      <c r="E4495" t="n">
        <v>69.79000091552734</v>
      </c>
      <c r="F4495" t="n">
        <v>25.48103713989258</v>
      </c>
      <c r="G4495" t="n">
        <v>88.80384826660156</v>
      </c>
      <c r="H4495">
        <f>AVERAGE(D4296:D4495)</f>
        <v/>
      </c>
      <c r="I4495">
        <f>AVERAGE(E4296:E4495)</f>
        <v/>
      </c>
      <c r="J4495">
        <f>AVERAGE(F4296:F4495)</f>
        <v/>
      </c>
    </row>
    <row r="4496">
      <c r="C4496" s="539" t="n">
        <v>45974</v>
      </c>
      <c r="D4496" t="n">
        <v>382.8699951171875</v>
      </c>
      <c r="E4496" t="n">
        <v>69.84999847412109</v>
      </c>
      <c r="F4496" t="n">
        <v>25.32660675048828</v>
      </c>
      <c r="G4496" t="n">
        <v>88.81355285644531</v>
      </c>
      <c r="H4496">
        <f>AVERAGE(D4297:D4496)</f>
        <v/>
      </c>
      <c r="I4496">
        <f>AVERAGE(E4297:E4496)</f>
        <v/>
      </c>
      <c r="J4496">
        <f>AVERAGE(F4297:F4496)</f>
        <v/>
      </c>
    </row>
    <row r="4497">
      <c r="C4497" s="539" t="n">
        <v>45975</v>
      </c>
      <c r="D4497" t="n">
        <v>375.9599914550781</v>
      </c>
      <c r="E4497" t="n">
        <v>71.37999725341797</v>
      </c>
      <c r="F4497" t="n">
        <v>25.18182945251465</v>
      </c>
      <c r="G4497" t="n">
        <v>88.85235595703125</v>
      </c>
      <c r="H4497">
        <f>AVERAGE(D4298:D4497)</f>
        <v/>
      </c>
      <c r="I4497">
        <f>AVERAGE(E4298:E4497)</f>
        <v/>
      </c>
      <c r="J4497">
        <f>AVERAGE(F4298:F4497)</f>
        <v/>
      </c>
    </row>
    <row r="4498">
      <c r="C4498" s="539" t="n">
        <v>45978</v>
      </c>
      <c r="D4498" t="n">
        <v>371.6499938964844</v>
      </c>
      <c r="E4498" t="n">
        <v>71.30000305175781</v>
      </c>
      <c r="F4498" t="n">
        <v>25.50999450683594</v>
      </c>
      <c r="G4498" t="n">
        <v>88.85235595703125</v>
      </c>
      <c r="H4498">
        <f>AVERAGE(D4299:D4498)</f>
        <v/>
      </c>
      <c r="I4498">
        <f>AVERAGE(E4299:E4498)</f>
        <v/>
      </c>
      <c r="J4498">
        <f>AVERAGE(F4299:F4498)</f>
        <v/>
      </c>
    </row>
    <row r="4499">
      <c r="C4499" s="539" t="n">
        <v>45979</v>
      </c>
      <c r="D4499" t="n">
        <v>374.3500061035156</v>
      </c>
      <c r="E4499" t="n">
        <v>72.5</v>
      </c>
      <c r="F4499" t="n">
        <v>25.48103713989258</v>
      </c>
      <c r="G4499" t="n">
        <v>88.87176513671875</v>
      </c>
      <c r="H4499">
        <f>AVERAGE(D4300:D4499)</f>
        <v/>
      </c>
      <c r="I4499">
        <f>AVERAGE(E4300:E4499)</f>
        <v/>
      </c>
      <c r="J4499">
        <f>AVERAGE(F4300:F4499)</f>
        <v/>
      </c>
    </row>
    <row r="4500">
      <c r="C4500" s="539" t="n">
        <v>45980</v>
      </c>
      <c r="D4500" t="n">
        <v>374.9599914550781</v>
      </c>
      <c r="E4500" t="n">
        <v>70.87999725341797</v>
      </c>
      <c r="F4500" t="n">
        <v>25.18182945251465</v>
      </c>
      <c r="G4500" t="n">
        <v>88.87176513671875</v>
      </c>
      <c r="H4500">
        <f>AVERAGE(D4301:D4500)</f>
        <v/>
      </c>
      <c r="I4500">
        <f>AVERAGE(E4301:E4500)</f>
        <v/>
      </c>
      <c r="J4500">
        <f>AVERAGE(F4301:F4500)</f>
        <v/>
      </c>
    </row>
    <row r="4501">
      <c r="C4501" s="539" t="n">
        <v>45981</v>
      </c>
      <c r="D4501" t="n">
        <v>374.8500061035156</v>
      </c>
      <c r="E4501" t="n">
        <v>70.15000152587891</v>
      </c>
      <c r="F4501" t="n">
        <v>25.03705024719238</v>
      </c>
      <c r="G4501" t="n">
        <v>88.89115142822266</v>
      </c>
      <c r="H4501">
        <f>AVERAGE(D4302:D4501)</f>
        <v/>
      </c>
      <c r="I4501">
        <f>AVERAGE(E4302:E4501)</f>
        <v/>
      </c>
      <c r="J4501">
        <f>AVERAGE(F4302:F4501)</f>
        <v/>
      </c>
    </row>
    <row r="4502">
      <c r="C4502" s="539" t="n">
        <v>45982</v>
      </c>
      <c r="D4502" t="n">
        <v>374.2699890136719</v>
      </c>
      <c r="E4502" t="n">
        <v>69.30000305175781</v>
      </c>
      <c r="F4502" t="n">
        <v>24.9791374206543</v>
      </c>
      <c r="G4502" t="n">
        <v>88.91056823730469</v>
      </c>
      <c r="H4502">
        <f>AVERAGE(D4303:D4502)</f>
        <v/>
      </c>
      <c r="I4502">
        <f>AVERAGE(E4303:E4502)</f>
        <v/>
      </c>
      <c r="J4502">
        <f>AVERAGE(F4303:F4502)</f>
        <v/>
      </c>
    </row>
    <row r="4503">
      <c r="C4503" s="539" t="n">
        <v>45985</v>
      </c>
      <c r="D4503" t="n">
        <v>380.2000122070312</v>
      </c>
      <c r="E4503" t="n">
        <v>70.41999816894531</v>
      </c>
      <c r="F4503" t="n">
        <v>24.78610038757324</v>
      </c>
      <c r="G4503" t="n">
        <v>88.91056823730469</v>
      </c>
      <c r="H4503">
        <f>AVERAGE(D4304:D4503)</f>
        <v/>
      </c>
      <c r="I4503">
        <f>AVERAGE(E4304:E4503)</f>
        <v/>
      </c>
      <c r="J4503">
        <f>AVERAGE(F4304:F4503)</f>
        <v/>
      </c>
    </row>
    <row r="4504">
      <c r="C4504" s="539" t="n">
        <v>45986</v>
      </c>
      <c r="D4504" t="n">
        <v>380.0799865722656</v>
      </c>
      <c r="E4504" t="n">
        <v>69.25</v>
      </c>
      <c r="F4504" t="n">
        <v>24.9501838684082</v>
      </c>
      <c r="G4504" t="n">
        <v>88.92995452880859</v>
      </c>
      <c r="H4504">
        <f>AVERAGE(D4305:D4504)</f>
        <v/>
      </c>
      <c r="I4504">
        <f>AVERAGE(E4305:E4504)</f>
        <v/>
      </c>
      <c r="J4504">
        <f>AVERAGE(F4305:F4504)</f>
        <v/>
      </c>
    </row>
    <row r="4505">
      <c r="C4505" s="539" t="n">
        <v>45987</v>
      </c>
      <c r="D4505" t="n">
        <v>383.1199951171875</v>
      </c>
      <c r="E4505" t="n">
        <v>70.04000091552734</v>
      </c>
      <c r="F4505" t="n">
        <v>25.22043609619141</v>
      </c>
      <c r="G4505" t="n">
        <v>88.93965148925781</v>
      </c>
      <c r="H4505">
        <f>AVERAGE(D4306:D4505)</f>
        <v/>
      </c>
      <c r="I4505">
        <f>AVERAGE(E4306:E4505)</f>
        <v/>
      </c>
      <c r="J4505">
        <f>AVERAGE(F4306:F4505)</f>
        <v/>
      </c>
    </row>
    <row r="4506">
      <c r="C4506" s="539" t="n">
        <v>45989</v>
      </c>
      <c r="D4506" t="n">
        <v>387.8800048828125</v>
      </c>
      <c r="E4506" t="n">
        <v>71.06999969482422</v>
      </c>
      <c r="F4506" t="n">
        <v>25.50034141540527</v>
      </c>
      <c r="G4506" t="n">
        <v>88.96876525878906</v>
      </c>
      <c r="H4506">
        <f>AVERAGE(D4307:D4506)</f>
        <v/>
      </c>
      <c r="I4506">
        <f>AVERAGE(E4307:E4506)</f>
        <v/>
      </c>
      <c r="J4506">
        <f>AVERAGE(F4307:F4506)</f>
        <v/>
      </c>
    </row>
    <row r="4507">
      <c r="C4507" s="539" t="n">
        <v>45992</v>
      </c>
      <c r="D4507" t="n">
        <v>389.75</v>
      </c>
      <c r="E4507" t="n">
        <v>71.05999755859375</v>
      </c>
      <c r="F4507" t="n">
        <v>25.37486839294434</v>
      </c>
      <c r="G4507" t="n">
        <v>88.97945404052734</v>
      </c>
      <c r="H4507">
        <f>AVERAGE(D4308:D4507)</f>
        <v/>
      </c>
      <c r="I4507">
        <f>AVERAGE(E4308:E4507)</f>
        <v/>
      </c>
      <c r="J4507">
        <f>AVERAGE(F4308:F4507)</f>
        <v/>
      </c>
    </row>
    <row r="4508">
      <c r="C4508" s="539" t="n">
        <v>45993</v>
      </c>
      <c r="D4508" t="n">
        <v>387.239990234375</v>
      </c>
      <c r="E4508" t="n">
        <v>70.19999694824219</v>
      </c>
      <c r="F4508" t="n">
        <v>25.49069023132324</v>
      </c>
      <c r="G4508" t="n">
        <v>89.00865173339844</v>
      </c>
      <c r="H4508">
        <f>AVERAGE(D4309:D4508)</f>
        <v/>
      </c>
      <c r="I4508">
        <f>AVERAGE(E4309:E4508)</f>
        <v/>
      </c>
      <c r="J4508">
        <f>AVERAGE(F4309:F4508)</f>
        <v/>
      </c>
    </row>
    <row r="4509">
      <c r="C4509" s="539" t="n">
        <v>45994</v>
      </c>
      <c r="D4509" t="n">
        <v>386.8800048828125</v>
      </c>
      <c r="E4509" t="n">
        <v>70.66000366210938</v>
      </c>
      <c r="F4509" t="n">
        <v>25.46173286437988</v>
      </c>
      <c r="G4509" t="n">
        <v>89.01837158203125</v>
      </c>
      <c r="H4509">
        <f>AVERAGE(D4310:D4509)</f>
        <v/>
      </c>
      <c r="I4509">
        <f>AVERAGE(E4310:E4509)</f>
        <v/>
      </c>
      <c r="J4509">
        <f>AVERAGE(F4310:F4509)</f>
        <v/>
      </c>
    </row>
    <row r="4510">
      <c r="C4510" s="539" t="n">
        <v>45995</v>
      </c>
      <c r="D4510" t="n">
        <v>387.1300048828125</v>
      </c>
      <c r="E4510" t="n">
        <v>71.38999938964844</v>
      </c>
      <c r="F4510" t="n">
        <v>25.53894805908203</v>
      </c>
      <c r="G4510" t="n">
        <v>89.02811431884766</v>
      </c>
      <c r="H4510">
        <f>AVERAGE(D4311:D4510)</f>
        <v/>
      </c>
      <c r="I4510">
        <f>AVERAGE(E4311:E4510)</f>
        <v/>
      </c>
      <c r="J4510">
        <f>AVERAGE(F4311:F4510)</f>
        <v/>
      </c>
    </row>
    <row r="4511">
      <c r="C4511" s="539" t="n">
        <v>45996</v>
      </c>
      <c r="D4511" t="n">
        <v>386.4400024414062</v>
      </c>
      <c r="E4511" t="n">
        <v>71.91999816894531</v>
      </c>
      <c r="F4511" t="n">
        <v>25.59686088562012</v>
      </c>
      <c r="G4511" t="n">
        <v>89.04756927490234</v>
      </c>
      <c r="H4511">
        <f>AVERAGE(D4312:D4511)</f>
        <v/>
      </c>
      <c r="I4511">
        <f>AVERAGE(E4312:E4511)</f>
        <v/>
      </c>
      <c r="J4511">
        <f>AVERAGE(F4312:F4511)</f>
        <v/>
      </c>
    </row>
    <row r="4512">
      <c r="C4512" s="539" t="n">
        <v>45999</v>
      </c>
      <c r="D4512" t="n">
        <v>385.4200134277344</v>
      </c>
      <c r="E4512" t="n">
        <v>70.48999786376953</v>
      </c>
      <c r="F4512" t="n">
        <v>25.48103713989258</v>
      </c>
      <c r="G4512" t="n">
        <v>89.05729675292969</v>
      </c>
      <c r="H4512">
        <f>AVERAGE(D4313:D4512)</f>
        <v/>
      </c>
      <c r="I4512">
        <f>AVERAGE(E4313:E4512)</f>
        <v/>
      </c>
      <c r="J4512">
        <f>AVERAGE(F4313:F4512)</f>
        <v/>
      </c>
    </row>
    <row r="4513">
      <c r="C4513" s="539" t="n">
        <v>46000</v>
      </c>
      <c r="D4513" t="n">
        <v>387.3999938964844</v>
      </c>
      <c r="E4513" t="n">
        <v>69.86000061035156</v>
      </c>
      <c r="F4513" t="n">
        <v>25.48103713989258</v>
      </c>
      <c r="G4513" t="n">
        <v>89.07675933837891</v>
      </c>
      <c r="H4513">
        <f>AVERAGE(D4314:D4513)</f>
        <v/>
      </c>
      <c r="I4513">
        <f>AVERAGE(E4314:E4513)</f>
        <v/>
      </c>
      <c r="J4513">
        <f>AVERAGE(F4314:F4513)</f>
        <v/>
      </c>
    </row>
    <row r="4514">
      <c r="C4514" s="539" t="n">
        <v>46001</v>
      </c>
      <c r="D4514" t="n">
        <v>389.0499877929688</v>
      </c>
      <c r="E4514" t="n">
        <v>70.54000091552734</v>
      </c>
      <c r="F4514" t="n">
        <v>25.56790542602539</v>
      </c>
      <c r="G4514" t="n">
        <v>89.07675933837891</v>
      </c>
      <c r="H4514">
        <f>AVERAGE(D4315:D4514)</f>
        <v/>
      </c>
      <c r="I4514">
        <f>AVERAGE(E4315:E4514)</f>
        <v/>
      </c>
      <c r="J4514">
        <f>AVERAGE(F4315:F4514)</f>
        <v/>
      </c>
    </row>
    <row r="4515">
      <c r="C4515" s="539" t="n">
        <v>46002</v>
      </c>
      <c r="D4515" t="n">
        <v>393.239990234375</v>
      </c>
      <c r="E4515" t="n">
        <v>69.25</v>
      </c>
      <c r="F4515" t="n">
        <v>25.71268272399902</v>
      </c>
      <c r="G4515" t="n">
        <v>89.08648681640625</v>
      </c>
      <c r="H4515">
        <f>AVERAGE(D4316:D4515)</f>
        <v/>
      </c>
      <c r="I4515">
        <f>AVERAGE(E4316:E4515)</f>
        <v/>
      </c>
      <c r="J4515">
        <f>AVERAGE(F4316:F4515)</f>
        <v/>
      </c>
    </row>
    <row r="4516">
      <c r="C4516" s="539" t="n">
        <v>46003</v>
      </c>
      <c r="D4516" t="n">
        <v>395.4400024414062</v>
      </c>
      <c r="E4516" t="n">
        <v>68.80999755859375</v>
      </c>
      <c r="F4516" t="n">
        <v>25.59686088562012</v>
      </c>
      <c r="G4516" t="n">
        <v>89.12540435791016</v>
      </c>
      <c r="H4516">
        <f>AVERAGE(D4317:D4516)</f>
        <v/>
      </c>
      <c r="I4516">
        <f>AVERAGE(E4317:E4516)</f>
        <v/>
      </c>
      <c r="J4516">
        <f>AVERAGE(F4317:F4516)</f>
        <v/>
      </c>
    </row>
    <row r="4517">
      <c r="C4517" s="539" t="n">
        <v>46006</v>
      </c>
      <c r="D4517" t="n">
        <v>395.7999877929688</v>
      </c>
      <c r="E4517" t="n">
        <v>67.88999938964844</v>
      </c>
      <c r="F4517" t="n">
        <v>25.42312622070312</v>
      </c>
      <c r="G4517" t="n">
        <v>89.12540435791016</v>
      </c>
      <c r="H4517">
        <f>AVERAGE(D4318:D4517)</f>
        <v/>
      </c>
      <c r="I4517">
        <f>AVERAGE(E4318:E4517)</f>
        <v/>
      </c>
      <c r="J4517">
        <f>AVERAGE(F4318:F4517)</f>
        <v/>
      </c>
    </row>
    <row r="4518">
      <c r="C4518" s="539" t="n">
        <v>46007</v>
      </c>
      <c r="D4518" t="n">
        <v>395.8900146484375</v>
      </c>
      <c r="E4518" t="n">
        <v>66.16999816894531</v>
      </c>
      <c r="F4518" t="n">
        <v>25.33625984191895</v>
      </c>
      <c r="G4518" t="n">
        <v>89.1351318359375</v>
      </c>
      <c r="H4518">
        <f>AVERAGE(D4319:D4518)</f>
        <v/>
      </c>
      <c r="I4518">
        <f>AVERAGE(E4319:E4518)</f>
        <v/>
      </c>
      <c r="J4518">
        <f>AVERAGE(F4319:F4518)</f>
        <v/>
      </c>
    </row>
    <row r="4519">
      <c r="C4519" s="539" t="n">
        <v>46008</v>
      </c>
      <c r="D4519" t="n">
        <v>399.2900085449219</v>
      </c>
      <c r="E4519" t="n">
        <v>67.98000335693359</v>
      </c>
      <c r="F4519" t="n">
        <v>25.28800010681152</v>
      </c>
      <c r="G4519" t="n">
        <v>89.14487457275391</v>
      </c>
      <c r="H4519">
        <f>AVERAGE(D4320:D4519)</f>
        <v/>
      </c>
      <c r="I4519">
        <f>AVERAGE(E4320:E4519)</f>
        <v/>
      </c>
      <c r="J4519">
        <f>AVERAGE(F4320:F4519)</f>
        <v/>
      </c>
    </row>
    <row r="4520">
      <c r="C4520" s="539" t="n">
        <v>46009</v>
      </c>
      <c r="D4520" t="n">
        <v>398.5700073242188</v>
      </c>
      <c r="E4520" t="n">
        <v>67.19000244140625</v>
      </c>
      <c r="F4520" t="n">
        <v>25.2397403717041</v>
      </c>
      <c r="G4520" t="n">
        <v>89.15952301025391</v>
      </c>
      <c r="H4520">
        <f>AVERAGE(D4321:D4520)</f>
        <v/>
      </c>
      <c r="I4520">
        <f>AVERAGE(E4321:E4520)</f>
        <v/>
      </c>
      <c r="J4520">
        <f>AVERAGE(F4321:F4520)</f>
        <v/>
      </c>
    </row>
    <row r="4521">
      <c r="C4521" s="539" t="n">
        <v>46010</v>
      </c>
      <c r="D4521" t="n">
        <v>399.0199890136719</v>
      </c>
      <c r="E4521" t="n">
        <v>68.02999877929688</v>
      </c>
      <c r="F4521" t="n">
        <v>25.28800010681152</v>
      </c>
      <c r="G4521" t="n">
        <v>89.18882751464844</v>
      </c>
      <c r="H4521">
        <f>AVERAGE(D4322:D4521)</f>
        <v/>
      </c>
      <c r="I4521">
        <f>AVERAGE(E4322:E4521)</f>
        <v/>
      </c>
      <c r="J4521">
        <f>AVERAGE(F4322:F4521)</f>
        <v/>
      </c>
    </row>
    <row r="4522">
      <c r="C4522" s="539" t="n">
        <v>46013</v>
      </c>
      <c r="D4522" t="n">
        <v>408.2300109863281</v>
      </c>
      <c r="E4522" t="n">
        <v>69.73000335693359</v>
      </c>
      <c r="F4522" t="n">
        <v>25.44000053405762</v>
      </c>
      <c r="G4522" t="n">
        <v>89.18882751464844</v>
      </c>
      <c r="H4522">
        <f>AVERAGE(D4323:D4522)</f>
        <v/>
      </c>
      <c r="I4522">
        <f>AVERAGE(E4323:E4522)</f>
        <v/>
      </c>
      <c r="J4522">
        <f>AVERAGE(F4323:F4522)</f>
        <v/>
      </c>
    </row>
    <row r="4523">
      <c r="C4523" s="539" t="n">
        <v>46014</v>
      </c>
      <c r="D4523" t="n">
        <v>413.6400146484375</v>
      </c>
      <c r="E4523" t="n">
        <v>70.30000305175781</v>
      </c>
      <c r="F4523" t="n">
        <v>25.47999954223633</v>
      </c>
      <c r="G4523" t="n">
        <v>89.18882751464844</v>
      </c>
      <c r="H4523">
        <f>AVERAGE(D4324:D4523)</f>
        <v/>
      </c>
      <c r="I4523">
        <f>AVERAGE(E4324:E4523)</f>
        <v/>
      </c>
      <c r="J4523">
        <f>AVERAGE(F4324:F4523)</f>
        <v/>
      </c>
    </row>
    <row r="4524">
      <c r="C4524" s="539" t="n">
        <v>46015</v>
      </c>
      <c r="D4524" t="n">
        <v>411.9299926757812</v>
      </c>
      <c r="E4524" t="n">
        <v>70.19999694824219</v>
      </c>
      <c r="F4524" t="n">
        <v>25.64999961853027</v>
      </c>
      <c r="G4524" t="n">
        <v>89.21813201904297</v>
      </c>
      <c r="H4524">
        <f>AVERAGE(D4325:D4524)</f>
        <v/>
      </c>
      <c r="I4524">
        <f>AVERAGE(E4325:E4524)</f>
        <v/>
      </c>
      <c r="J4524">
        <f>AVERAGE(F4325:F4524)</f>
        <v/>
      </c>
    </row>
    <row r="4525">
      <c r="C4525" s="539" t="n">
        <v>46017</v>
      </c>
      <c r="D4525" t="n">
        <v>416.739990234375</v>
      </c>
      <c r="E4525" t="n">
        <v>68.48000335693359</v>
      </c>
      <c r="F4525" t="n">
        <v>25.65999984741211</v>
      </c>
      <c r="G4525" t="n">
        <v>89.24745178222656</v>
      </c>
      <c r="H4525">
        <f>AVERAGE(D4326:D4525)</f>
        <v/>
      </c>
      <c r="I4525">
        <f>AVERAGE(E4326:E4525)</f>
        <v/>
      </c>
      <c r="J4525">
        <f>AVERAGE(F4326:F4525)</f>
        <v/>
      </c>
    </row>
    <row r="4526">
      <c r="C4526" s="539" t="n">
        <v>46020</v>
      </c>
      <c r="D4526" t="n">
        <v>398.6000061035156</v>
      </c>
      <c r="E4526" t="n">
        <v>69.61000061035156</v>
      </c>
      <c r="F4526" t="n">
        <v>25.64999961853027</v>
      </c>
      <c r="G4526" t="n">
        <v>89.24745178222656</v>
      </c>
      <c r="H4526">
        <f>AVERAGE(D4327:D4526)</f>
        <v/>
      </c>
      <c r="I4526">
        <f>AVERAGE(E4327:E4526)</f>
        <v/>
      </c>
      <c r="J4526">
        <f>AVERAGE(F4327:F4526)</f>
        <v/>
      </c>
    </row>
    <row r="4527">
      <c r="C4527" s="539" t="n">
        <v>46021</v>
      </c>
      <c r="D4527" t="n">
        <v>398.8900146484375</v>
      </c>
      <c r="E4527" t="n">
        <v>69.73999786376953</v>
      </c>
      <c r="F4527" t="n">
        <v>25.56999969482422</v>
      </c>
      <c r="G4527" t="n">
        <v>89.25720977783203</v>
      </c>
      <c r="H4527">
        <f>AVERAGE(D4328:D4527)</f>
        <v/>
      </c>
      <c r="I4527">
        <f>AVERAGE(E4328:E4527)</f>
        <v/>
      </c>
      <c r="J4527">
        <f>AVERAGE(F4328:F4527)</f>
        <v/>
      </c>
    </row>
    <row r="4528">
      <c r="C4528" s="539" t="n">
        <v>46022</v>
      </c>
      <c r="D4528" t="n">
        <v>396.3099975585938</v>
      </c>
      <c r="E4528" t="n">
        <v>69.16000366210938</v>
      </c>
      <c r="F4528" t="n">
        <v>25.52000045776367</v>
      </c>
      <c r="G4528" t="n">
        <v>89.2669677734375</v>
      </c>
      <c r="H4528">
        <f>AVERAGE(D4329:D4528)</f>
        <v/>
      </c>
      <c r="I4528">
        <f>AVERAGE(E4329:E4528)</f>
        <v/>
      </c>
      <c r="J4528">
        <f>AVERAGE(F4329:F4528)</f>
        <v/>
      </c>
    </row>
    <row r="4529">
      <c r="C4529" s="539" t="n">
        <v>46024</v>
      </c>
      <c r="D4529" t="n">
        <v>398.2799987792969</v>
      </c>
      <c r="E4529" t="n">
        <v>68.95999908447266</v>
      </c>
      <c r="F4529" t="n">
        <v>25.55999946594238</v>
      </c>
      <c r="G4529" t="n">
        <v>89.30605316162109</v>
      </c>
      <c r="H4529">
        <f>AVERAGE(D4330:D4529)</f>
        <v/>
      </c>
      <c r="I4529">
        <f>AVERAGE(E4330:E4529)</f>
        <v/>
      </c>
      <c r="J4529">
        <f>AVERAGE(F4330:F4529)</f>
        <v/>
      </c>
    </row>
    <row r="4530">
      <c r="C4530" s="539" t="n">
        <v>46027</v>
      </c>
      <c r="D4530" t="n">
        <v>408.760009765625</v>
      </c>
      <c r="E4530" t="n">
        <v>70.22000122070312</v>
      </c>
      <c r="F4530" t="n">
        <v>25.81999969482422</v>
      </c>
      <c r="G4530" t="n">
        <v>89.30605316162109</v>
      </c>
      <c r="H4530">
        <f>AVERAGE(D4331:D4530)</f>
        <v/>
      </c>
      <c r="I4530">
        <f>AVERAGE(E4331:E4530)</f>
        <v/>
      </c>
      <c r="J4530">
        <f>AVERAGE(F4331:F4530)</f>
        <v/>
      </c>
    </row>
    <row r="4531">
      <c r="C4531" s="539" t="n">
        <v>46028</v>
      </c>
      <c r="D4531" t="n">
        <v>413.1799926757812</v>
      </c>
      <c r="E4531" t="n">
        <v>68.51000213623047</v>
      </c>
      <c r="F4531" t="n">
        <v>25.84000015258789</v>
      </c>
      <c r="G4531" t="n">
        <v>89.31581878662109</v>
      </c>
      <c r="H4531">
        <f>AVERAGE(D4332:D4531)</f>
        <v/>
      </c>
      <c r="I4531">
        <f>AVERAGE(E4332:E4531)</f>
        <v/>
      </c>
      <c r="J4531">
        <f>AVERAGE(F4332:F4531)</f>
        <v/>
      </c>
    </row>
    <row r="4532">
      <c r="C4532" s="539" t="n">
        <v>46029</v>
      </c>
      <c r="D4532" t="n">
        <v>409.2300109863281</v>
      </c>
      <c r="E4532" t="n">
        <v>67.79000091552734</v>
      </c>
      <c r="F4532" t="n">
        <v>25.90999984741211</v>
      </c>
      <c r="G4532" t="n">
        <v>89.33535766601562</v>
      </c>
      <c r="H4532">
        <f>AVERAGE(D4333:D4532)</f>
        <v/>
      </c>
      <c r="I4532">
        <f>AVERAGE(E4333:E4532)</f>
        <v/>
      </c>
      <c r="J4532">
        <f>AVERAGE(F4333:F4532)</f>
        <v/>
      </c>
    </row>
    <row r="4533">
      <c r="C4533" s="539" t="n">
        <v>46030</v>
      </c>
      <c r="D4533" t="n">
        <v>411.489990234375</v>
      </c>
      <c r="E4533" t="n">
        <v>70.54000091552734</v>
      </c>
      <c r="F4533" t="n">
        <v>26.01000022888184</v>
      </c>
      <c r="G4533" t="n">
        <v>89.33535766601562</v>
      </c>
      <c r="H4533">
        <f>AVERAGE(D4334:D4533)</f>
        <v/>
      </c>
      <c r="I4533">
        <f>AVERAGE(E4334:E4533)</f>
        <v/>
      </c>
      <c r="J4533">
        <f>AVERAGE(F4334:F4533)</f>
        <v/>
      </c>
    </row>
    <row r="4534">
      <c r="C4534" s="539" t="n">
        <v>46031</v>
      </c>
      <c r="D4534" t="n">
        <v>414.4700012207031</v>
      </c>
      <c r="E4534" t="n">
        <v>70.77999877929688</v>
      </c>
      <c r="F4534" t="n">
        <v>25.78000068664551</v>
      </c>
      <c r="G4534" t="n">
        <v>89.35489654541016</v>
      </c>
      <c r="H4534">
        <f>AVERAGE(D4335:D4534)</f>
        <v/>
      </c>
      <c r="I4534">
        <f>AVERAGE(E4335:E4534)</f>
        <v/>
      </c>
      <c r="J4534">
        <f>AVERAGE(F4335:F4534)</f>
        <v/>
      </c>
    </row>
    <row r="4535">
      <c r="C4535" s="539" t="n">
        <v>46034</v>
      </c>
      <c r="D4535" t="n">
        <v>422.2300109863281</v>
      </c>
      <c r="E4535" t="n">
        <v>71.65000152587891</v>
      </c>
      <c r="F4535" t="n">
        <v>25.6299991607666</v>
      </c>
      <c r="G4535" t="n">
        <v>89.36466217041016</v>
      </c>
      <c r="H4535">
        <f>AVERAGE(D4336:D4535)</f>
        <v/>
      </c>
      <c r="I4535">
        <f>AVERAGE(E4336:E4535)</f>
        <v/>
      </c>
      <c r="J4535">
        <f>AVERAGE(F4336:F4535)</f>
        <v/>
      </c>
    </row>
    <row r="4536">
      <c r="C4536" s="539" t="n">
        <v>46035</v>
      </c>
      <c r="D4536" t="n">
        <v>421.6300048828125</v>
      </c>
      <c r="E4536" t="n">
        <v>73.48000335693359</v>
      </c>
      <c r="F4536" t="n">
        <v>25.56999969482422</v>
      </c>
      <c r="G4536" t="n">
        <v>89.37444305419922</v>
      </c>
      <c r="H4536">
        <f>AVERAGE(D4337:D4536)</f>
        <v/>
      </c>
      <c r="I4536">
        <f>AVERAGE(E4337:E4536)</f>
        <v/>
      </c>
      <c r="J4536">
        <f>AVERAGE(F4337:F4536)</f>
        <v/>
      </c>
    </row>
    <row r="4537">
      <c r="C4537" s="539" t="n">
        <v>46036</v>
      </c>
      <c r="D4537" t="n">
        <v>425.9400024414062</v>
      </c>
      <c r="E4537" t="n">
        <v>72.61000061035156</v>
      </c>
      <c r="F4537" t="n">
        <v>25.51000022888184</v>
      </c>
      <c r="G4537" t="n">
        <v>89.38420867919922</v>
      </c>
      <c r="H4537">
        <f>AVERAGE(D4338:D4537)</f>
        <v/>
      </c>
      <c r="I4537">
        <f>AVERAGE(E4338:E4537)</f>
        <v/>
      </c>
      <c r="J4537">
        <f>AVERAGE(F4338:F4537)</f>
        <v/>
      </c>
    </row>
    <row r="4538">
      <c r="C4538" s="539" t="n">
        <v>46037</v>
      </c>
      <c r="D4538" t="n">
        <v>423.3299865722656</v>
      </c>
      <c r="E4538" t="n">
        <v>71.12999725341797</v>
      </c>
      <c r="F4538" t="n">
        <v>25.59000015258789</v>
      </c>
      <c r="G4538" t="n">
        <v>89.38420867919922</v>
      </c>
      <c r="H4538">
        <f>AVERAGE(D4339:D4538)</f>
        <v/>
      </c>
      <c r="I4538">
        <f>AVERAGE(E4339:E4538)</f>
        <v/>
      </c>
      <c r="J4538">
        <f>AVERAGE(F4339:F4538)</f>
        <v/>
      </c>
    </row>
    <row r="4539">
      <c r="C4539" s="539" t="n">
        <v>46038</v>
      </c>
      <c r="D4539" t="n">
        <v>421.2900085449219</v>
      </c>
      <c r="E4539" t="n">
        <v>71.65000152587891</v>
      </c>
      <c r="F4539" t="n">
        <v>25.60000038146973</v>
      </c>
      <c r="G4539" t="n">
        <v>89.42327880859375</v>
      </c>
      <c r="H4539">
        <f>AVERAGE(D4340:D4539)</f>
        <v/>
      </c>
      <c r="I4539">
        <f>AVERAGE(E4340:E4539)</f>
        <v/>
      </c>
      <c r="J4539">
        <f>AVERAGE(F4340:F4539)</f>
        <v/>
      </c>
    </row>
    <row r="4540">
      <c r="C4540" s="539" t="n">
        <v>46042</v>
      </c>
      <c r="D4540" t="n">
        <v>437.2300109863281</v>
      </c>
      <c r="E4540" t="n">
        <v>71.86000061035156</v>
      </c>
      <c r="F4540" t="n">
        <v>25.48999977111816</v>
      </c>
      <c r="G4540" t="n">
        <v>89.42327880859375</v>
      </c>
      <c r="H4540">
        <f>AVERAGE(D4341:D4540)</f>
        <v/>
      </c>
      <c r="I4540">
        <f>AVERAGE(E4341:E4540)</f>
        <v/>
      </c>
      <c r="J4540">
        <f>AVERAGE(F4341:F4540)</f>
        <v/>
      </c>
    </row>
    <row r="4541">
      <c r="C4541" s="539" t="n">
        <v>46043</v>
      </c>
      <c r="D4541" t="n">
        <v>443.6000061035156</v>
      </c>
      <c r="E4541" t="n">
        <v>73.33999633789062</v>
      </c>
      <c r="F4541" t="n">
        <v>25.54999923706055</v>
      </c>
      <c r="G4541" t="n">
        <v>89.43303680419922</v>
      </c>
      <c r="H4541">
        <f>AVERAGE(D4342:D4541)</f>
        <v/>
      </c>
      <c r="I4541">
        <f>AVERAGE(E4342:E4541)</f>
        <v/>
      </c>
      <c r="J4541">
        <f>AVERAGE(F4342:F4541)</f>
        <v/>
      </c>
    </row>
    <row r="4542">
      <c r="C4542" s="539" t="n">
        <v>46044</v>
      </c>
      <c r="D4542" t="n">
        <v>451.7900085449219</v>
      </c>
      <c r="E4542" t="n">
        <v>71.81999969482422</v>
      </c>
      <c r="F4542" t="n">
        <v>25.60000038146973</v>
      </c>
      <c r="G4542" t="n">
        <v>89.44280242919922</v>
      </c>
      <c r="H4542">
        <f>AVERAGE(D4343:D4542)</f>
        <v/>
      </c>
      <c r="I4542">
        <f>AVERAGE(E4343:E4542)</f>
        <v/>
      </c>
      <c r="J4542">
        <f>AVERAGE(F4343:F4542)</f>
        <v/>
      </c>
    </row>
    <row r="4543">
      <c r="C4543" s="539" t="n">
        <v>46045</v>
      </c>
      <c r="D4543" t="n">
        <v>458</v>
      </c>
      <c r="E4543" t="n">
        <v>73.94999694824219</v>
      </c>
      <c r="F4543" t="n">
        <v>25.73999977111816</v>
      </c>
      <c r="G4543" t="n">
        <v>89.47212982177734</v>
      </c>
      <c r="H4543">
        <f>AVERAGE(D4344:D4543)</f>
        <v/>
      </c>
      <c r="I4543">
        <f>AVERAGE(E4344:E4543)</f>
        <v/>
      </c>
      <c r="J4543">
        <f>AVERAGE(F4344:F4543)</f>
        <v/>
      </c>
    </row>
    <row r="4544">
      <c r="C4544" s="539" t="n">
        <v>46048</v>
      </c>
      <c r="D4544" t="n">
        <v>464.7000122070312</v>
      </c>
      <c r="E4544" t="n">
        <v>73.48000335693359</v>
      </c>
      <c r="F4544" t="n">
        <v>25.76000022888184</v>
      </c>
      <c r="G4544" t="n">
        <v>89.47212982177734</v>
      </c>
      <c r="H4544">
        <f>AVERAGE(D4345:D4544)</f>
        <v/>
      </c>
      <c r="I4544">
        <f>AVERAGE(E4345:E4544)</f>
        <v/>
      </c>
      <c r="J4544">
        <f>AVERAGE(F4345:F4544)</f>
        <v/>
      </c>
    </row>
    <row r="4545">
      <c r="C4545" s="539" t="n">
        <v>46049</v>
      </c>
      <c r="D4545" t="n">
        <v>476.1000061035156</v>
      </c>
      <c r="E4545" t="n">
        <v>75.66000366210938</v>
      </c>
      <c r="F4545" t="n">
        <v>25.84000015258789</v>
      </c>
      <c r="G4545" t="n">
        <v>89.48188781738281</v>
      </c>
      <c r="H4545">
        <f>AVERAGE(D4346:D4545)</f>
        <v/>
      </c>
      <c r="I4545">
        <f>AVERAGE(E4346:E4545)</f>
        <v/>
      </c>
      <c r="J4545">
        <f>AVERAGE(F4346:F4545)</f>
        <v/>
      </c>
    </row>
    <row r="4546">
      <c r="C4546" s="539" t="n">
        <v>46050</v>
      </c>
      <c r="D4546" t="n">
        <v>494.5599975585938</v>
      </c>
      <c r="E4546" t="n">
        <v>76.62000274658203</v>
      </c>
      <c r="F4546" t="n">
        <v>25.8799991607666</v>
      </c>
      <c r="G4546" t="n">
        <v>89.49166107177734</v>
      </c>
      <c r="H4546">
        <f>AVERAGE(D4347:D4546)</f>
        <v/>
      </c>
      <c r="I4546">
        <f>AVERAGE(E4347:E4546)</f>
        <v/>
      </c>
      <c r="J4546">
        <f>AVERAGE(F4347:F4546)</f>
        <v/>
      </c>
    </row>
    <row r="4547">
      <c r="C4547" s="539" t="n">
        <v>46051</v>
      </c>
      <c r="D4547" t="n">
        <v>495.8999938964844</v>
      </c>
      <c r="E4547" t="n">
        <v>79.13999938964844</v>
      </c>
      <c r="F4547" t="n">
        <v>25.8700008392334</v>
      </c>
      <c r="G4547" t="n">
        <v>89.51119995117188</v>
      </c>
      <c r="H4547">
        <f>AVERAGE(D4348:D4547)</f>
        <v/>
      </c>
      <c r="I4547">
        <f>AVERAGE(E4348:E4547)</f>
        <v/>
      </c>
      <c r="J4547">
        <f>AVERAGE(F4348:F4547)</f>
        <v/>
      </c>
    </row>
    <row r="4548">
      <c r="C4548" s="539" t="n">
        <v>46052</v>
      </c>
      <c r="D4548" t="n">
        <v>444.9500122070312</v>
      </c>
      <c r="E4548" t="n">
        <v>79.51999664306641</v>
      </c>
      <c r="F4548" t="n">
        <v>25.65999984741211</v>
      </c>
      <c r="G4548" t="n">
        <v>89.53073120117188</v>
      </c>
      <c r="H4548">
        <f>AVERAGE(D4349:D4548)</f>
        <v/>
      </c>
      <c r="I4548">
        <f>AVERAGE(E4349:E4548)</f>
        <v/>
      </c>
      <c r="J4548">
        <f>AVERAGE(F4349:F4548)</f>
        <v/>
      </c>
    </row>
    <row r="4549">
      <c r="C4549" s="539" t="n">
        <v>46055</v>
      </c>
      <c r="D4549" t="n">
        <v>427.1300048828125</v>
      </c>
      <c r="E4549" t="n">
        <v>75.33000183105469</v>
      </c>
      <c r="F4549" t="n">
        <v>25.64999961853027</v>
      </c>
      <c r="G4549" t="n">
        <v>89.54444885253906</v>
      </c>
      <c r="H4549">
        <f>AVERAGE(D4350:D4549)</f>
        <v/>
      </c>
      <c r="I4549">
        <f>AVERAGE(E4350:E4549)</f>
        <v/>
      </c>
      <c r="J4549">
        <f>AVERAGE(F4350:F4549)</f>
        <v/>
      </c>
    </row>
    <row r="4550">
      <c r="C4550" s="539" t="n">
        <v>46056</v>
      </c>
      <c r="D4550" t="n">
        <v>454.2900085449219</v>
      </c>
      <c r="E4550" t="n">
        <v>77.47000122070312</v>
      </c>
      <c r="F4550" t="n">
        <v>25.75</v>
      </c>
      <c r="G4550" t="n">
        <v>89.54444885253906</v>
      </c>
      <c r="H4550">
        <f>AVERAGE(D4351:D4550)</f>
        <v/>
      </c>
      <c r="I4550">
        <f>AVERAGE(E4351:E4550)</f>
        <v/>
      </c>
      <c r="J4550">
        <f>AVERAGE(F4351:F4550)</f>
        <v/>
      </c>
    </row>
    <row r="4551">
      <c r="C4551" s="539" t="n">
        <v>46057</v>
      </c>
      <c r="D4551" t="n">
        <v>453.9700012207031</v>
      </c>
      <c r="E4551" t="n">
        <v>77.87999725341797</v>
      </c>
      <c r="F4551" t="n">
        <v>25.70999908447266</v>
      </c>
      <c r="G4551" t="n">
        <v>89.56405639648438</v>
      </c>
      <c r="H4551">
        <f>AVERAGE(D4352:D4551)</f>
        <v/>
      </c>
      <c r="I4551">
        <f>AVERAGE(E4352:E4551)</f>
        <v/>
      </c>
      <c r="J4551">
        <f>AVERAGE(F4352:F4551)</f>
        <v/>
      </c>
    </row>
    <row r="4552">
      <c r="C4552" s="539" t="n">
        <v>46058</v>
      </c>
      <c r="D4552" t="n">
        <v>441.8800048828125</v>
      </c>
      <c r="E4552" t="n">
        <v>76.69000244140625</v>
      </c>
      <c r="F4552" t="n">
        <v>25.77000045776367</v>
      </c>
      <c r="G4552" t="n">
        <v>89.56405639648438</v>
      </c>
      <c r="H4552">
        <f>AVERAGE(D4353:D4552)</f>
        <v/>
      </c>
      <c r="I4552">
        <f>AVERAGE(E4353:E4552)</f>
        <v/>
      </c>
      <c r="J4552">
        <f>AVERAGE(F4353:F4552)</f>
        <v/>
      </c>
    </row>
    <row r="4553">
      <c r="C4553" s="539" t="n">
        <v>46059</v>
      </c>
      <c r="D4553" t="n">
        <v>455.4599914550781</v>
      </c>
      <c r="E4553" t="n">
        <v>76.98999786376953</v>
      </c>
      <c r="F4553" t="n">
        <v>25.77000045776367</v>
      </c>
      <c r="G4553" t="n">
        <v>89.59345245361328</v>
      </c>
      <c r="H4553">
        <f>AVERAGE(D4354:D4553)</f>
        <v/>
      </c>
      <c r="I4553">
        <f>AVERAGE(E4354:E4553)</f>
        <v/>
      </c>
      <c r="J4553">
        <f>AVERAGE(F4354:F4553)</f>
        <v/>
      </c>
    </row>
    <row r="4554">
      <c r="C4554" s="539" t="n">
        <v>46062</v>
      </c>
      <c r="D4554" t="n">
        <v>467.0299987792969</v>
      </c>
      <c r="E4554" t="n">
        <v>78.01999664306641</v>
      </c>
      <c r="F4554" t="n">
        <v>25.75</v>
      </c>
      <c r="G4554" t="n">
        <v>89.59345245361328</v>
      </c>
      <c r="H4554">
        <f>AVERAGE(D4355:D4554)</f>
        <v/>
      </c>
      <c r="I4554">
        <f>AVERAGE(E4355:E4554)</f>
        <v/>
      </c>
      <c r="J4554">
        <f>AVERAGE(F4355:F4554)</f>
        <v/>
      </c>
    </row>
    <row r="4555">
      <c r="C4555" s="539" t="n">
        <v>46063</v>
      </c>
      <c r="D4555" t="n">
        <v>462.3999938964844</v>
      </c>
      <c r="E4555" t="n">
        <v>78.02999877929688</v>
      </c>
      <c r="F4555" t="n">
        <v>25.72999954223633</v>
      </c>
      <c r="G4555" t="n">
        <v>89.60323333740234</v>
      </c>
      <c r="H4555">
        <f>AVERAGE(D4356:D4555)</f>
        <v/>
      </c>
      <c r="I4555">
        <f>AVERAGE(E4356:E4555)</f>
        <v/>
      </c>
      <c r="J4555">
        <f>AVERAGE(F4356:F4555)</f>
        <v/>
      </c>
    </row>
    <row r="4556">
      <c r="C4556" s="539" t="n">
        <v>46064</v>
      </c>
      <c r="D4556" t="n">
        <v>467.6300048828125</v>
      </c>
      <c r="E4556" t="n">
        <v>78.88999938964844</v>
      </c>
      <c r="F4556" t="n">
        <v>25.81999969482422</v>
      </c>
      <c r="G4556" t="n">
        <v>89.62283325195312</v>
      </c>
      <c r="H4556">
        <f>AVERAGE(D4357:D4556)</f>
        <v/>
      </c>
      <c r="I4556">
        <f>AVERAGE(E4357:E4556)</f>
        <v/>
      </c>
      <c r="J4556">
        <f>AVERAGE(F4357:F4556)</f>
        <v/>
      </c>
    </row>
    <row r="4557">
      <c r="C4557" s="539" t="n">
        <v>46065</v>
      </c>
      <c r="D4557" t="n">
        <v>451.3900146484375</v>
      </c>
      <c r="E4557" t="n">
        <v>76.37999725341797</v>
      </c>
      <c r="F4557" t="n">
        <v>25.88999938964844</v>
      </c>
      <c r="G4557" t="n">
        <v>89.62283325195312</v>
      </c>
      <c r="H4557">
        <f>AVERAGE(D4358:D4557)</f>
        <v/>
      </c>
      <c r="I4557">
        <f>AVERAGE(E4358:E4557)</f>
        <v/>
      </c>
      <c r="J4557">
        <f>AVERAGE(F4358:F4557)</f>
        <v/>
      </c>
    </row>
    <row r="4558">
      <c r="C4558" s="539" t="n">
        <v>46066</v>
      </c>
      <c r="D4558" t="n">
        <v>462.6199951171875</v>
      </c>
      <c r="E4558" t="n">
        <v>76.22000122070312</v>
      </c>
      <c r="F4558" t="n">
        <v>25.79000091552734</v>
      </c>
      <c r="G4558" t="n">
        <v>89.66204071044922</v>
      </c>
      <c r="H4558">
        <f>AVERAGE(D4359:D4558)</f>
        <v/>
      </c>
      <c r="I4558">
        <f>AVERAGE(E4359:E4558)</f>
        <v/>
      </c>
      <c r="J4558">
        <f>AVERAGE(F4359:F4558)</f>
        <v/>
      </c>
    </row>
    <row r="4559">
      <c r="C4559" s="539" t="n">
        <v>46070</v>
      </c>
      <c r="D4559" t="n">
        <v>448.2000122070312</v>
      </c>
      <c r="E4559" t="n">
        <v>75.73000335693359</v>
      </c>
      <c r="F4559" t="n">
        <v>25.70999908447266</v>
      </c>
      <c r="G4559" t="n">
        <v>89.67182159423828</v>
      </c>
      <c r="H4559">
        <f>AVERAGE(D4360:D4559)</f>
        <v/>
      </c>
      <c r="I4559">
        <f>AVERAGE(E4360:E4559)</f>
        <v/>
      </c>
      <c r="J4559">
        <f>AVERAGE(F4360:F4559)</f>
        <v/>
      </c>
    </row>
    <row r="4560">
      <c r="C4560" s="539" t="n">
        <v>46071</v>
      </c>
      <c r="D4560" t="n">
        <v>458.2799987792969</v>
      </c>
      <c r="E4560" t="n">
        <v>79.40000152587891</v>
      </c>
      <c r="F4560" t="n">
        <v>25.84000015258789</v>
      </c>
      <c r="G4560" t="n">
        <v>89.68162536621094</v>
      </c>
      <c r="H4560">
        <f>AVERAGE(D4361:D4560)</f>
        <v/>
      </c>
      <c r="I4560">
        <f>AVERAGE(E4361:E4560)</f>
        <v/>
      </c>
      <c r="J4560">
        <f>AVERAGE(F4361:F4560)</f>
        <v/>
      </c>
    </row>
    <row r="4561">
      <c r="C4561" s="539" t="n">
        <v>46072</v>
      </c>
      <c r="D4561" t="n">
        <v>459.5599975585938</v>
      </c>
      <c r="E4561" t="n">
        <v>81.19000244140625</v>
      </c>
      <c r="F4561" t="n">
        <v>25.89999961853027</v>
      </c>
      <c r="G4561" t="n">
        <v>89.68162536621094</v>
      </c>
      <c r="H4561">
        <f>AVERAGE(D4362:D4561)</f>
        <v/>
      </c>
      <c r="I4561">
        <f>AVERAGE(E4362:E4561)</f>
        <v/>
      </c>
      <c r="J4561">
        <f>AVERAGE(F4362:F4561)</f>
        <v/>
      </c>
    </row>
    <row r="4562">
      <c r="C4562" s="539" t="n">
        <v>46073</v>
      </c>
      <c r="D4562" t="n">
        <v>468.6199951171875</v>
      </c>
      <c r="E4562" t="n">
        <v>80.84999847412109</v>
      </c>
      <c r="F4562" t="n">
        <v>26.03000068664551</v>
      </c>
      <c r="G4562" t="n">
        <v>89.71101379394531</v>
      </c>
      <c r="H4562">
        <f>AVERAGE(D4363:D4562)</f>
        <v/>
      </c>
      <c r="I4562">
        <f>AVERAGE(E4363:E4562)</f>
        <v/>
      </c>
      <c r="J4562">
        <f>AVERAGE(F4363:F4562)</f>
        <v/>
      </c>
    </row>
    <row r="4563">
      <c r="C4563" s="539" t="n">
        <v>46076</v>
      </c>
      <c r="D4563" t="n">
        <v>481.2799987792969</v>
      </c>
      <c r="E4563" t="n">
        <v>80.90000152587891</v>
      </c>
      <c r="F4563" t="n">
        <v>25.96999931335449</v>
      </c>
      <c r="G4563" t="n">
        <v>89.71101379394531</v>
      </c>
      <c r="H4563">
        <f>AVERAGE(D4364:D4563)</f>
        <v/>
      </c>
      <c r="I4563">
        <f>AVERAGE(E4364:E4563)</f>
        <v/>
      </c>
      <c r="J4563">
        <f>AVERAGE(F4364:F4563)</f>
        <v/>
      </c>
    </row>
    <row r="4564">
      <c r="C4564" s="539" t="n">
        <v>46077</v>
      </c>
      <c r="D4564" t="n">
        <v>474.6099853515625</v>
      </c>
      <c r="E4564" t="n">
        <v>80.76000213623047</v>
      </c>
      <c r="F4564" t="n">
        <v>26.01000022888184</v>
      </c>
      <c r="G4564" t="n">
        <v>89.73062133789062</v>
      </c>
      <c r="H4564">
        <f>AVERAGE(D4365:D4564)</f>
        <v/>
      </c>
      <c r="I4564">
        <f>AVERAGE(E4365:E4564)</f>
        <v/>
      </c>
      <c r="J4564">
        <f>AVERAGE(F4365:F4564)</f>
        <v/>
      </c>
    </row>
    <row r="4565">
      <c r="C4565" s="539" t="n">
        <v>46078</v>
      </c>
      <c r="D4565" t="n">
        <v>473.4200134277344</v>
      </c>
      <c r="E4565" t="n">
        <v>79.73000335693359</v>
      </c>
      <c r="F4565" t="n">
        <v>26.1200008392334</v>
      </c>
      <c r="G4565" t="n">
        <v>89.74040985107422</v>
      </c>
      <c r="H4565">
        <f>AVERAGE(D4366:D4565)</f>
        <v/>
      </c>
      <c r="I4565">
        <f>AVERAGE(E4366:E4565)</f>
        <v/>
      </c>
      <c r="J4565">
        <f>AVERAGE(F4366:F4565)</f>
        <v/>
      </c>
    </row>
    <row r="4566">
      <c r="C4566" s="539" t="n">
        <v>46079</v>
      </c>
      <c r="D4566" t="n">
        <v>477.4800109863281</v>
      </c>
      <c r="E4566" t="n">
        <v>79.76999664306641</v>
      </c>
      <c r="F4566" t="n">
        <v>26.04999923706055</v>
      </c>
      <c r="G4566" t="n">
        <v>89.75020599365234</v>
      </c>
      <c r="H4566">
        <f>AVERAGE(D4367:D4566)</f>
        <v/>
      </c>
      <c r="I4566">
        <f>AVERAGE(E4367:E4566)</f>
        <v/>
      </c>
      <c r="J4566">
        <f>AVERAGE(F4367:F4566)</f>
        <v/>
      </c>
    </row>
    <row r="4567">
      <c r="C4567" s="539" t="n">
        <v>46080</v>
      </c>
      <c r="D4567" t="n">
        <v>483.75</v>
      </c>
      <c r="E4567" t="n">
        <v>81.94999694824219</v>
      </c>
      <c r="F4567" t="n">
        <v>26.02000045776367</v>
      </c>
      <c r="G4567" t="n">
        <v>89.76980590820312</v>
      </c>
      <c r="H4567">
        <f>AVERAGE(D4368:D4567)</f>
        <v/>
      </c>
      <c r="I4567">
        <f>AVERAGE(E4368:E4567)</f>
        <v/>
      </c>
      <c r="J4567">
        <f>AVERAGE(F4368:F4567)</f>
        <v/>
      </c>
    </row>
    <row r="4568">
      <c r="C4568" s="539" t="n">
        <v>46083</v>
      </c>
      <c r="D4568" t="n">
        <v>490</v>
      </c>
      <c r="E4568" t="n">
        <v>87.19000244140625</v>
      </c>
      <c r="F4568" t="n">
        <v>25.98999977111816</v>
      </c>
      <c r="G4568" t="n">
        <v>89.78257751464844</v>
      </c>
      <c r="H4568">
        <f>AVERAGE(D4369:D4568)</f>
        <v/>
      </c>
      <c r="I4568">
        <f>AVERAGE(E4369:E4568)</f>
        <v/>
      </c>
      <c r="J4568">
        <f>AVERAGE(F4369:F4568)</f>
        <v/>
      </c>
    </row>
    <row r="4569">
      <c r="C4569" s="539" t="n">
        <v>46084</v>
      </c>
      <c r="D4569" t="n">
        <v>468.1400146484375</v>
      </c>
      <c r="E4569" t="n">
        <v>90.19999694824219</v>
      </c>
      <c r="F4569" t="n">
        <v>26.02000045776367</v>
      </c>
      <c r="G4569" t="n">
        <v>89.79240417480469</v>
      </c>
      <c r="H4569">
        <f>AVERAGE(D4370:D4569)</f>
        <v/>
      </c>
      <c r="I4569">
        <f>AVERAGE(E4370:E4569)</f>
        <v/>
      </c>
      <c r="J4569">
        <f>AVERAGE(F4370:F4569)</f>
        <v/>
      </c>
    </row>
    <row r="4570">
      <c r="C4570" s="539" t="n">
        <v>46085</v>
      </c>
      <c r="D4570" t="n">
        <v>471.7999877929688</v>
      </c>
      <c r="E4570" t="n">
        <v>91.55999755859375</v>
      </c>
      <c r="F4570" t="n">
        <v>26.1200008392334</v>
      </c>
      <c r="G4570" t="n">
        <v>89.80223846435547</v>
      </c>
      <c r="H4570">
        <f>AVERAGE(D4371:D4570)</f>
        <v/>
      </c>
      <c r="I4570">
        <f>AVERAGE(E4371:E4570)</f>
        <v/>
      </c>
      <c r="J4570">
        <f>AVERAGE(F4371:F4570)</f>
        <v/>
      </c>
    </row>
    <row r="4571">
      <c r="C4571" s="539" t="n">
        <v>46086</v>
      </c>
      <c r="D4571" t="n">
        <v>466.1300048828125</v>
      </c>
      <c r="E4571" t="n">
        <v>96.30999755859375</v>
      </c>
      <c r="F4571" t="n">
        <v>26.40999984741211</v>
      </c>
      <c r="G4571" t="n">
        <v>89.81205749511719</v>
      </c>
      <c r="H4571">
        <f>AVERAGE(D4372:D4571)</f>
        <v/>
      </c>
      <c r="I4571">
        <f>AVERAGE(E4372:E4571)</f>
        <v/>
      </c>
      <c r="J4571">
        <f>AVERAGE(F4372:F4571)</f>
        <v/>
      </c>
    </row>
    <row r="4572">
      <c r="C4572" s="539" t="n">
        <v>46087</v>
      </c>
      <c r="D4572" t="n">
        <v>473.510009765625</v>
      </c>
      <c r="E4572" t="n">
        <v>108.7699966430664</v>
      </c>
      <c r="F4572" t="n">
        <v>26.70999908447266</v>
      </c>
      <c r="G4572" t="n">
        <v>89.83171081542969</v>
      </c>
      <c r="H4572">
        <f>AVERAGE(D4373:D4572)</f>
        <v/>
      </c>
      <c r="I4572">
        <f>AVERAGE(E4373:E4572)</f>
        <v/>
      </c>
      <c r="J4572">
        <f>AVERAGE(F4373:F4572)</f>
        <v/>
      </c>
    </row>
    <row r="4573">
      <c r="C4573" s="539" t="n">
        <v>46090</v>
      </c>
      <c r="D4573" t="n">
        <v>472.5299987792969</v>
      </c>
      <c r="E4573" t="n">
        <v>104.3300018310547</v>
      </c>
      <c r="F4573" t="n">
        <v>26.54999923706055</v>
      </c>
      <c r="G4573" t="n">
        <v>89.84152221679688</v>
      </c>
      <c r="H4573">
        <f>AVERAGE(D4374:D4573)</f>
        <v/>
      </c>
      <c r="I4573">
        <f>AVERAGE(E4374:E4573)</f>
        <v/>
      </c>
      <c r="J4573">
        <f>AVERAGE(F4374:F4573)</f>
        <v/>
      </c>
    </row>
    <row r="4574">
      <c r="C4574" s="539" t="n">
        <v>46091</v>
      </c>
      <c r="D4574" t="n">
        <v>477.8599853515625</v>
      </c>
      <c r="E4574" t="n">
        <v>105.8600006103516</v>
      </c>
      <c r="F4574" t="n">
        <v>26.61000061035156</v>
      </c>
      <c r="G4574" t="n">
        <v>89.85134887695312</v>
      </c>
      <c r="H4574">
        <f>AVERAGE(D4375:D4574)</f>
        <v/>
      </c>
      <c r="I4574">
        <f>AVERAGE(E4375:E4574)</f>
        <v/>
      </c>
      <c r="J4574">
        <f>AVERAGE(F4375:F4574)</f>
        <v/>
      </c>
    </row>
    <row r="4575">
      <c r="C4575" s="539" t="n">
        <v>46092</v>
      </c>
      <c r="D4575" t="n">
        <v>476.239990234375</v>
      </c>
      <c r="E4575" t="n">
        <v>108.0500030517578</v>
      </c>
      <c r="F4575" t="n">
        <v>26.70000076293945</v>
      </c>
      <c r="G4575" t="n">
        <v>89.85134887695312</v>
      </c>
      <c r="H4575">
        <f>AVERAGE(D4376:D4575)</f>
        <v/>
      </c>
      <c r="I4575">
        <f>AVERAGE(E4376:E4575)</f>
        <v/>
      </c>
      <c r="J4575">
        <f>AVERAGE(F4376:F4575)</f>
        <v/>
      </c>
    </row>
    <row r="4576">
      <c r="C4576" s="539" t="n">
        <v>46093</v>
      </c>
      <c r="D4576" t="n">
        <v>466.8800048828125</v>
      </c>
      <c r="E4576" t="n">
        <v>118.3899993896484</v>
      </c>
      <c r="F4576" t="n">
        <v>26.75</v>
      </c>
      <c r="G4576" t="n">
        <v>89.87099456787109</v>
      </c>
      <c r="H4576">
        <f>AVERAGE(D4377:D4576)</f>
        <v/>
      </c>
      <c r="I4576">
        <f>AVERAGE(E4377:E4576)</f>
        <v/>
      </c>
      <c r="J4576">
        <f>AVERAGE(F4377:F4576)</f>
        <v/>
      </c>
    </row>
    <row r="4577">
      <c r="C4577" s="539" t="n">
        <v>46094</v>
      </c>
      <c r="D4577" t="n">
        <v>460.8399963378906</v>
      </c>
      <c r="E4577" t="n">
        <v>119.8899993896484</v>
      </c>
      <c r="F4577" t="n">
        <v>26.75</v>
      </c>
      <c r="G4577" t="n">
        <v>89.90047454833984</v>
      </c>
      <c r="H4577">
        <f>AVERAGE(D4378:D4577)</f>
        <v/>
      </c>
      <c r="I4577">
        <f>AVERAGE(E4378:E4577)</f>
        <v/>
      </c>
      <c r="J4577">
        <f>AVERAGE(F4378:F4577)</f>
        <v/>
      </c>
    </row>
    <row r="4578">
      <c r="C4578" s="539" t="n">
        <v>46097</v>
      </c>
      <c r="D4578" t="n">
        <v>460.4299926757812</v>
      </c>
      <c r="E4578" t="n">
        <v>115.0299987792969</v>
      </c>
      <c r="F4578" t="n">
        <v>26.45000076293945</v>
      </c>
      <c r="G4578" t="n">
        <v>89.90047454833984</v>
      </c>
      <c r="H4578">
        <f>AVERAGE(D4379:D4578)</f>
        <v/>
      </c>
      <c r="I4578">
        <f>AVERAGE(E4379:E4578)</f>
        <v/>
      </c>
      <c r="J4578">
        <f>AVERAGE(F4379:F4578)</f>
        <v/>
      </c>
    </row>
    <row r="4579">
      <c r="C4579" s="539" t="n">
        <v>46098</v>
      </c>
      <c r="D4579" t="n">
        <v>459.2699890136719</v>
      </c>
      <c r="E4579" t="n">
        <v>118.8399963378906</v>
      </c>
      <c r="F4579" t="n">
        <v>26.6200008392334</v>
      </c>
      <c r="G4579" t="n">
        <v>89.91029357910156</v>
      </c>
      <c r="H4579">
        <f>AVERAGE(D4380:D4579)</f>
        <v/>
      </c>
      <c r="I4579">
        <f>AVERAGE(E4380:E4579)</f>
        <v/>
      </c>
      <c r="J4579">
        <f>AVERAGE(F4380:F4579)</f>
        <v/>
      </c>
    </row>
    <row r="4580">
      <c r="C4580" s="539" t="n">
        <v>46099</v>
      </c>
      <c r="D4580" t="n">
        <v>444.739990234375</v>
      </c>
      <c r="E4580" t="n">
        <v>121.6699981689453</v>
      </c>
      <c r="F4580" t="n">
        <v>26.90999984741211</v>
      </c>
      <c r="G4580" t="n">
        <v>89.92993927001953</v>
      </c>
      <c r="H4580">
        <f>AVERAGE(D4381:D4580)</f>
        <v/>
      </c>
      <c r="I4580">
        <f>AVERAGE(E4381:E4580)</f>
        <v/>
      </c>
      <c r="J4580">
        <f>AVERAGE(F4381:F4580)</f>
        <v/>
      </c>
    </row>
    <row r="4581">
      <c r="C4581" s="539" t="n">
        <v>46100</v>
      </c>
      <c r="D4581" t="n">
        <v>426.4100036621094</v>
      </c>
      <c r="E4581" t="n">
        <v>117.3600006103516</v>
      </c>
      <c r="F4581" t="n">
        <v>26.96999931335449</v>
      </c>
      <c r="G4581" t="n">
        <v>89.92993927001953</v>
      </c>
      <c r="H4581">
        <f>AVERAGE(D4382:D4581)</f>
        <v/>
      </c>
      <c r="I4581">
        <f>AVERAGE(E4382:E4581)</f>
        <v/>
      </c>
      <c r="J4581">
        <f>AVERAGE(F4382:F4581)</f>
        <v/>
      </c>
    </row>
    <row r="4582">
      <c r="C4582" s="539" t="n">
        <v>46101</v>
      </c>
      <c r="D4582" t="n">
        <v>413.3800048828125</v>
      </c>
      <c r="E4582" t="n">
        <v>121.4300003051758</v>
      </c>
      <c r="F4582" t="n">
        <v>26.85000038146973</v>
      </c>
      <c r="G4582" t="n">
        <v>89.95941925048828</v>
      </c>
      <c r="H4582">
        <f>AVERAGE(D4383:D4582)</f>
        <v/>
      </c>
      <c r="I4582">
        <f>AVERAGE(E4383:E4582)</f>
        <v/>
      </c>
      <c r="J4582">
        <f>AVERAGE(F4383:F4582)</f>
        <v/>
      </c>
    </row>
    <row r="4583">
      <c r="C4583" s="539" t="n">
        <v>46104</v>
      </c>
      <c r="D4583" t="n">
        <v>404.0400085449219</v>
      </c>
      <c r="E4583" t="n">
        <v>110.5599975585938</v>
      </c>
      <c r="F4583" t="n">
        <v>26.84000015258789</v>
      </c>
      <c r="G4583" t="n">
        <v>89.96924591064453</v>
      </c>
      <c r="H4583">
        <f>AVERAGE(D4384:D4583)</f>
        <v/>
      </c>
      <c r="I4583">
        <f>AVERAGE(E4384:E4583)</f>
        <v/>
      </c>
      <c r="J4583">
        <f>AVERAGE(F4384:F4583)</f>
        <v/>
      </c>
    </row>
    <row r="4584">
      <c r="C4584" s="539" t="n">
        <v>46105</v>
      </c>
      <c r="D4584" t="n">
        <v>404.1300048828125</v>
      </c>
      <c r="E4584" t="n">
        <v>114.5400009155273</v>
      </c>
      <c r="F4584" t="n">
        <v>26.88999938964844</v>
      </c>
      <c r="G4584" t="n">
        <v>89.97905731201172</v>
      </c>
      <c r="H4584">
        <f>AVERAGE(D4385:D4584)</f>
        <v/>
      </c>
      <c r="I4584">
        <f>AVERAGE(E4385:E4584)</f>
        <v/>
      </c>
      <c r="J4584">
        <f>AVERAGE(F4385:F4584)</f>
        <v/>
      </c>
    </row>
    <row r="4585">
      <c r="C4585" s="539" t="n">
        <v>46106</v>
      </c>
      <c r="D4585" t="n">
        <v>416.2900085449219</v>
      </c>
      <c r="E4585" t="n">
        <v>113.3899993896484</v>
      </c>
      <c r="F4585" t="n">
        <v>26.95999908447266</v>
      </c>
      <c r="G4585" t="n">
        <v>89.96924591064453</v>
      </c>
      <c r="H4585">
        <f>AVERAGE(D4386:D4585)</f>
        <v/>
      </c>
      <c r="I4585">
        <f>AVERAGE(E4386:E4585)</f>
        <v/>
      </c>
      <c r="J4585">
        <f>AVERAGE(F4386:F4585)</f>
        <v/>
      </c>
    </row>
    <row r="4586">
      <c r="C4586" s="539" t="n">
        <v>46107</v>
      </c>
      <c r="D4586" t="n">
        <v>400.6400146484375</v>
      </c>
      <c r="E4586" t="n">
        <v>117.2600021362305</v>
      </c>
      <c r="F4586" t="n">
        <v>27.11000061035156</v>
      </c>
      <c r="G4586" t="n">
        <v>89.9888916015625</v>
      </c>
      <c r="H4586">
        <f>AVERAGE(D4387:D4586)</f>
        <v/>
      </c>
      <c r="I4586">
        <f>AVERAGE(E4387:E4586)</f>
        <v/>
      </c>
      <c r="J4586">
        <f>AVERAGE(F4387:F4586)</f>
        <v/>
      </c>
    </row>
    <row r="4587">
      <c r="C4587" s="539" t="n">
        <v>46108</v>
      </c>
      <c r="D4587" t="n">
        <v>414.7000122070312</v>
      </c>
      <c r="E4587" t="n">
        <v>124.1999969482422</v>
      </c>
      <c r="F4587" t="n">
        <v>27.17000007629395</v>
      </c>
      <c r="G4587" t="n">
        <v>90.01835632324219</v>
      </c>
      <c r="H4587">
        <f>AVERAGE(D4388:D4587)</f>
        <v/>
      </c>
      <c r="I4587">
        <f>AVERAGE(E4388:E4587)</f>
        <v/>
      </c>
      <c r="J4587">
        <f>AVERAGE(F4388:F4587)</f>
        <v/>
      </c>
    </row>
    <row r="4588">
      <c r="C4588" s="539" t="n">
        <v>46111</v>
      </c>
      <c r="D4588" t="n">
        <v>414.5799865722656</v>
      </c>
      <c r="E4588" t="n">
        <v>129.8300018310547</v>
      </c>
      <c r="F4588" t="n">
        <v>27.1200008392334</v>
      </c>
      <c r="G4588" t="n">
        <v>90.02817535400391</v>
      </c>
      <c r="H4588">
        <f>AVERAGE(D4389:D4588)</f>
        <v/>
      </c>
      <c r="I4588">
        <f>AVERAGE(E4389:E4588)</f>
        <v/>
      </c>
      <c r="J4588">
        <f>AVERAGE(F4389:F4588)</f>
        <v/>
      </c>
    </row>
    <row r="4589">
      <c r="C4589" s="539" t="n">
        <v>46112</v>
      </c>
      <c r="D4589" t="n">
        <v>430.2900085449219</v>
      </c>
      <c r="E4589" t="n">
        <v>127.25</v>
      </c>
      <c r="F4589" t="n">
        <v>27.31999969482422</v>
      </c>
      <c r="G4589" t="n">
        <v>90.02817535400391</v>
      </c>
      <c r="H4589">
        <f>AVERAGE(D4390:D4589)</f>
        <v/>
      </c>
      <c r="I4589">
        <f>AVERAGE(E4390:E4589)</f>
        <v/>
      </c>
      <c r="J4589">
        <f>AVERAGE(F4390:F4589)</f>
        <v/>
      </c>
    </row>
    <row r="4590">
      <c r="C4590" s="539" t="n">
        <v>46113</v>
      </c>
      <c r="D4590" t="n">
        <v>437.8200073242188</v>
      </c>
      <c r="E4590" t="n">
        <v>124.0899963378906</v>
      </c>
      <c r="F4590" t="n">
        <v>27.10000038146973</v>
      </c>
      <c r="G4590" t="n">
        <v>90.05182647705078</v>
      </c>
      <c r="H4590">
        <f>AVERAGE(D4391:D4590)</f>
        <v/>
      </c>
      <c r="I4590">
        <f>AVERAGE(E4391:E4590)</f>
        <v/>
      </c>
      <c r="J4590">
        <f>AVERAGE(F4391:F4590)</f>
        <v/>
      </c>
    </row>
    <row r="4591">
      <c r="C4591" s="539" t="n">
        <v>46114</v>
      </c>
      <c r="D4591" t="n">
        <v>429.4100036621094</v>
      </c>
      <c r="E4591" t="n">
        <v>137.9199981689453</v>
      </c>
      <c r="F4591" t="n">
        <v>27.15999984741211</v>
      </c>
      <c r="G4591" t="n">
        <v>90.07152557373047</v>
      </c>
      <c r="H4591">
        <f>AVERAGE(D4392:D4591)</f>
        <v/>
      </c>
      <c r="I4591">
        <f>AVERAGE(E4392:E4591)</f>
        <v/>
      </c>
      <c r="J4591">
        <f>AVERAGE(F4392:F4591)</f>
        <v/>
      </c>
    </row>
    <row r="4592">
      <c r="C4592" s="539" t="n">
        <v>46118</v>
      </c>
      <c r="D4592" t="n">
        <v>427.6499938964844</v>
      </c>
      <c r="E4592" t="n">
        <v>138.9400024414062</v>
      </c>
      <c r="F4592" t="n">
        <v>27.28000068664551</v>
      </c>
      <c r="G4592" t="n">
        <v>90.09123992919922</v>
      </c>
      <c r="H4592">
        <f>AVERAGE(D4393:D4592)</f>
        <v/>
      </c>
      <c r="I4592">
        <f>AVERAGE(E4393:E4592)</f>
        <v/>
      </c>
      <c r="J4592">
        <f>AVERAGE(F4393:F4592)</f>
        <v/>
      </c>
    </row>
    <row r="4593">
      <c r="C4593" s="539" t="n">
        <v>46119</v>
      </c>
      <c r="D4593" t="n">
        <v>431.8099975585938</v>
      </c>
      <c r="E4593" t="n">
        <v>138.0800018310547</v>
      </c>
      <c r="F4593" t="n">
        <v>27.01000022888184</v>
      </c>
      <c r="G4593" t="n">
        <v>90.10108947753906</v>
      </c>
      <c r="H4593">
        <f>AVERAGE(D4394:D4593)</f>
        <v/>
      </c>
      <c r="I4593">
        <f>AVERAGE(E4394:E4593)</f>
        <v/>
      </c>
      <c r="J4593">
        <f>AVERAGE(F4394:F4593)</f>
        <v/>
      </c>
    </row>
    <row r="4594">
      <c r="C4594" s="539" t="n">
        <v>46120</v>
      </c>
      <c r="D4594" t="n">
        <v>434.5299987792969</v>
      </c>
      <c r="E4594" t="n">
        <v>124.5800018310547</v>
      </c>
      <c r="F4594" t="n">
        <v>26.8700008392334</v>
      </c>
      <c r="G4594" t="n">
        <v>90.10108947753906</v>
      </c>
      <c r="H4594">
        <f>AVERAGE(D4395:D4594)</f>
        <v/>
      </c>
      <c r="I4594">
        <f>AVERAGE(E4395:E4594)</f>
        <v/>
      </c>
      <c r="J4594">
        <f>AVERAGE(F4395:F4594)</f>
        <v/>
      </c>
    </row>
    <row r="4595">
      <c r="C4595" s="539" t="n">
        <v>46121</v>
      </c>
      <c r="D4595" t="n">
        <v>437.9100036621094</v>
      </c>
      <c r="E4595" t="n">
        <v>126.9599990844727</v>
      </c>
      <c r="F4595" t="n">
        <v>26.8700008392334</v>
      </c>
      <c r="G4595" t="n">
        <v>90.11094665527344</v>
      </c>
      <c r="H4595">
        <f>AVERAGE(D4396:D4595)</f>
        <v/>
      </c>
      <c r="I4595">
        <f>AVERAGE(E4396:E4595)</f>
        <v/>
      </c>
      <c r="J4595">
        <f>AVERAGE(F4396:F4595)</f>
        <v/>
      </c>
    </row>
    <row r="4596">
      <c r="C4596" s="539" t="n">
        <v>46122</v>
      </c>
      <c r="D4596" t="n">
        <v>437.1300048828125</v>
      </c>
      <c r="E4596" t="n">
        <v>124.8199996948242</v>
      </c>
      <c r="F4596" t="n">
        <v>26.88999938964844</v>
      </c>
      <c r="G4596" t="n">
        <v>90.14048767089844</v>
      </c>
      <c r="H4596">
        <f>AVERAGE(D4397:D4596)</f>
        <v/>
      </c>
      <c r="I4596">
        <f>AVERAGE(E4397:E4596)</f>
        <v/>
      </c>
      <c r="J4596">
        <f>AVERAGE(F4397:F4596)</f>
        <v/>
      </c>
    </row>
    <row r="4597">
      <c r="C4597" s="539" t="n">
        <v>46125</v>
      </c>
      <c r="D4597" t="n">
        <v>435.3599853515625</v>
      </c>
      <c r="E4597" t="n">
        <v>128.4700012207031</v>
      </c>
      <c r="F4597" t="n">
        <v>26.93000030517578</v>
      </c>
      <c r="G4597" t="n">
        <v>90.14048767089844</v>
      </c>
      <c r="H4597">
        <f>AVERAGE(D4398:D4597)</f>
        <v/>
      </c>
      <c r="I4597">
        <f>AVERAGE(E4398:E4597)</f>
        <v/>
      </c>
      <c r="J4597">
        <f>AVERAGE(F4398:F4597)</f>
        <v/>
      </c>
    </row>
    <row r="4598">
      <c r="C4598" s="539" t="n">
        <v>46126</v>
      </c>
      <c r="D4598" t="n">
        <v>445.0899963378906</v>
      </c>
      <c r="E4598" t="n">
        <v>123.8499984741211</v>
      </c>
      <c r="F4598" t="n">
        <v>27.1200008392334</v>
      </c>
      <c r="G4598" t="n">
        <v>90.15035247802734</v>
      </c>
      <c r="H4598">
        <f>AVERAGE(D4399:D4598)</f>
        <v/>
      </c>
      <c r="I4598">
        <f>AVERAGE(E4399:E4598)</f>
        <v/>
      </c>
      <c r="J4598">
        <f>AVERAGE(F4399:F4598)</f>
        <v/>
      </c>
    </row>
    <row r="4599">
      <c r="C4599" s="539" t="n">
        <v>46127</v>
      </c>
      <c r="D4599" t="n">
        <v>440.4599914550781</v>
      </c>
      <c r="E4599" t="n">
        <v>122.5899963378906</v>
      </c>
      <c r="F4599" t="n">
        <v>27.17000007629395</v>
      </c>
      <c r="G4599" t="n">
        <v>90.16021728515625</v>
      </c>
      <c r="H4599">
        <f>AVERAGE(D4400:D4599)</f>
        <v/>
      </c>
      <c r="I4599">
        <f>AVERAGE(E4400:E4599)</f>
        <v/>
      </c>
      <c r="J4599">
        <f>AVERAGE(F4400:F4599)</f>
        <v/>
      </c>
    </row>
    <row r="4600">
      <c r="C4600" s="539" t="n">
        <v>46128</v>
      </c>
      <c r="D4600" t="n">
        <v>440.0799865722656</v>
      </c>
      <c r="E4600" t="n">
        <v>125.8399963378906</v>
      </c>
      <c r="F4600" t="n">
        <v>27.11000061035156</v>
      </c>
      <c r="G4600" t="n">
        <v>90.17005920410156</v>
      </c>
      <c r="H4600">
        <f>AVERAGE(D4401:D4600)</f>
        <v/>
      </c>
      <c r="I4600">
        <f>AVERAGE(E4401:E4600)</f>
        <v/>
      </c>
      <c r="J4600">
        <f>AVERAGE(F4401:F4600)</f>
        <v/>
      </c>
    </row>
    <row r="4601">
      <c r="C4601" s="539" t="n">
        <v>46129</v>
      </c>
      <c r="D4601" t="n">
        <v>445.9299926757812</v>
      </c>
      <c r="E4601" t="n">
        <v>116.0400009155273</v>
      </c>
      <c r="F4601" t="n">
        <v>26.92000007629395</v>
      </c>
      <c r="G4601" t="n">
        <v>90.19962310791016</v>
      </c>
      <c r="H4601">
        <f>AVERAGE(D4402:D4601)</f>
        <v/>
      </c>
      <c r="I4601">
        <f>AVERAGE(E4402:E4601)</f>
        <v/>
      </c>
      <c r="J4601">
        <f>AVERAGE(F4402:F4601)</f>
        <v/>
      </c>
    </row>
    <row r="4602">
      <c r="C4602" s="539" t="n">
        <v>46132</v>
      </c>
      <c r="D4602" t="n">
        <v>442.0899963378906</v>
      </c>
      <c r="E4602" t="n">
        <v>121.3199996948242</v>
      </c>
      <c r="F4602" t="n">
        <v>26.98999977111816</v>
      </c>
      <c r="G4602" t="n">
        <v>90.20947265625</v>
      </c>
      <c r="H4602">
        <f>AVERAGE(D4403:D4602)</f>
        <v/>
      </c>
      <c r="I4602">
        <f>AVERAGE(E4403:E4602)</f>
        <v/>
      </c>
      <c r="J4602">
        <f>AVERAGE(F4403:F4602)</f>
        <v/>
      </c>
    </row>
    <row r="4603">
      <c r="C4603" s="539" t="n">
        <v>46133</v>
      </c>
      <c r="D4603" t="n">
        <v>429.5700073242188</v>
      </c>
      <c r="E4603" t="n">
        <v>128.25</v>
      </c>
      <c r="F4603" t="n">
        <v>27.17000007629395</v>
      </c>
      <c r="G4603" t="n">
        <v>90.21932983398438</v>
      </c>
      <c r="H4603">
        <f>AVERAGE(D4404:D4603)</f>
        <v/>
      </c>
      <c r="I4603">
        <f>AVERAGE(E4404:E4603)</f>
        <v/>
      </c>
      <c r="J4603">
        <f>AVERAGE(F4404:F4603)</f>
        <v/>
      </c>
    </row>
    <row r="4604">
      <c r="C4604" s="539" t="n">
        <v>46134</v>
      </c>
      <c r="D4604" t="n">
        <v>435.260009765625</v>
      </c>
      <c r="E4604" t="n">
        <v>129.3999938964844</v>
      </c>
      <c r="F4604" t="n">
        <v>27.1299991607666</v>
      </c>
      <c r="G4604" t="n">
        <v>90.21932983398438</v>
      </c>
      <c r="H4604">
        <f>AVERAGE(D4405:D4604)</f>
        <v/>
      </c>
      <c r="I4604">
        <f>AVERAGE(E4405:E4604)</f>
        <v/>
      </c>
      <c r="J4604">
        <f>AVERAGE(F4405:F4604)</f>
        <v/>
      </c>
    </row>
    <row r="4605">
      <c r="C4605" s="539" t="n">
        <v>46135</v>
      </c>
      <c r="D4605" t="n">
        <v>431.0400085449219</v>
      </c>
      <c r="E4605" t="n">
        <v>134.7200012207031</v>
      </c>
      <c r="F4605" t="n">
        <v>27.39999961853027</v>
      </c>
      <c r="G4605" t="n">
        <v>90.23902130126953</v>
      </c>
      <c r="H4605">
        <f>AVERAGE(D4406:D4605)</f>
        <v/>
      </c>
      <c r="I4605">
        <f>AVERAGE(E4406:E4605)</f>
        <v/>
      </c>
      <c r="J4605">
        <f>AVERAGE(F4406:F4605)</f>
        <v/>
      </c>
    </row>
    <row r="4606">
      <c r="C4606" s="539" t="n">
        <v>46136</v>
      </c>
      <c r="D4606" t="n">
        <v>433.25</v>
      </c>
      <c r="E4606" t="n">
        <v>132.3999938964844</v>
      </c>
      <c r="F4606" t="n">
        <v>27.38999938964844</v>
      </c>
      <c r="G4606" t="n">
        <v>90.25873565673828</v>
      </c>
      <c r="H4606">
        <f>AVERAGE(D4407:D4606)</f>
        <v/>
      </c>
      <c r="I4606">
        <f>AVERAGE(E4407:E4606)</f>
        <v/>
      </c>
      <c r="J4606">
        <f>AVERAGE(F4407:F4606)</f>
        <v/>
      </c>
    </row>
    <row r="4607">
      <c r="C4607" s="539" t="n">
        <v>46139</v>
      </c>
      <c r="D4607" t="n">
        <v>429.8900146484375</v>
      </c>
      <c r="E4607" t="n">
        <v>134.7200012207031</v>
      </c>
      <c r="F4607" t="n">
        <v>27.56999969482422</v>
      </c>
      <c r="G4607" t="n">
        <v>90.26858520507812</v>
      </c>
      <c r="H4607">
        <f>AVERAGE(D4408:D4607)</f>
        <v/>
      </c>
      <c r="I4607">
        <f>AVERAGE(E4408:E4607)</f>
        <v/>
      </c>
      <c r="J4607">
        <f>AVERAGE(F4408:F4607)</f>
        <v/>
      </c>
    </row>
    <row r="4608">
      <c r="C4608" s="539" t="n">
        <v>46140</v>
      </c>
      <c r="D4608" t="n">
        <v>421.9100036621094</v>
      </c>
      <c r="E4608" t="n">
        <v>139.6000061035156</v>
      </c>
      <c r="F4608" t="n">
        <v>27.95999908447266</v>
      </c>
      <c r="G4608" t="n">
        <v>90.27842712402344</v>
      </c>
      <c r="H4608">
        <f>AVERAGE(D4409:D4608)</f>
        <v/>
      </c>
      <c r="I4608">
        <f>AVERAGE(E4409:E4608)</f>
        <v/>
      </c>
      <c r="J4608">
        <f>AVERAGE(F4409:F4608)</f>
        <v/>
      </c>
    </row>
    <row r="4609">
      <c r="C4609" s="539" t="n">
        <v>46141</v>
      </c>
      <c r="D4609" t="n">
        <v>417.4100036621094</v>
      </c>
      <c r="E4609" t="n">
        <v>150.6300048828125</v>
      </c>
      <c r="F4609" t="n">
        <v>28.11000061035156</v>
      </c>
      <c r="G4609" t="n">
        <v>90.27842712402344</v>
      </c>
      <c r="H4609">
        <f>AVERAGE(D4410:D4609)</f>
        <v/>
      </c>
      <c r="I4609">
        <f>AVERAGE(E4410:E4609)</f>
        <v/>
      </c>
      <c r="J4609">
        <f>AVERAGE(F4410:F4609)</f>
        <v/>
      </c>
    </row>
    <row r="4610">
      <c r="C4610" s="539" t="n">
        <v>46142</v>
      </c>
      <c r="D4610" t="n">
        <v>423.6600036621094</v>
      </c>
      <c r="E4610" t="n">
        <v>147.0899963378906</v>
      </c>
      <c r="F4610" t="n">
        <v>28.03000068664551</v>
      </c>
      <c r="G4610" t="n">
        <v>90.28828430175781</v>
      </c>
      <c r="H4610">
        <f>AVERAGE(D4411:D4610)</f>
        <v/>
      </c>
      <c r="I4610">
        <f>AVERAGE(E4411:E4610)</f>
        <v/>
      </c>
      <c r="J4610">
        <f>AVERAGE(F4411:F4610)</f>
        <v/>
      </c>
    </row>
    <row r="4611">
      <c r="C4611" s="539" t="n">
        <v>46143</v>
      </c>
      <c r="D4611" t="n">
        <v>423.1799926757812</v>
      </c>
      <c r="E4611" t="n">
        <v>142.8000030517578</v>
      </c>
      <c r="F4611" t="n">
        <v>28.11000061035156</v>
      </c>
      <c r="G4611" t="n">
        <v>90.31793975830078</v>
      </c>
      <c r="H4611">
        <f>AVERAGE(D4412:D4611)</f>
        <v/>
      </c>
      <c r="I4611">
        <f>AVERAGE(E4412:E4611)</f>
        <v/>
      </c>
      <c r="J4611">
        <f>AVERAGE(F4412:F4611)</f>
        <v/>
      </c>
    </row>
    <row r="4612">
      <c r="C4612" s="539" t="n">
        <v>46146</v>
      </c>
      <c r="D4612" t="n">
        <v>414.7099914550781</v>
      </c>
      <c r="E4612" t="n">
        <v>147.6100006103516</v>
      </c>
      <c r="F4612" t="n">
        <v>28.29000091552734</v>
      </c>
      <c r="G4612" t="n">
        <v>90.33769226074219</v>
      </c>
      <c r="H4612">
        <f>AVERAGE(D4413:D4612)</f>
        <v/>
      </c>
      <c r="I4612">
        <f>AVERAGE(E4413:E4612)</f>
        <v/>
      </c>
      <c r="J4612">
        <f>AVERAGE(F4413:F4612)</f>
        <v/>
      </c>
    </row>
    <row r="4613">
      <c r="C4613" s="539" t="n">
        <v>46147</v>
      </c>
      <c r="D4613" t="n">
        <v>418.2699890136719</v>
      </c>
      <c r="E4613" t="n">
        <v>144.1699981689453</v>
      </c>
      <c r="F4613" t="n">
        <v>28.3700008392334</v>
      </c>
      <c r="G4613" t="n">
        <v>90.34757232666016</v>
      </c>
      <c r="H4613">
        <f>AVERAGE(D4414:D4613)</f>
        <v/>
      </c>
      <c r="I4613">
        <f>AVERAGE(E4414:E4613)</f>
        <v/>
      </c>
      <c r="J4613">
        <f>AVERAGE(F4414:F4613)</f>
        <v/>
      </c>
    </row>
    <row r="4614">
      <c r="C4614" s="539" t="n">
        <v>46148</v>
      </c>
      <c r="D4614" t="n">
        <v>430.9599914550781</v>
      </c>
      <c r="E4614" t="n">
        <v>133.9499969482422</v>
      </c>
      <c r="F4614" t="n">
        <v>28.05999946594238</v>
      </c>
      <c r="G4614" t="n">
        <v>90.33769226074219</v>
      </c>
      <c r="H4614">
        <f>AVERAGE(D4415:D4614)</f>
        <v/>
      </c>
      <c r="I4614">
        <f>AVERAGE(E4415:E4614)</f>
        <v/>
      </c>
      <c r="J4614">
        <f>AVERAGE(F4415:F4614)</f>
        <v/>
      </c>
    </row>
    <row r="4615">
      <c r="C4615" s="539" t="n">
        <v>46149</v>
      </c>
      <c r="D4615" t="n">
        <v>431.6799926757812</v>
      </c>
      <c r="E4615" t="n">
        <v>134.9700012207031</v>
      </c>
      <c r="F4615" t="n">
        <v>27.79999923706055</v>
      </c>
      <c r="G4615" t="n">
        <v>90.35746002197266</v>
      </c>
      <c r="H4615">
        <f>AVERAGE(D4416:D4615)</f>
        <v/>
      </c>
      <c r="I4615">
        <f>AVERAGE(E4416:E4615)</f>
        <v/>
      </c>
      <c r="J4615">
        <f>AVERAGE(F4416:F4615)</f>
        <v/>
      </c>
    </row>
    <row r="4616">
      <c r="C4616" s="539" t="n">
        <v>46150</v>
      </c>
      <c r="D4616" t="n">
        <v>433.7699890136719</v>
      </c>
      <c r="E4616" t="n">
        <v>133.5899963378906</v>
      </c>
      <c r="F4616" t="n">
        <v>27.96999931335449</v>
      </c>
      <c r="G4616" t="n">
        <v>90.37722015380859</v>
      </c>
      <c r="H4616">
        <f>AVERAGE(D4417:D4616)</f>
        <v/>
      </c>
      <c r="I4616">
        <f>AVERAGE(E4417:E4616)</f>
        <v/>
      </c>
      <c r="J4616">
        <f>AVERAGE(F4417:F4616)</f>
        <v/>
      </c>
    </row>
    <row r="4617">
      <c r="C4617" s="539" t="n">
        <v>46153</v>
      </c>
      <c r="D4617" t="n">
        <v>434.6499938964844</v>
      </c>
      <c r="E4617" t="n">
        <v>138.6600036621094</v>
      </c>
      <c r="F4617" t="n">
        <v>28.32999992370605</v>
      </c>
      <c r="G4617" t="n">
        <v>90.39698791503906</v>
      </c>
      <c r="H4617">
        <f>AVERAGE(D4418:D4617)</f>
        <v/>
      </c>
      <c r="I4617">
        <f>AVERAGE(E4418:E4617)</f>
        <v/>
      </c>
      <c r="J4617">
        <f>AVERAGE(F4418:F4617)</f>
        <v/>
      </c>
    </row>
    <row r="4618">
      <c r="C4618" s="539" t="n">
        <v>46154</v>
      </c>
      <c r="D4618" t="n">
        <v>432.9299926757812</v>
      </c>
      <c r="E4618" t="n">
        <v>144.3000030517578</v>
      </c>
      <c r="F4618" t="n">
        <v>28.56999969482422</v>
      </c>
      <c r="G4618" t="n">
        <v>90.4068603515625</v>
      </c>
      <c r="H4618">
        <f>AVERAGE(D4419:D4618)</f>
        <v/>
      </c>
      <c r="I4618">
        <f>AVERAGE(E4419:E4618)</f>
        <v/>
      </c>
      <c r="J4618">
        <f>AVERAGE(F4419:F4618)</f>
        <v/>
      </c>
    </row>
    <row r="4619">
      <c r="C4619" s="539" t="n">
        <v>46155</v>
      </c>
      <c r="D4619" t="n">
        <v>430.5</v>
      </c>
      <c r="E4619" t="n">
        <v>142.0399932861328</v>
      </c>
      <c r="F4619" t="n">
        <v>28.72999954223633</v>
      </c>
      <c r="G4619" t="n">
        <v>90.4068603515625</v>
      </c>
      <c r="H4619">
        <f>AVERAGE(D4420:D4619)</f>
        <v/>
      </c>
      <c r="I4619">
        <f>AVERAGE(E4420:E4619)</f>
        <v/>
      </c>
      <c r="J4619">
        <f>AVERAGE(F4420:F4619)</f>
        <v/>
      </c>
    </row>
    <row r="4620">
      <c r="C4620" s="539" t="n">
        <v>46156</v>
      </c>
      <c r="D4620" t="n">
        <v>427.2099914550781</v>
      </c>
      <c r="E4620" t="n">
        <v>143</v>
      </c>
      <c r="F4620" t="n">
        <v>28.25</v>
      </c>
      <c r="G4620" t="n">
        <v>90.4266357421875</v>
      </c>
      <c r="H4620">
        <f>AVERAGE(D4421:D4620)</f>
        <v/>
      </c>
      <c r="I4620">
        <f>AVERAGE(E4421:E4620)</f>
        <v/>
      </c>
      <c r="J4620">
        <f>AVERAGE(F4421:F4620)</f>
        <v/>
      </c>
    </row>
    <row r="4621">
      <c r="C4621" s="539" t="n">
        <v>46157</v>
      </c>
      <c r="D4621" t="n">
        <v>417.2900085449219</v>
      </c>
      <c r="E4621" t="n">
        <v>148.2299957275391</v>
      </c>
      <c r="F4621" t="n">
        <v>27.82999992370605</v>
      </c>
      <c r="G4621" t="n">
        <v>90.44638824462891</v>
      </c>
      <c r="H4621">
        <f>AVERAGE(D4422:D4621)</f>
        <v/>
      </c>
      <c r="I4621">
        <f>AVERAGE(E4422:E4621)</f>
        <v/>
      </c>
      <c r="J4621">
        <f>AVERAGE(F4422:F4621)</f>
        <v/>
      </c>
    </row>
    <row r="4622">
      <c r="C4622" s="539" t="n">
        <v>46160</v>
      </c>
      <c r="D4622" t="n">
        <v>418.4299926757812</v>
      </c>
      <c r="E4622" t="n">
        <v>149.2899932861328</v>
      </c>
      <c r="F4622" t="n">
        <v>28.20000076293945</v>
      </c>
      <c r="G4622" t="n">
        <v>90.44638824462891</v>
      </c>
      <c r="H4622">
        <f>AVERAGE(D4423:D4622)</f>
        <v/>
      </c>
      <c r="I4622">
        <f>AVERAGE(E4423:E4622)</f>
        <v/>
      </c>
      <c r="J4622">
        <f>AVERAGE(F4423:F4622)</f>
        <v/>
      </c>
    </row>
    <row r="4623">
      <c r="C4623" s="539" t="n">
        <v>46161</v>
      </c>
      <c r="D4623" t="n">
        <v>411.5</v>
      </c>
      <c r="E4623" t="n">
        <v>152.9600067138672</v>
      </c>
      <c r="F4623" t="n">
        <v>28.28000068664551</v>
      </c>
      <c r="G4623" t="n">
        <v>90.46615600585938</v>
      </c>
      <c r="H4623">
        <f>AVERAGE(D4424:D4623)</f>
        <v/>
      </c>
      <c r="I4623">
        <f>AVERAGE(E4424:E4623)</f>
        <v/>
      </c>
      <c r="J4623">
        <f>AVERAGE(F4424:F4623)</f>
        <v/>
      </c>
    </row>
    <row r="4624">
      <c r="C4624" s="539" t="n">
        <v>46162</v>
      </c>
      <c r="D4624" t="n">
        <v>417.3999938964844</v>
      </c>
      <c r="E4624" t="n">
        <v>144.2700042724609</v>
      </c>
      <c r="F4624" t="n">
        <v>27.96999931335449</v>
      </c>
      <c r="G4624" t="n">
        <v>90.48592376708984</v>
      </c>
      <c r="H4624">
        <f>AVERAGE(D4425:D4624)</f>
        <v/>
      </c>
      <c r="I4624">
        <f>AVERAGE(E4425:E4624)</f>
        <v/>
      </c>
      <c r="J4624">
        <f>AVERAGE(F4425:F4624)</f>
        <v/>
      </c>
    </row>
    <row r="4625">
      <c r="C4625" s="539" t="n">
        <v>46163</v>
      </c>
      <c r="D4625" t="n">
        <v>416.989990234375</v>
      </c>
      <c r="E4625" t="n">
        <v>142.5399932861328</v>
      </c>
      <c r="F4625" t="n">
        <v>27.61000061035156</v>
      </c>
      <c r="G4625" t="n">
        <v>90.48592376708984</v>
      </c>
      <c r="H4625">
        <f>AVERAGE(D4426:D4625)</f>
        <v/>
      </c>
      <c r="I4625">
        <f>AVERAGE(E4426:E4625)</f>
        <v/>
      </c>
      <c r="J4625">
        <f>AVERAGE(F4426:F4625)</f>
        <v/>
      </c>
    </row>
    <row r="4626">
      <c r="C4626" s="539" t="n">
        <v>46164</v>
      </c>
      <c r="D4626" t="n">
        <v>413.8200073242188</v>
      </c>
      <c r="E4626" t="n">
        <v>140.9199981689453</v>
      </c>
      <c r="F4626" t="n">
        <v>27.55999946594238</v>
      </c>
      <c r="G4626" t="n">
        <v>90.50567626953125</v>
      </c>
      <c r="H4626">
        <f>AVERAGE(D4427:D4626)</f>
        <v/>
      </c>
      <c r="I4626">
        <f>AVERAGE(E4427:E4626)</f>
        <v/>
      </c>
      <c r="J4626">
        <f>AVERAGE(F4427:F4626)</f>
        <v/>
      </c>
    </row>
    <row r="4627">
      <c r="C4627" s="539" t="n">
        <v>46168</v>
      </c>
      <c r="D4627" t="n">
        <v>414</v>
      </c>
      <c r="E4627" t="n">
        <v>137</v>
      </c>
      <c r="F4627" t="n">
        <v>27.46999931335449</v>
      </c>
      <c r="G4627" t="n">
        <v>90.52545166015625</v>
      </c>
      <c r="H4627">
        <f>AVERAGE(D4428:D4627)</f>
        <v/>
      </c>
      <c r="I4627">
        <f>AVERAGE(E4428:E4627)</f>
        <v/>
      </c>
      <c r="J4627">
        <f>AVERAGE(F4428:F4627)</f>
        <v/>
      </c>
    </row>
    <row r="4628">
      <c r="C4628" s="539" t="n">
        <v>46169</v>
      </c>
      <c r="D4628" t="n">
        <v>408.489990234375</v>
      </c>
      <c r="E4628" t="n">
        <v>131.0299987792969</v>
      </c>
      <c r="F4628" t="n">
        <v>27.46999931335449</v>
      </c>
      <c r="G4628" t="n">
        <v>90.53533172607422</v>
      </c>
      <c r="H4628">
        <f>AVERAGE(D4429:D4628)</f>
        <v/>
      </c>
      <c r="I4628">
        <f>AVERAGE(E4429:E4628)</f>
        <v/>
      </c>
      <c r="J4628">
        <f>AVERAGE(F4429:F4628)</f>
        <v/>
      </c>
    </row>
    <row r="4629">
      <c r="C4629" s="539" t="n">
        <v>46170</v>
      </c>
      <c r="D4629" t="n">
        <v>412.7699890136719</v>
      </c>
      <c r="E4629" t="n">
        <v>130.7799987792969</v>
      </c>
      <c r="F4629" t="n">
        <v>27.57999992370605</v>
      </c>
      <c r="G4629" t="n">
        <v>90.54520416259766</v>
      </c>
      <c r="H4629">
        <f>AVERAGE(D4430:D4629)</f>
        <v/>
      </c>
      <c r="I4629">
        <f>AVERAGE(E4430:E4629)</f>
        <v/>
      </c>
      <c r="J4629">
        <f>AVERAGE(F4430:F4629)</f>
        <v/>
      </c>
    </row>
    <row r="4630">
      <c r="C4630" s="539" t="n">
        <v>46171</v>
      </c>
      <c r="D4630" t="n">
        <v>417.1199951171875</v>
      </c>
      <c r="E4630" t="n">
        <v>129.0899963378906</v>
      </c>
      <c r="F4630" t="n">
        <v>27.25</v>
      </c>
      <c r="G4630" t="n">
        <v>90.57485198974609</v>
      </c>
      <c r="H4630">
        <f>AVERAGE(D4431:D4630)</f>
        <v/>
      </c>
      <c r="I4630">
        <f>AVERAGE(E4431:E4630)</f>
        <v/>
      </c>
      <c r="J4630">
        <f>AVERAGE(F4431:F4630)</f>
        <v/>
      </c>
    </row>
    <row r="4631">
      <c r="C4631" s="539" t="n">
        <v>46174</v>
      </c>
      <c r="D4631" t="n">
        <v>411.260009765625</v>
      </c>
      <c r="E4631" t="n">
        <v>135.5</v>
      </c>
      <c r="F4631" t="n">
        <v>27.23999977111816</v>
      </c>
      <c r="G4631" t="n">
        <v>90.58377838134766</v>
      </c>
      <c r="H4631">
        <f>AVERAGE(D4432:D4631)</f>
        <v/>
      </c>
      <c r="I4631">
        <f>AVERAGE(E4432:E4631)</f>
        <v/>
      </c>
      <c r="J4631">
        <f>AVERAGE(F4432:F4631)</f>
        <v/>
      </c>
    </row>
    <row r="4632">
      <c r="C4632" s="539" t="n">
        <v>46175</v>
      </c>
      <c r="D4632" t="n">
        <v>411.9500122070312</v>
      </c>
      <c r="E4632" t="n">
        <v>137.2700042724609</v>
      </c>
      <c r="F4632" t="n">
        <v>27.1200008392334</v>
      </c>
      <c r="G4632" t="n">
        <v>90.57386779785156</v>
      </c>
      <c r="H4632">
        <f>AVERAGE(D4433:D4632)</f>
        <v/>
      </c>
      <c r="I4632">
        <f>AVERAGE(E4433:E4632)</f>
        <v/>
      </c>
      <c r="J4632">
        <f>AVERAGE(F4433:F4632)</f>
        <v/>
      </c>
    </row>
    <row r="4633">
      <c r="C4633" s="539" t="n">
        <v>46176</v>
      </c>
      <c r="D4633" t="n">
        <v>407.8699951171875</v>
      </c>
      <c r="E4633" t="n">
        <v>140.8600006103516</v>
      </c>
      <c r="F4633" t="n">
        <v>26.86000061035156</v>
      </c>
      <c r="G4633" t="n">
        <v>90.59368896484375</v>
      </c>
      <c r="H4633">
        <f>AVERAGE(D4434:D4633)</f>
        <v/>
      </c>
      <c r="I4633">
        <f>AVERAGE(E4434:E4633)</f>
        <v/>
      </c>
      <c r="J4633">
        <f>AVERAGE(F4434:F4633)</f>
        <v/>
      </c>
    </row>
    <row r="4634">
      <c r="C4634" s="539" t="n">
        <v>46177</v>
      </c>
      <c r="D4634" t="n">
        <v>411.2699890136719</v>
      </c>
      <c r="E4634" t="n">
        <v>136.7400054931641</v>
      </c>
      <c r="F4634" t="n">
        <v>26.69000053405762</v>
      </c>
      <c r="G4634" t="n">
        <v>90.59368896484375</v>
      </c>
      <c r="H4634">
        <f>AVERAGE(D4435:D4634)</f>
        <v/>
      </c>
      <c r="I4634">
        <f>AVERAGE(E4435:E4634)</f>
        <v/>
      </c>
      <c r="J4634">
        <f>AVERAGE(F4435:F4634)</f>
        <v/>
      </c>
    </row>
    <row r="4635">
      <c r="C4635" s="539" t="n">
        <v>46178</v>
      </c>
      <c r="D4635" t="n">
        <v>396.239990234375</v>
      </c>
      <c r="E4635" t="n">
        <v>133.0200042724609</v>
      </c>
      <c r="F4635" t="n">
        <v>26.39999961853027</v>
      </c>
      <c r="G4635" t="n">
        <v>90.63332366943359</v>
      </c>
      <c r="H4635">
        <f>AVERAGE(D4436:D4635)</f>
        <v/>
      </c>
      <c r="I4635">
        <f>AVERAGE(E4436:E4635)</f>
        <v/>
      </c>
      <c r="J4635">
        <f>AVERAGE(F4436:F4635)</f>
        <v/>
      </c>
    </row>
    <row r="4636">
      <c r="C4636" s="539" t="n">
        <v>46181</v>
      </c>
      <c r="D4636" t="n">
        <v>397.2699890136719</v>
      </c>
      <c r="E4636" t="n">
        <v>135.1499938964844</v>
      </c>
      <c r="F4636" t="n">
        <v>26.32999992370605</v>
      </c>
      <c r="G4636" t="n">
        <v>90.64323425292969</v>
      </c>
      <c r="H4636">
        <f>AVERAGE(D4437:D4636)</f>
        <v/>
      </c>
      <c r="I4636">
        <f>AVERAGE(E4437:E4636)</f>
        <v/>
      </c>
      <c r="J4636">
        <f>AVERAGE(F4437:F4636)</f>
        <v/>
      </c>
    </row>
    <row r="4637">
      <c r="C4637" s="539" t="n">
        <v>46182</v>
      </c>
      <c r="D4637" t="n">
        <v>390.7799987792969</v>
      </c>
      <c r="E4637" t="n">
        <v>131.3000030517578</v>
      </c>
      <c r="F4637" t="n">
        <v>26.28000068664551</v>
      </c>
      <c r="G4637" t="n">
        <v>90.64323425292969</v>
      </c>
      <c r="H4637">
        <f>AVERAGE(D4438:D4637)</f>
        <v/>
      </c>
      <c r="I4637">
        <f>AVERAGE(E4438:E4637)</f>
        <v/>
      </c>
      <c r="J4637">
        <f>AVERAGE(F4438:F4637)</f>
        <v/>
      </c>
    </row>
    <row r="4638">
      <c r="C4638" s="539" t="n">
        <v>46183</v>
      </c>
      <c r="D4638" t="n">
        <v>374.5799865722656</v>
      </c>
      <c r="E4638" t="n">
        <v>134.3000030517578</v>
      </c>
      <c r="F4638" t="n">
        <v>26.32999992370605</v>
      </c>
      <c r="G4638" t="n">
        <v>90.65315246582031</v>
      </c>
      <c r="H4638">
        <f>AVERAGE(D4439:D4638)</f>
        <v/>
      </c>
      <c r="I4638">
        <f>AVERAGE(E4439:E4638)</f>
        <v/>
      </c>
      <c r="J4638">
        <f>AVERAGE(F4439:F4638)</f>
        <v/>
      </c>
    </row>
    <row r="4639">
      <c r="C4639" s="539" t="n">
        <v>46184</v>
      </c>
      <c r="D4639" t="n">
        <v>386.3200073242188</v>
      </c>
      <c r="E4639" t="n">
        <v>128.8300018310547</v>
      </c>
      <c r="F4639" t="n">
        <v>26.29999923706055</v>
      </c>
      <c r="G4639" t="n">
        <v>90.66306304931641</v>
      </c>
      <c r="H4639">
        <f>AVERAGE(D4440:D4639)</f>
        <v/>
      </c>
      <c r="I4639">
        <f>AVERAGE(E4440:E4639)</f>
        <v/>
      </c>
      <c r="J4639">
        <f>AVERAGE(F4440:F4639)</f>
        <v/>
      </c>
    </row>
    <row r="4640">
      <c r="C4640" s="539" t="n">
        <v>46185</v>
      </c>
      <c r="D4640" t="n">
        <v>386.5400085449219</v>
      </c>
      <c r="E4640" t="n">
        <v>125.4300003051758</v>
      </c>
      <c r="F4640" t="n">
        <v>26.23999977111816</v>
      </c>
      <c r="G4640" t="n">
        <v>90.69279479980469</v>
      </c>
      <c r="H4640">
        <f>AVERAGE(D4441:D4640)</f>
        <v/>
      </c>
      <c r="I4640">
        <f>AVERAGE(E4441:E4640)</f>
        <v/>
      </c>
      <c r="J4640">
        <f>AVERAGE(F4441:F4640)</f>
        <v/>
      </c>
    </row>
    <row r="4641">
      <c r="C4641" s="539" t="n">
        <v>46188</v>
      </c>
      <c r="D4641" t="n">
        <v>396.5499877929688</v>
      </c>
      <c r="E4641" t="n">
        <v>121.2099990844727</v>
      </c>
      <c r="F4641" t="n">
        <v>26.3799991607666</v>
      </c>
      <c r="G4641" t="n">
        <v>90.69279479980469</v>
      </c>
      <c r="H4641">
        <f>AVERAGE(D4442:D4641)</f>
        <v/>
      </c>
      <c r="I4641">
        <f>AVERAGE(E4442:E4641)</f>
        <v/>
      </c>
      <c r="J4641">
        <f>AVERAGE(F4442:F4641)</f>
        <v/>
      </c>
    </row>
    <row r="4642">
      <c r="C4642" s="539" t="n">
        <v>46189</v>
      </c>
      <c r="D4642" t="n">
        <v>397.6300048828125</v>
      </c>
      <c r="E4642" t="n">
        <v>115.4700012207031</v>
      </c>
      <c r="F4642" t="n">
        <v>26.65999984741211</v>
      </c>
      <c r="G4642" t="n">
        <v>90.70269775390625</v>
      </c>
      <c r="H4642">
        <f>AVERAGE(D4443:D4642)</f>
        <v/>
      </c>
      <c r="I4642">
        <f>AVERAGE(E4443:E4642)</f>
        <v/>
      </c>
      <c r="J4642">
        <f>AVERAGE(F4443:F4642)</f>
        <v/>
      </c>
    </row>
    <row r="4643">
      <c r="C4643" s="539" t="n">
        <v>46190</v>
      </c>
      <c r="D4643" t="n">
        <v>388.6000061035156</v>
      </c>
      <c r="E4643" t="n">
        <v>114.2300033569336</v>
      </c>
      <c r="F4643" t="n">
        <v>26.84000015258789</v>
      </c>
      <c r="G4643" t="n">
        <v>90.71260833740234</v>
      </c>
      <c r="H4643">
        <f>AVERAGE(D4444:D4643)</f>
        <v/>
      </c>
      <c r="I4643">
        <f>AVERAGE(E4444:E4643)</f>
        <v/>
      </c>
      <c r="J4643">
        <f>AVERAGE(F4444:F4643)</f>
        <v/>
      </c>
    </row>
    <row r="4644">
      <c r="C4644" s="539" t="n">
        <v>46191</v>
      </c>
      <c r="D4644" t="n">
        <v>387.1199951171875</v>
      </c>
      <c r="E4644" t="n">
        <v>114.870002746582</v>
      </c>
      <c r="F4644" t="n">
        <v>26.6299991607666</v>
      </c>
      <c r="G4644" t="n">
        <v>90.75225830078125</v>
      </c>
      <c r="H4644">
        <f>AVERAGE(D4445:D4644)</f>
        <v/>
      </c>
      <c r="I4644">
        <f>AVERAGE(E4445:E4644)</f>
        <v/>
      </c>
      <c r="J4644">
        <f>AVERAGE(F4445:F4644)</f>
        <v/>
      </c>
    </row>
    <row r="4645">
      <c r="C4645" s="539" t="n">
        <v>46195</v>
      </c>
      <c r="D4645" t="n">
        <v>384.5899963378906</v>
      </c>
      <c r="E4645" t="n">
        <v>112.6900024414062</v>
      </c>
      <c r="F4645" t="n">
        <v>26.64999961853027</v>
      </c>
      <c r="G4645" t="n">
        <v>90.75225830078125</v>
      </c>
      <c r="H4645">
        <f>AVERAGE(D4446:D4645)</f>
        <v/>
      </c>
      <c r="I4645">
        <f>AVERAGE(E4446:E4645)</f>
        <v/>
      </c>
      <c r="J4645">
        <f>AVERAGE(F4446:F4645)</f>
        <v/>
      </c>
    </row>
    <row r="4646">
      <c r="C4646" s="539" t="n">
        <v>46196</v>
      </c>
      <c r="D4646" t="n">
        <v>377.3200073242188</v>
      </c>
      <c r="E4646" t="n">
        <v>111.2600021362305</v>
      </c>
      <c r="F4646" t="n">
        <v>26.60000038146973</v>
      </c>
      <c r="G4646" t="n">
        <v>90.76216888427734</v>
      </c>
      <c r="H4646">
        <f>AVERAGE(D4447:D4646)</f>
        <v/>
      </c>
      <c r="I4646">
        <f>AVERAGE(E4447:E4646)</f>
        <v/>
      </c>
      <c r="J4646">
        <f>AVERAGE(F4447:F4646)</f>
        <v/>
      </c>
    </row>
    <row r="4647">
      <c r="C4647" s="539" t="n">
        <v>46197</v>
      </c>
      <c r="D4647" t="n">
        <v>365.9200134277344</v>
      </c>
      <c r="E4647" t="n">
        <v>106.2900009155273</v>
      </c>
      <c r="F4647" t="n">
        <v>26.55999946594238</v>
      </c>
      <c r="G4647" t="n">
        <v>90.77207183837891</v>
      </c>
      <c r="H4647">
        <f>AVERAGE(D4448:D4647)</f>
        <v/>
      </c>
      <c r="I4647">
        <f>AVERAGE(E4448:E4647)</f>
        <v/>
      </c>
      <c r="J4647">
        <f>AVERAGE(F4448:F4647)</f>
        <v/>
      </c>
    </row>
    <row r="4648">
      <c r="C4648" s="539" t="n">
        <v>46198</v>
      </c>
      <c r="D4648" t="n">
        <v>369.4599914550781</v>
      </c>
      <c r="E4648" t="n">
        <v>109.3099975585938</v>
      </c>
      <c r="F4648" t="n">
        <v>26.92000007629395</v>
      </c>
      <c r="G4648" t="n">
        <v>90.781982421875</v>
      </c>
      <c r="H4648">
        <f>AVERAGE(D4449:D4648)</f>
        <v/>
      </c>
      <c r="I4648">
        <f>AVERAGE(E4449:E4648)</f>
        <v/>
      </c>
      <c r="J4648">
        <f>AVERAGE(F4449:F4648)</f>
        <v/>
      </c>
    </row>
    <row r="4649">
      <c r="C4649" s="539" t="n">
        <v>46199</v>
      </c>
      <c r="D4649" t="n">
        <v>373.6300048828125</v>
      </c>
      <c r="E4649" t="n">
        <v>105.4800033569336</v>
      </c>
      <c r="F4649" t="n">
        <v>26.79999923706055</v>
      </c>
      <c r="G4649" t="n">
        <v>90.81171417236328</v>
      </c>
      <c r="H4649">
        <f>AVERAGE(D4450:D4649)</f>
        <v/>
      </c>
      <c r="I4649">
        <f>AVERAGE(E4450:E4649)</f>
        <v/>
      </c>
      <c r="J4649">
        <f>AVERAGE(F4450:F4649)</f>
        <v/>
      </c>
    </row>
    <row r="4650">
      <c r="C4650" s="539" t="n">
        <v>46202</v>
      </c>
      <c r="D4650" t="n">
        <v>368.5799865722656</v>
      </c>
      <c r="E4650" t="n">
        <v>107.0800018310547</v>
      </c>
      <c r="F4650" t="n">
        <v>26.51000022888184</v>
      </c>
      <c r="G4650" t="n">
        <v>90.82162475585938</v>
      </c>
      <c r="H4650">
        <f>AVERAGE(D4451:D4650)</f>
        <v/>
      </c>
      <c r="I4650">
        <f>AVERAGE(E4451:E4650)</f>
        <v/>
      </c>
      <c r="J4650">
        <f>AVERAGE(F4451:F4650)</f>
        <v/>
      </c>
    </row>
    <row r="4651">
      <c r="C4651" s="539" t="n">
        <v>46203</v>
      </c>
      <c r="D4651" t="n">
        <v>368.3800048828125</v>
      </c>
      <c r="E4651" t="n">
        <v>106.4400024414062</v>
      </c>
      <c r="F4651" t="n">
        <v>26.67000007629395</v>
      </c>
      <c r="G4651" t="n">
        <v>90.82162475585938</v>
      </c>
      <c r="H4651">
        <f>AVERAGE(D4452:D4651)</f>
        <v/>
      </c>
      <c r="I4651">
        <f>AVERAGE(E4452:E4651)</f>
        <v/>
      </c>
      <c r="J4651">
        <f>AVERAGE(F4452:F4651)</f>
        <v/>
      </c>
    </row>
    <row r="4652">
      <c r="C4652" s="539" t="n">
        <v>46204</v>
      </c>
      <c r="D4652" t="n">
        <v>370.6000061035156</v>
      </c>
      <c r="E4652" t="n">
        <v>103.2699966430664</v>
      </c>
      <c r="F4652" t="n">
        <v>26.86000061035156</v>
      </c>
      <c r="G4652" t="n">
        <v>90.84946441650391</v>
      </c>
      <c r="H4652">
        <f>AVERAGE(D4453:D4652)</f>
        <v/>
      </c>
      <c r="I4652">
        <f>AVERAGE(E4453:E4652)</f>
        <v/>
      </c>
      <c r="J4652">
        <f>AVERAGE(F4453:F4652)</f>
        <v/>
      </c>
    </row>
    <row r="4653">
      <c r="C4653" s="539" t="n">
        <v>46205</v>
      </c>
      <c r="D4653" t="n">
        <v>378.1300048828125</v>
      </c>
      <c r="E4653" t="n">
        <v>103.9800033569336</v>
      </c>
      <c r="F4653" t="n">
        <v>26.73999977111816</v>
      </c>
      <c r="G4653" t="n">
        <v>90.88922119140625</v>
      </c>
      <c r="H4653">
        <f>AVERAGE(D4454:D4653)</f>
        <v/>
      </c>
      <c r="I4653">
        <f>AVERAGE(E4454:E4653)</f>
        <v/>
      </c>
      <c r="J4653">
        <f>AVERAGE(F4454:F4653)</f>
        <v/>
      </c>
    </row>
    <row r="4654">
      <c r="C4654" s="539" t="n">
        <v>46209</v>
      </c>
      <c r="D4654" t="n">
        <v>382.1300048828125</v>
      </c>
      <c r="E4654" t="n">
        <v>104.3499984741211</v>
      </c>
      <c r="F4654" t="n">
        <v>27.54000091552734</v>
      </c>
      <c r="G4654" t="n">
        <v>90.87928009033203</v>
      </c>
      <c r="H4654">
        <f>AVERAGE(D4455:D4654)</f>
        <v/>
      </c>
      <c r="I4654">
        <f>AVERAGE(E4455:E4654)</f>
        <v/>
      </c>
      <c r="J4654">
        <f>AVERAGE(F4455:F4654)</f>
        <v/>
      </c>
    </row>
    <row r="4655">
      <c r="C4655" s="539" t="n">
        <v>46210</v>
      </c>
      <c r="D4655" t="n">
        <v>377.489990234375</v>
      </c>
      <c r="E4655" t="n">
        <v>108.9199981689453</v>
      </c>
      <c r="F4655" t="n">
        <v>27.54999923706055</v>
      </c>
      <c r="G4655" t="n">
        <v>90.89915466308594</v>
      </c>
      <c r="H4655">
        <f>AVERAGE(D4456:D4655)</f>
        <v/>
      </c>
      <c r="I4655">
        <f>AVERAGE(E4456:E4655)</f>
        <v/>
      </c>
      <c r="J4655">
        <f>AVERAGE(F4456:F4655)</f>
        <v/>
      </c>
    </row>
    <row r="4656">
      <c r="C4656" s="539" t="n">
        <v>46211</v>
      </c>
      <c r="D4656" t="n">
        <v>374.4500122070312</v>
      </c>
      <c r="E4656" t="n">
        <v>112.2099990844727</v>
      </c>
      <c r="F4656" t="n">
        <v>27.6200008392334</v>
      </c>
      <c r="G4656" t="n">
        <v>90.89915466308594</v>
      </c>
      <c r="H4656">
        <f>AVERAGE(D4457:D4656)</f>
        <v/>
      </c>
      <c r="I4656">
        <f>AVERAGE(E4457:E4656)</f>
        <v/>
      </c>
      <c r="J4656">
        <f>AVERAGE(F4457:F4656)</f>
        <v/>
      </c>
    </row>
    <row r="4657">
      <c r="C4657" s="539" t="n">
        <v>46212</v>
      </c>
      <c r="D4657" t="n">
        <v>378.1799926757812</v>
      </c>
      <c r="E4657" t="n">
        <v>109.0100021362305</v>
      </c>
      <c r="F4657" t="n">
        <v>27.70999908447266</v>
      </c>
      <c r="G4657" t="n">
        <v>90.90909576416016</v>
      </c>
      <c r="H4657">
        <f>AVERAGE(D4458:D4657)</f>
        <v/>
      </c>
      <c r="I4657">
        <f>AVERAGE(E4458:E4657)</f>
        <v/>
      </c>
      <c r="J4657">
        <f>AVERAGE(F4458:F4657)</f>
        <v/>
      </c>
    </row>
    <row r="4658">
      <c r="C4658" s="539" t="n">
        <v>46213</v>
      </c>
      <c r="D4658" t="n">
        <v>377.010009765625</v>
      </c>
      <c r="E4658" t="n">
        <v>108.6999969482422</v>
      </c>
      <c r="F4658" t="n">
        <v>27.77000045776367</v>
      </c>
      <c r="G4658" t="n">
        <v>90.94886016845703</v>
      </c>
      <c r="H4658">
        <f>AVERAGE(D4459:D4658)</f>
        <v/>
      </c>
      <c r="I4658">
        <f>AVERAGE(E4459:E4658)</f>
        <v/>
      </c>
      <c r="J4658">
        <f>AVERAGE(F4459:F4658)</f>
        <v/>
      </c>
    </row>
    <row r="4659">
      <c r="C4659" s="539" t="n">
        <v>46216</v>
      </c>
      <c r="D4659" t="n">
        <v>367.1300048828125</v>
      </c>
      <c r="E4659" t="n">
        <v>117.7900009155273</v>
      </c>
      <c r="F4659" t="n">
        <v>27.71999931335449</v>
      </c>
      <c r="G4659" t="n">
        <v>90.94886016845703</v>
      </c>
      <c r="H4659">
        <f>AVERAGE(D4460:D4659)</f>
        <v/>
      </c>
      <c r="I4659">
        <f>AVERAGE(E4460:E4659)</f>
        <v/>
      </c>
      <c r="J4659">
        <f>AVERAGE(F4460:F4659)</f>
        <v/>
      </c>
    </row>
    <row r="4660">
      <c r="C4660" s="539" t="n">
        <v>46217</v>
      </c>
      <c r="D4660" t="n">
        <v>372.1499938964844</v>
      </c>
      <c r="E4660" t="n">
        <v>120.1699981689453</v>
      </c>
      <c r="F4660" t="n">
        <v>27.6299991607666</v>
      </c>
      <c r="G4660" t="n">
        <v>90.95880126953125</v>
      </c>
      <c r="H4660">
        <f>AVERAGE(D4461:D4660)</f>
        <v/>
      </c>
      <c r="I4660">
        <f>AVERAGE(E4461:E4660)</f>
        <v/>
      </c>
      <c r="J4660">
        <f>AVERAGE(F4461:F4660)</f>
        <v/>
      </c>
    </row>
    <row r="4661">
      <c r="C4661" s="539" t="n">
        <v>46218</v>
      </c>
      <c r="D4661" t="n">
        <v>372.3500061035156</v>
      </c>
      <c r="E4661" t="n">
        <v>121.379997253418</v>
      </c>
      <c r="F4661" t="n">
        <v>27.97999954223633</v>
      </c>
      <c r="G4661" t="n">
        <v>90.96873474121094</v>
      </c>
      <c r="H4661">
        <f>AVERAGE(D4462:D4661)</f>
        <v/>
      </c>
      <c r="I4661">
        <f>AVERAGE(E4462:E4661)</f>
        <v/>
      </c>
      <c r="J4661">
        <f>AVERAGE(F4462:F4661)</f>
        <v/>
      </c>
    </row>
    <row r="4662">
      <c r="C4662" s="539" t="n">
        <v>46219</v>
      </c>
      <c r="D4662" t="n">
        <v>364.9599914550781</v>
      </c>
      <c r="E4662" t="n">
        <v>119.3000030517578</v>
      </c>
      <c r="F4662" t="n">
        <v>27.59000015258789</v>
      </c>
      <c r="G4662" t="n">
        <v>90.97867584228516</v>
      </c>
      <c r="H4662">
        <f>AVERAGE(D4463:D4662)</f>
        <v/>
      </c>
      <c r="I4662">
        <f>AVERAGE(E4463:E4662)</f>
        <v/>
      </c>
      <c r="J4662">
        <f>AVERAGE(F4463:F4662)</f>
        <v/>
      </c>
    </row>
    <row r="4663">
      <c r="C4663" s="539" t="n">
        <v>46220</v>
      </c>
      <c r="D4663" t="n">
        <v>368.4100036621094</v>
      </c>
      <c r="E4663" t="n">
        <v>123.9599990844727</v>
      </c>
      <c r="F4663" t="n">
        <v>27.84000015258789</v>
      </c>
      <c r="G4663" t="n">
        <v>90.99855804443359</v>
      </c>
      <c r="H4663">
        <f>AVERAGE(D4464:D4663)</f>
        <v/>
      </c>
      <c r="I4663">
        <f>AVERAGE(E4464:E4663)</f>
        <v/>
      </c>
      <c r="J4663">
        <f>AVERAGE(F4464:F4663)</f>
        <v/>
      </c>
    </row>
    <row r="4664">
      <c r="C4664" s="539" t="n">
        <v>46223</v>
      </c>
      <c r="D4664" t="n">
        <v>367.6000061035156</v>
      </c>
      <c r="E4664" t="n">
        <v>125.5100021362305</v>
      </c>
      <c r="F4664" t="n">
        <v>28.02000045776367</v>
      </c>
      <c r="G4664" t="n">
        <v>91.00849151611328</v>
      </c>
      <c r="H4664">
        <f>AVERAGE(D4465:D4664)</f>
        <v/>
      </c>
      <c r="I4664">
        <f>AVERAGE(E4465:E4664)</f>
        <v/>
      </c>
      <c r="J4664">
        <f>AVERAGE(F4465:F4664)</f>
        <v/>
      </c>
    </row>
    <row r="4665">
      <c r="C4665" s="539" t="n">
        <v>46224</v>
      </c>
      <c r="D4665" t="n">
        <v>374.8099975585938</v>
      </c>
      <c r="E4665" t="n">
        <v>128.8500061035156</v>
      </c>
      <c r="F4665" t="n">
        <v>28.14999961853027</v>
      </c>
      <c r="G4665" t="n">
        <v>91.00849151611328</v>
      </c>
      <c r="H4665">
        <f>AVERAGE(D4466:D4665)</f>
        <v/>
      </c>
      <c r="I4665">
        <f>AVERAGE(E4466:E4665)</f>
        <v/>
      </c>
      <c r="J4665">
        <f>AVERAGE(F4466:F4665)</f>
        <v/>
      </c>
    </row>
    <row r="4666">
      <c r="C4666" s="539" t="n">
        <v>46225</v>
      </c>
      <c r="D4666" t="n">
        <v>379.1199951171875</v>
      </c>
      <c r="E4666" t="n">
        <v>131.6799926757812</v>
      </c>
      <c r="F4666" t="n">
        <v>28.22999954223633</v>
      </c>
      <c r="G4666" t="n">
        <v>91.02838134765625</v>
      </c>
      <c r="H4666">
        <f>AVERAGE(D4467:D4666)</f>
        <v/>
      </c>
      <c r="I4666">
        <f>AVERAGE(E4467:E4666)</f>
        <v/>
      </c>
      <c r="J4666">
        <f>AVERAGE(F4467:F4666)</f>
        <v/>
      </c>
    </row>
    <row r="4667">
      <c r="C4667" s="539" t="n">
        <v>46226</v>
      </c>
      <c r="D4667" t="n">
        <v>371.5199890136719</v>
      </c>
      <c r="E4667" t="n">
        <v>139.4900054931641</v>
      </c>
      <c r="F4667" t="n">
        <v>28.23999977111816</v>
      </c>
      <c r="G4667" t="n">
        <v>91.02838134765625</v>
      </c>
      <c r="H4667">
        <f>AVERAGE(D4468:D4667)</f>
        <v/>
      </c>
      <c r="I4667">
        <f>AVERAGE(E4468:E4667)</f>
        <v/>
      </c>
      <c r="J4667">
        <f>AVERAGE(F4468:F4667)</f>
        <v/>
      </c>
    </row>
    <row r="4668">
      <c r="C4668" s="539" t="n">
        <v>46227</v>
      </c>
      <c r="D4668" t="n">
        <v>371.8999938964844</v>
      </c>
      <c r="E4668" t="n">
        <v>136.6900024414062</v>
      </c>
      <c r="F4668" t="n">
        <v>28.23999977111816</v>
      </c>
      <c r="G4668" t="n">
        <v>91.05819702148438</v>
      </c>
      <c r="H4668">
        <f>AVERAGE(D4469:D4668)</f>
        <v/>
      </c>
      <c r="I4668">
        <f>AVERAGE(E4469:E4668)</f>
        <v/>
      </c>
      <c r="J4668">
        <f>AVERAGE(F4469:F4668)</f>
        <v/>
      </c>
    </row>
    <row r="4669">
      <c r="C4669" s="539" t="n">
        <v>46230</v>
      </c>
      <c r="D4669" t="n">
        <v>374.6300048828125</v>
      </c>
      <c r="E4669" t="n">
        <v>124.7600021362305</v>
      </c>
      <c r="F4669" t="n">
        <v>27.6200008392334</v>
      </c>
      <c r="G4669" t="n">
        <v>91.06813812255859</v>
      </c>
      <c r="H4669">
        <f>AVERAGE(D4470:D4669)</f>
        <v/>
      </c>
      <c r="I4669">
        <f>AVERAGE(E4470:E4669)</f>
        <v/>
      </c>
      <c r="J4669">
        <f>AVERAGE(F4470:F4669)</f>
        <v/>
      </c>
    </row>
    <row r="4670">
      <c r="C4670" s="539" t="n">
        <v>46231</v>
      </c>
      <c r="D4670" t="n">
        <v>369.3699951171875</v>
      </c>
      <c r="E4670" t="n">
        <v>120.4899978637695</v>
      </c>
      <c r="F4670" t="n">
        <v>27.84000015258789</v>
      </c>
      <c r="G4670" t="n">
        <v>91.07807159423828</v>
      </c>
      <c r="H4670">
        <f>AVERAGE(D4471:D4670)</f>
        <v/>
      </c>
      <c r="I4670">
        <f>AVERAGE(E4471:E4670)</f>
        <v/>
      </c>
      <c r="J4670">
        <f>AVERAGE(F4471:F4670)</f>
        <v/>
      </c>
    </row>
    <row r="4671">
      <c r="C4671" s="539" t="n">
        <v>46232</v>
      </c>
      <c r="D4671" t="n">
        <v>371.0799865722656</v>
      </c>
      <c r="E4671" t="n">
        <v>129.3099975585938</v>
      </c>
      <c r="F4671" t="n">
        <v>27.48999977111816</v>
      </c>
      <c r="G4671" t="n">
        <v>91.0880126953125</v>
      </c>
      <c r="H4671">
        <f>AVERAGE(D4472:D4671)</f>
        <v/>
      </c>
      <c r="I4671">
        <f>AVERAGE(E4472:E4671)</f>
        <v/>
      </c>
      <c r="J4671">
        <f>AVERAGE(F4472:F4671)</f>
        <v/>
      </c>
    </row>
    <row r="4672">
      <c r="C4672" s="539" t="n">
        <v>46233</v>
      </c>
      <c r="D4672" t="n">
        <v>377.1600036621094</v>
      </c>
      <c r="E4672" t="n">
        <v>127.4800033569336</v>
      </c>
      <c r="F4672" t="n">
        <v>27.47999954223633</v>
      </c>
      <c r="G4672" t="n">
        <v>91.09795379638672</v>
      </c>
      <c r="H4672">
        <f>AVERAGE(D4473:D4672)</f>
        <v/>
      </c>
      <c r="I4672">
        <f>AVERAGE(E4473:E4672)</f>
        <v/>
      </c>
      <c r="J4672">
        <f>AVERAGE(F4473:F4672)</f>
        <v/>
      </c>
    </row>
    <row r="4673">
      <c r="C4673" s="539" t="n">
        <v>46234</v>
      </c>
      <c r="D4673" t="n">
        <v>371.5400085449219</v>
      </c>
      <c r="E4673" t="n">
        <v>129.1699981689453</v>
      </c>
      <c r="F4673" t="n">
        <v>27.51000022888184</v>
      </c>
      <c r="G4673" t="n">
        <v>91.12777709960938</v>
      </c>
      <c r="H4673">
        <f>AVERAGE(D4474:D4673)</f>
        <v/>
      </c>
      <c r="I4673">
        <f>AVERAGE(E4474:E4673)</f>
        <v/>
      </c>
      <c r="J4673">
        <f>AVERAGE(F4474:F4673)</f>
        <v/>
      </c>
    </row>
    <row r="4674">
      <c r="C4674" s="539" t="n">
        <v>46237</v>
      </c>
      <c r="D4674" t="n">
        <v>371.7099914550781</v>
      </c>
      <c r="E4674" t="n">
        <v>122.120002746582</v>
      </c>
      <c r="F4674" t="n">
        <v>27.79000091552734</v>
      </c>
      <c r="G4674" t="n">
        <v>91.14073181152344</v>
      </c>
      <c r="H4674">
        <f>AVERAGE(D4475:D4674)</f>
        <v/>
      </c>
      <c r="I4674">
        <f>AVERAGE(E4475:E4674)</f>
        <v/>
      </c>
      <c r="J4674">
        <f>AVERAGE(F4475:F4674)</f>
        <v/>
      </c>
    </row>
    <row r="4675">
      <c r="C4675" s="539" t="n">
        <v>46238</v>
      </c>
      <c r="D4675" t="n">
        <v>374.1600036621094</v>
      </c>
      <c r="E4675" t="n">
        <v>115.7799987792969</v>
      </c>
      <c r="F4675" t="n">
        <v>27.65999984741211</v>
      </c>
      <c r="G4675" t="n">
        <v>91.14073181152344</v>
      </c>
      <c r="H4675">
        <f>AVERAGE(D4476:D4675)</f>
        <v/>
      </c>
      <c r="I4675">
        <f>AVERAGE(E4476:E4675)</f>
        <v/>
      </c>
      <c r="J4675">
        <f>AVERAGE(F4476:F4675)</f>
        <v/>
      </c>
    </row>
    <row r="4676">
      <c r="C4676" s="539" t="n">
        <v>46239</v>
      </c>
      <c r="D4676" t="n">
        <v>389.6400146484375</v>
      </c>
      <c r="E4676" t="n">
        <v>114.879997253418</v>
      </c>
      <c r="F4676" t="n">
        <v>27.6299991607666</v>
      </c>
      <c r="G4676" t="n">
        <v>91.15070343017578</v>
      </c>
      <c r="H4676">
        <f>AVERAGE(D4477:D4676)</f>
        <v/>
      </c>
      <c r="I4676">
        <f>AVERAGE(E4477:E4676)</f>
        <v/>
      </c>
      <c r="J4676">
        <f>AVERAGE(F4477:F4676)</f>
        <v/>
      </c>
    </row>
    <row r="4677">
      <c r="C4677" s="539" t="n">
        <v>46240</v>
      </c>
      <c r="D4677" t="n">
        <v>389.6700134277344</v>
      </c>
      <c r="E4677" t="n">
        <v>118.870002746582</v>
      </c>
      <c r="F4677" t="n">
        <v>27.43000030517578</v>
      </c>
      <c r="G4677" t="n">
        <v>91.17063903808594</v>
      </c>
      <c r="H4677">
        <f>AVERAGE(D4478:D4677)</f>
        <v/>
      </c>
      <c r="I4677">
        <f>AVERAGE(E4478:E4677)</f>
        <v/>
      </c>
      <c r="J4677">
        <f>AVERAGE(F4478:F4677)</f>
        <v/>
      </c>
    </row>
    <row r="4678">
      <c r="C4678" s="539" t="n">
        <v>46241</v>
      </c>
      <c r="D4678" t="n">
        <v>398.4700012207031</v>
      </c>
      <c r="E4678" t="n">
        <v>117.9800033569336</v>
      </c>
      <c r="F4678" t="n">
        <v>27.6200008392334</v>
      </c>
      <c r="G4678" t="n">
        <v>91.20055389404297</v>
      </c>
      <c r="H4678">
        <f>AVERAGE(D4479:D4678)</f>
        <v/>
      </c>
      <c r="I4678">
        <f>AVERAGE(E4479:E4678)</f>
        <v/>
      </c>
      <c r="J4678">
        <f>AVERAGE(F4479:F4678)</f>
        <v/>
      </c>
    </row>
    <row r="4679">
      <c r="C4679" s="539" t="n">
        <v>46244</v>
      </c>
      <c r="D4679" t="n">
        <v>402.5400085449219</v>
      </c>
      <c r="E4679" t="n">
        <v>125.9199981689453</v>
      </c>
      <c r="F4679" t="n">
        <v>27.81999969482422</v>
      </c>
      <c r="G4679" t="n">
        <v>91.20055389404297</v>
      </c>
      <c r="H4679">
        <f>AVERAGE(D4480:D4679)</f>
        <v/>
      </c>
      <c r="I4679">
        <f>AVERAGE(E4480:E4679)</f>
        <v/>
      </c>
      <c r="J4679">
        <f>AVERAGE(F4480:F4679)</f>
        <v/>
      </c>
    </row>
    <row r="4680">
      <c r="C4680" s="539" t="n">
        <v>46245</v>
      </c>
      <c r="D4680" t="n">
        <v>400.9599914550781</v>
      </c>
      <c r="E4680" t="n">
        <v>127.6100006103516</v>
      </c>
      <c r="F4680" t="n">
        <v>27.59000015258789</v>
      </c>
      <c r="G4680" t="n">
        <v>91.21051788330078</v>
      </c>
      <c r="H4680">
        <f>AVERAGE(D4481:D4680)</f>
        <v/>
      </c>
      <c r="I4680">
        <f>AVERAGE(E4481:E4680)</f>
        <v/>
      </c>
      <c r="J4680">
        <f>AVERAGE(F4481:F4680)</f>
        <v/>
      </c>
    </row>
    <row r="4681">
      <c r="C4681" s="539" t="n">
        <v>46246</v>
      </c>
      <c r="D4681" t="n">
        <v>404.9200134277344</v>
      </c>
      <c r="E4681" t="n">
        <v>127.3000030517578</v>
      </c>
      <c r="F4681" t="n">
        <v>27.84000015258789</v>
      </c>
      <c r="G4681" t="n">
        <v>91.23046112060547</v>
      </c>
      <c r="H4681">
        <f>AVERAGE(D4482:D4681)</f>
        <v/>
      </c>
      <c r="I4681">
        <f>AVERAGE(E4482:E4681)</f>
        <v/>
      </c>
      <c r="J4681">
        <f>AVERAGE(F4482:F4681)</f>
        <v/>
      </c>
    </row>
    <row r="4682">
      <c r="C4682" s="539" t="n">
        <v>46247</v>
      </c>
      <c r="D4682" t="n">
        <v>398.9599914550781</v>
      </c>
      <c r="E4682" t="n">
        <v>125.0299987792969</v>
      </c>
      <c r="F4682" t="n">
        <v>27.6200008392334</v>
      </c>
      <c r="G4682" t="n">
        <v>91.23046112060547</v>
      </c>
      <c r="H4682">
        <f>AVERAGE(D4483:D4682)</f>
        <v/>
      </c>
      <c r="I4682">
        <f>AVERAGE(E4483:E4682)</f>
        <v/>
      </c>
      <c r="J4682">
        <f>AVERAGE(F4483:F4682)</f>
        <v/>
      </c>
    </row>
    <row r="4683">
      <c r="C4683" s="539" t="n">
        <v>46248</v>
      </c>
      <c r="D4683" t="n">
        <v>401.4800109863281</v>
      </c>
      <c r="E4683" t="n">
        <v>126.5999984741211</v>
      </c>
      <c r="F4683" t="n">
        <v>27.77000045776367</v>
      </c>
      <c r="G4683" t="n">
        <v>91.25039672851562</v>
      </c>
      <c r="H4683">
        <f>AVERAGE(D4484:D4683)</f>
        <v/>
      </c>
      <c r="I4683">
        <f>AVERAGE(E4484:E4683)</f>
        <v/>
      </c>
      <c r="J4683">
        <f>AVERAGE(F4484:F4683)</f>
        <v/>
      </c>
    </row>
    <row r="4684">
      <c r="C4684" s="539" t="n">
        <v>46251</v>
      </c>
      <c r="D4684" t="n">
        <v>405.489990234375</v>
      </c>
      <c r="E4684" t="n">
        <v>130.2899932861328</v>
      </c>
      <c r="F4684" t="n">
        <v>28.13999938964844</v>
      </c>
      <c r="G4684" t="n">
        <v>91.27033996582031</v>
      </c>
      <c r="H4684">
        <f>AVERAGE(D4485:D4684)</f>
        <v/>
      </c>
      <c r="I4684">
        <f>AVERAGE(E4485:E4684)</f>
        <v/>
      </c>
      <c r="J4684">
        <f>AVERAGE(F4485:F4684)</f>
        <v/>
      </c>
    </row>
    <row r="4685">
      <c r="C4685" s="539" t="n">
        <v>46252</v>
      </c>
      <c r="D4685" t="n">
        <v>398.5499877929688</v>
      </c>
      <c r="E4685" t="n">
        <v>130.6600036621094</v>
      </c>
      <c r="F4685" t="n">
        <v>28.03000068664551</v>
      </c>
      <c r="G4685" t="n">
        <v>91.28030395507812</v>
      </c>
      <c r="H4685">
        <f>AVERAGE(D4486:D4685)</f>
        <v/>
      </c>
      <c r="I4685">
        <f>AVERAGE(E4486:E4685)</f>
        <v/>
      </c>
      <c r="J4685">
        <f>AVERAGE(F4486:F4685)</f>
        <v/>
      </c>
    </row>
    <row r="4686">
      <c r="C4686" s="539" t="n">
        <v>46253</v>
      </c>
      <c r="D4686" t="n">
        <v>413.8399963378906</v>
      </c>
      <c r="E4686" t="n">
        <v>130.9100036621094</v>
      </c>
      <c r="F4686" t="n">
        <v>28.29000091552734</v>
      </c>
      <c r="G4686" t="n">
        <v>91.29027557373047</v>
      </c>
      <c r="H4686">
        <f>AVERAGE(D4487:D4686)</f>
        <v/>
      </c>
      <c r="I4686">
        <f>AVERAGE(E4487:E4686)</f>
        <v/>
      </c>
      <c r="J4686">
        <f>AVERAGE(F4487:F4686)</f>
        <v/>
      </c>
    </row>
    <row r="4687">
      <c r="C4687" s="539" t="n">
        <v>46254</v>
      </c>
      <c r="D4687" t="n">
        <v>415.260009765625</v>
      </c>
      <c r="E4687" t="n">
        <v>134.5399932861328</v>
      </c>
      <c r="F4687" t="n">
        <v>28.3799991607666</v>
      </c>
      <c r="G4687" t="n">
        <v>91.29027557373047</v>
      </c>
      <c r="H4687">
        <f>AVERAGE(D4488:D4687)</f>
        <v/>
      </c>
      <c r="I4687">
        <f>AVERAGE(E4488:E4687)</f>
        <v/>
      </c>
      <c r="J4687">
        <f>AVERAGE(F4488:F4687)</f>
        <v/>
      </c>
    </row>
    <row r="4688">
      <c r="C4688" s="539" t="n">
        <v>46255</v>
      </c>
      <c r="D4688" t="n">
        <v>423.3599853515625</v>
      </c>
      <c r="E4688" t="n">
        <v>134.6399993896484</v>
      </c>
      <c r="F4688" t="n">
        <v>28.31999969482422</v>
      </c>
      <c r="G4688" t="n">
        <v>91.32018280029297</v>
      </c>
      <c r="H4688">
        <f>AVERAGE(D4489:D4688)</f>
        <v/>
      </c>
      <c r="I4688">
        <f>AVERAGE(E4489:E4688)</f>
        <v/>
      </c>
      <c r="J4688">
        <f>AVERAGE(F4489:F4688)</f>
        <v/>
      </c>
    </row>
    <row r="4689">
      <c r="C4689" s="539" t="n">
        <v>46258</v>
      </c>
      <c r="D4689" t="n">
        <v>426.6900024414062</v>
      </c>
      <c r="E4689" t="n">
        <v>132.2100067138672</v>
      </c>
      <c r="F4689" t="n">
        <v>28.29999923706055</v>
      </c>
      <c r="G4689" t="n">
        <v>91.33015441894531</v>
      </c>
      <c r="H4689">
        <f>AVERAGE(D4490:D4689)</f>
        <v/>
      </c>
      <c r="I4689">
        <f>AVERAGE(E4490:E4689)</f>
        <v/>
      </c>
      <c r="J4689">
        <f>AVERAGE(F4490:F4689)</f>
        <v/>
      </c>
    </row>
    <row r="4690">
      <c r="C4690" s="539" t="n">
        <v>46259</v>
      </c>
      <c r="D4690" t="n">
        <v>428.0700073242188</v>
      </c>
      <c r="E4690" t="n">
        <v>126.1500015258789</v>
      </c>
      <c r="F4690" t="n">
        <v>28.28000068664551</v>
      </c>
      <c r="G4690" t="n">
        <v>91.34012603759766</v>
      </c>
      <c r="H4690">
        <f>AVERAGE(D4491:D4690)</f>
        <v/>
      </c>
      <c r="I4690">
        <f>AVERAGE(E4491:E4690)</f>
        <v/>
      </c>
      <c r="J4690">
        <f>AVERAGE(F4491:F4690)</f>
        <v/>
      </c>
    </row>
    <row r="4691">
      <c r="C4691" s="539" t="n">
        <v>46260</v>
      </c>
      <c r="D4691" t="n">
        <v>421.3200073242188</v>
      </c>
      <c r="E4691" t="n">
        <v>127.3499984741211</v>
      </c>
      <c r="F4691" t="n">
        <v>28.59000015258789</v>
      </c>
      <c r="G4691" t="n">
        <v>91.35009002685547</v>
      </c>
      <c r="H4691">
        <f>AVERAGE(D4492:D4691)</f>
        <v/>
      </c>
      <c r="I4691">
        <f>AVERAGE(E4492:E4691)</f>
        <v/>
      </c>
      <c r="J4691">
        <f>AVERAGE(F4492:F4691)</f>
        <v/>
      </c>
    </row>
    <row r="4692">
      <c r="C4692" s="539" t="n">
        <v>46261</v>
      </c>
      <c r="D4692" t="n">
        <v>422.6000061035156</v>
      </c>
      <c r="E4692" t="n">
        <v>130.0099945068359</v>
      </c>
      <c r="F4692" t="n">
        <v>28.81999969482422</v>
      </c>
      <c r="G4692" t="n">
        <v>91.35009002685547</v>
      </c>
      <c r="H4692">
        <f>AVERAGE(D4493:D4692)</f>
        <v/>
      </c>
      <c r="I4692">
        <f>AVERAGE(E4493:E4692)</f>
        <v/>
      </c>
      <c r="J4692">
        <f>AVERAGE(F4493:F4692)</f>
        <v/>
      </c>
    </row>
    <row r="4693">
      <c r="C4693" s="539" t="n">
        <v>46262</v>
      </c>
      <c r="D4693" t="n">
        <v>408.8900146484375</v>
      </c>
      <c r="E4693" t="n">
        <v>129.6999969482422</v>
      </c>
      <c r="F4693" t="n">
        <v>29.19000053405762</v>
      </c>
      <c r="G4693" t="n">
        <v>91.37003326416016</v>
      </c>
      <c r="H4693">
        <f>AVERAGE(D4494:D4693)</f>
        <v/>
      </c>
      <c r="I4693">
        <f>AVERAGE(E4494:E4693)</f>
        <v/>
      </c>
      <c r="J4693">
        <f>AVERAGE(F4494:F4693)</f>
        <v/>
      </c>
    </row>
    <row r="4694">
      <c r="C4694" s="539" t="n">
        <v>46265</v>
      </c>
      <c r="D4694" t="n">
        <v>408.4200134277344</v>
      </c>
      <c r="E4694" t="n">
        <v>133.6999969482422</v>
      </c>
      <c r="F4694" t="n">
        <v>29.31999969482422</v>
      </c>
      <c r="G4694" t="n">
        <v>91.3800048828125</v>
      </c>
      <c r="H4694">
        <f>AVERAGE(D4495:D4694)</f>
        <v/>
      </c>
      <c r="I4694">
        <f>AVERAGE(E4495:E4694)</f>
        <v/>
      </c>
      <c r="J4694">
        <f>AVERAGE(F4495:F4694)</f>
        <v/>
      </c>
    </row>
    <row r="4695">
      <c r="C4695" s="539" t="n">
        <v>46266</v>
      </c>
      <c r="D4695" t="n">
        <v>396.75</v>
      </c>
      <c r="E4695" t="n">
        <v>141</v>
      </c>
      <c r="F4695" t="n">
        <v>29.48999977111816</v>
      </c>
      <c r="G4695" t="n">
        <v>91.38999938964844</v>
      </c>
      <c r="H4695">
        <f>AVERAGE(D4496:D4695)</f>
        <v/>
      </c>
      <c r="I4695">
        <f>AVERAGE(E4496:E4695)</f>
        <v/>
      </c>
      <c r="J4695">
        <f>AVERAGE(F4496:F4695)</f>
        <v/>
      </c>
    </row>
  </sheetData>
  <mergeCells count="23">
    <mergeCell ref="X12:Y12"/>
    <mergeCell ref="Z7:AN7"/>
    <mergeCell ref="X11:Y11"/>
    <mergeCell ref="C5:G5"/>
    <mergeCell ref="C3:AN3"/>
    <mergeCell ref="X8:Y8"/>
    <mergeCell ref="Z12:AN12"/>
    <mergeCell ref="Z8:AN8"/>
    <mergeCell ref="X7:Y7"/>
    <mergeCell ref="C14:AN14"/>
    <mergeCell ref="O5:V5"/>
    <mergeCell ref="X6:Y6"/>
    <mergeCell ref="Z10:AN10"/>
    <mergeCell ref="C221:J225"/>
    <mergeCell ref="Z9:AN9"/>
    <mergeCell ref="I5:M5"/>
    <mergeCell ref="X5:AN5"/>
    <mergeCell ref="Z6:AN6"/>
    <mergeCell ref="C2:AN2"/>
    <mergeCell ref="X10:Y10"/>
    <mergeCell ref="Z11:AN11"/>
    <mergeCell ref="X9:Y9"/>
    <mergeCell ref="C220:J2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C2:S152"/>
  <sheetViews>
    <sheetView showGridLines="0" workbookViewId="0">
      <pane xSplit="3" ySplit="16" topLeftCell="D17" activePane="bottomRight" state="frozen"/>
      <selection activeCell="A1" sqref="A1"/>
    </sheetView>
  </sheetViews>
  <sheetFormatPr baseColWidth="8" defaultRowHeight="15"/>
  <cols>
    <col width="3" customWidth="1" min="1" max="1"/>
    <col width="3" customWidth="1" min="2" max="2"/>
    <col width="14" customWidth="1" min="3" max="3"/>
    <col width="2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5" customWidth="1" min="14" max="14"/>
    <col width="3" customWidth="1" min="15" max="15"/>
    <col width="19" customWidth="1" min="16" max="16"/>
    <col width="19" customWidth="1" min="17" max="17"/>
    <col width="19" customWidth="1" min="18" max="18"/>
    <col width="19" customWidth="1" min="19" max="19"/>
  </cols>
  <sheetData>
    <row r="2" ht="30" customHeight="1">
      <c r="C2" s="540" t="inlineStr">
        <is>
          <t>MODELO NEXUM - PROXIES PROVISIONALES DE MOMENTUM Y BAB</t>
        </is>
      </c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25" t="n"/>
    </row>
    <row r="3">
      <c r="C3" s="426" t="inlineStr">
        <is>
          <t>Capa transitoria para estimación: SPMO y SPLV. No reemplaza los backtests point-in-time de selección individual.</t>
        </is>
      </c>
      <c r="D3" s="425" t="n"/>
      <c r="E3" s="425" t="n"/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</row>
    <row r="5">
      <c r="C5" s="541" t="inlineStr">
        <is>
          <t>VENTANA COMÚN PROVISIONAL</t>
        </is>
      </c>
      <c r="D5" s="425" t="n"/>
      <c r="E5" s="425" t="n"/>
      <c r="F5" s="425" t="n"/>
      <c r="H5" s="541" t="inlineStr">
        <is>
          <t>LECTURA CORRECTA</t>
        </is>
      </c>
      <c r="I5" s="425" t="n"/>
      <c r="J5" s="425" t="n"/>
      <c r="K5" s="425" t="n"/>
      <c r="L5" s="425" t="n"/>
      <c r="M5" s="425" t="n"/>
      <c r="N5" s="425" t="n"/>
    </row>
    <row r="6">
      <c r="C6" s="141" t="inlineStr">
        <is>
          <t>Inicio niveles</t>
        </is>
      </c>
      <c r="D6" s="542" t="n">
        <v>42308</v>
      </c>
      <c r="E6" s="141" t="inlineStr">
        <is>
          <t>Mes</t>
        </is>
      </c>
      <c r="F6" s="141" t="inlineStr">
        <is>
          <t>Limitado por inicio de SPMO</t>
        </is>
      </c>
      <c r="H6" s="409" t="inlineStr">
        <is>
          <t>SPMO sigue el S&amp;P 500 Momentum Index y constituye una proxy directa del factor, pero sus reglas no son idénticas al screening Nexum.
SPLV selecciona baja volatilidad, no beta baja. Se utiliza porque conserva el universo S&amp;P 500 y una implementación long-only; su beta realizada se calcula y se contrasta con el objetivo 0,70.
Los resultados obtenidos con estas series son insumos provisionales de asignación, no evidencia del alpha de las reglas propias.</t>
        </is>
      </c>
      <c r="I6" s="488" t="n"/>
      <c r="J6" s="488" t="n"/>
      <c r="K6" s="488" t="n"/>
      <c r="L6" s="488" t="n"/>
      <c r="M6" s="488" t="n"/>
      <c r="N6" s="489" t="n"/>
    </row>
    <row r="7">
      <c r="C7" s="141" t="inlineStr">
        <is>
          <t>Inicio retornos</t>
        </is>
      </c>
      <c r="D7" s="542" t="n">
        <v>42338</v>
      </c>
      <c r="E7" s="141" t="inlineStr">
        <is>
          <t>Mes</t>
        </is>
      </c>
      <c r="F7" s="141" t="inlineStr">
        <is>
          <t>Primer retorno comparable</t>
        </is>
      </c>
      <c r="H7" s="490" t="n"/>
      <c r="N7" s="491" t="n"/>
    </row>
    <row r="8">
      <c r="C8" s="141" t="inlineStr">
        <is>
          <t>Fin</t>
        </is>
      </c>
      <c r="D8" s="542" t="n">
        <v>46265</v>
      </c>
      <c r="E8" s="141" t="inlineStr">
        <is>
          <t>Mes</t>
        </is>
      </c>
      <c r="F8" s="141" t="inlineStr">
        <is>
          <t>Último mes completo</t>
        </is>
      </c>
      <c r="H8" s="490" t="n"/>
      <c r="N8" s="491" t="n"/>
    </row>
    <row r="9">
      <c r="C9" s="141" t="inlineStr">
        <is>
          <t>Niveles comunes</t>
        </is>
      </c>
      <c r="D9" s="401" t="n">
        <v>131</v>
      </c>
      <c r="E9" s="141" t="inlineStr">
        <is>
          <t>meses</t>
        </is>
      </c>
      <c r="F9" s="141" t="inlineStr">
        <is>
          <t>Oct-2015 a Ago-2026</t>
        </is>
      </c>
      <c r="H9" s="490" t="n"/>
      <c r="N9" s="491" t="n"/>
    </row>
    <row r="10">
      <c r="C10" s="141" t="inlineStr">
        <is>
          <t>Retornos comunes</t>
        </is>
      </c>
      <c r="D10" s="401" t="n">
        <v>130</v>
      </c>
      <c r="E10" s="141" t="inlineStr">
        <is>
          <t>meses</t>
        </is>
      </c>
      <c r="F10" s="141" t="inlineStr">
        <is>
          <t>Nov-2015 a Ago-2026</t>
        </is>
      </c>
      <c r="H10" s="490" t="n"/>
      <c r="N10" s="491" t="n"/>
    </row>
    <row r="11">
      <c r="C11" s="141" t="inlineStr">
        <is>
          <t>Estado</t>
        </is>
      </c>
      <c r="D11" s="403" t="inlineStr">
        <is>
          <t>PROVISIONAL</t>
        </is>
      </c>
      <c r="E11" s="141" t="n"/>
      <c r="F11" s="141" t="inlineStr">
        <is>
          <t>Apto para Markowitz exploratorio</t>
        </is>
      </c>
      <c r="H11" s="492" t="n"/>
      <c r="I11" s="493" t="n"/>
      <c r="J11" s="493" t="n"/>
      <c r="K11" s="493" t="n"/>
      <c r="L11" s="493" t="n"/>
      <c r="M11" s="493" t="n"/>
      <c r="N11" s="494" t="n"/>
    </row>
    <row r="14">
      <c r="C14" s="541" t="inlineStr">
        <is>
          <t>1. MÉTRICAS DE LAS PROXIES EN LA VENTANA COMÚN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P14" s="541" t="inlineStr">
        <is>
          <t>CONTROLES</t>
        </is>
      </c>
      <c r="Q14" s="425" t="n"/>
      <c r="R14" s="425" t="n"/>
      <c r="S14" s="425" t="n"/>
    </row>
    <row r="15">
      <c r="C15" s="414" t="inlineStr">
        <is>
          <t>Serie</t>
        </is>
      </c>
      <c r="D15" s="414" t="inlineStr">
        <is>
          <t>Rol</t>
        </is>
      </c>
      <c r="E15" s="414" t="inlineStr">
        <is>
          <t>CAGR</t>
        </is>
      </c>
      <c r="F15" s="414" t="inlineStr">
        <is>
          <t>Vol. anual</t>
        </is>
      </c>
      <c r="G15" s="414" t="inlineStr">
        <is>
          <t>Beta vs SPY</t>
        </is>
      </c>
      <c r="H15" s="414" t="inlineStr">
        <is>
          <t>Correlación SPY</t>
        </is>
      </c>
      <c r="I15" s="414" t="inlineStr">
        <is>
          <t>Retorno anual aritm.</t>
        </is>
      </c>
      <c r="J15" s="414" t="inlineStr">
        <is>
          <t>Benchmark</t>
        </is>
      </c>
      <c r="K15" s="414" t="inlineStr">
        <is>
          <t>TE anual</t>
        </is>
      </c>
      <c r="L15" s="414" t="inlineStr">
        <is>
          <t>Retorno activo anual</t>
        </is>
      </c>
      <c r="M15" s="414" t="inlineStr">
        <is>
          <t>IR</t>
        </is>
      </c>
      <c r="N15" s="414" t="inlineStr">
        <is>
          <t>Estado</t>
        </is>
      </c>
      <c r="P15" s="414" t="inlineStr">
        <is>
          <t>Control</t>
        </is>
      </c>
      <c r="Q15" s="414" t="inlineStr">
        <is>
          <t>Resultado</t>
        </is>
      </c>
      <c r="R15" s="414" t="inlineStr">
        <is>
          <t>Objetivo</t>
        </is>
      </c>
      <c r="S15" s="414" t="inlineStr">
        <is>
          <t>Estado</t>
        </is>
      </c>
    </row>
    <row r="16">
      <c r="C16" s="46" t="inlineStr">
        <is>
          <t>SPMO</t>
        </is>
      </c>
      <c r="D16" s="46" t="inlineStr">
        <is>
          <t>Proxy Momentum</t>
        </is>
      </c>
      <c r="E16" s="543">
        <f>('05_Datos_Historicos'!I214/'05_Datos_Historicos'!I84)^(12/130)-1</f>
        <v/>
      </c>
      <c r="F16" s="543">
        <f>STDEV.S('05_Datos_Historicos'!S85:S214)*SQRT(12)</f>
        <v/>
      </c>
      <c r="G16" s="476">
        <f>COVARIANCE.S('05_Datos_Historicos'!S85:S214,'05_Datos_Historicos'!Q85:Q214)/VAR.S('05_Datos_Historicos'!Q85:Q214)</f>
        <v/>
      </c>
      <c r="H16" s="476">
        <f>CORREL('05_Datos_Historicos'!S85:S214,'05_Datos_Historicos'!Q85:Q214)</f>
        <v/>
      </c>
      <c r="I16" s="543">
        <f>AVERAGE('05_Datos_Historicos'!S85:S214)*12</f>
        <v/>
      </c>
      <c r="J16" s="46" t="inlineStr">
        <is>
          <t>SPY</t>
        </is>
      </c>
      <c r="K16" s="543">
        <f>STDEV.S(F23:F152)*SQRT(12)</f>
        <v/>
      </c>
      <c r="L16" s="543">
        <f>AVERAGE(F23:F152)*12</f>
        <v/>
      </c>
      <c r="M16" s="476">
        <f>IF(K16=0,0,L16/K16)</f>
        <v/>
      </c>
      <c r="N16" s="46" t="inlineStr">
        <is>
          <t>Provisional</t>
        </is>
      </c>
      <c r="P16" s="141" t="inlineStr">
        <is>
          <t>Retornos comunes</t>
        </is>
      </c>
      <c r="Q16" s="141">
        <f>COUNT(D23:D152)</f>
        <v/>
      </c>
      <c r="R16" s="141" t="n">
        <v>130</v>
      </c>
      <c r="S16" s="418">
        <f>IF(ABS(Q16-R16)&lt;0.00001,"OK","REVISAR")</f>
        <v/>
      </c>
    </row>
    <row r="17">
      <c r="C17" s="46" t="inlineStr">
        <is>
          <t>SPLV</t>
        </is>
      </c>
      <c r="D17" s="46" t="inlineStr">
        <is>
          <t>Proxy BAB long-only</t>
        </is>
      </c>
      <c r="E17" s="543">
        <f>('05_Datos_Historicos'!J214/'05_Datos_Historicos'!J84)^(12/130)-1</f>
        <v/>
      </c>
      <c r="F17" s="543">
        <f>STDEV.S('05_Datos_Historicos'!T85:T214)*SQRT(12)</f>
        <v/>
      </c>
      <c r="G17" s="476">
        <f>COVARIANCE.S('05_Datos_Historicos'!T85:T214,'05_Datos_Historicos'!Q85:Q214)/VAR.S('05_Datos_Historicos'!Q85:Q214)</f>
        <v/>
      </c>
      <c r="H17" s="476">
        <f>CORREL('05_Datos_Historicos'!T85:T214,'05_Datos_Historicos'!Q85:Q214)</f>
        <v/>
      </c>
      <c r="I17" s="543">
        <f>AVERAGE('05_Datos_Historicos'!T85:T214)*12</f>
        <v/>
      </c>
      <c r="J17" s="46" t="inlineStr">
        <is>
          <t>β0,70×SPY + 0,30×BIL</t>
        </is>
      </c>
      <c r="K17" s="543">
        <f>STDEV.S(I23:I152)*SQRT(12)</f>
        <v/>
      </c>
      <c r="L17" s="543">
        <f>AVERAGE(I23:I152)*12</f>
        <v/>
      </c>
      <c r="M17" s="476">
        <f>IF(K17=0,0,L17/K17)</f>
        <v/>
      </c>
      <c r="N17" s="46" t="inlineStr">
        <is>
          <t>Provisional</t>
        </is>
      </c>
      <c r="P17" s="141" t="inlineStr">
        <is>
          <t>SPMO sin backfill</t>
        </is>
      </c>
      <c r="Q17" s="141">
        <f>COUNT('05_Datos_Historicos'!I27:I83)</f>
        <v/>
      </c>
      <c r="R17" s="141" t="n">
        <v>0</v>
      </c>
      <c r="S17" s="418">
        <f>IF(ABS(Q17-R17)&lt;0.00001,"OK","REVISAR")</f>
        <v/>
      </c>
    </row>
    <row r="18">
      <c r="C18" s="46" t="inlineStr">
        <is>
          <t>SPY</t>
        </is>
      </c>
      <c r="D18" s="46" t="inlineStr">
        <is>
          <t>Referencia mercado</t>
        </is>
      </c>
      <c r="E18" s="543">
        <f>('05_Datos_Historicos'!G214/'05_Datos_Historicos'!G84)^(12/130)-1</f>
        <v/>
      </c>
      <c r="F18" s="543">
        <f>STDEV.S('05_Datos_Historicos'!Q85:Q214)*SQRT(12)</f>
        <v/>
      </c>
      <c r="G18" s="476" t="n">
        <v>1</v>
      </c>
      <c r="H18" s="476" t="n">
        <v>1</v>
      </c>
      <c r="I18" s="543">
        <f>AVERAGE('05_Datos_Historicos'!Q85:Q214)*12</f>
        <v/>
      </c>
      <c r="J18" s="46" t="inlineStr">
        <is>
          <t>—</t>
        </is>
      </c>
      <c r="K18" s="543" t="n"/>
      <c r="L18" s="543" t="n"/>
      <c r="M18" s="476" t="n"/>
      <c r="N18" s="46" t="inlineStr">
        <is>
          <t>Referencia</t>
        </is>
      </c>
      <c r="P18" s="141" t="inlineStr">
        <is>
          <t>Beta SPLV en rango 0,50–0,90</t>
        </is>
      </c>
      <c r="Q18" s="141">
        <f>IF(G17&gt;0,1,0)</f>
        <v/>
      </c>
      <c r="R18" s="141" t="n">
        <v>1</v>
      </c>
      <c r="S18" s="418">
        <f>IF(ABS(Q18-R18)&lt;0.00001,"OK","REVISAR")</f>
        <v/>
      </c>
    </row>
    <row r="19">
      <c r="P19" s="141" t="inlineStr">
        <is>
          <t>Beta objetivo declarada</t>
        </is>
      </c>
      <c r="Q19" s="141">
        <f>'06_Parametros_Estrategias'!E43</f>
        <v/>
      </c>
      <c r="R19" s="141" t="n">
        <v>0.7</v>
      </c>
      <c r="S19" s="418">
        <f>IF(ABS(Q19-R19)&lt;0.00001,"OK","REVISAR")</f>
        <v/>
      </c>
    </row>
    <row r="20">
      <c r="P20" s="141" t="inlineStr">
        <is>
          <t>Proxies identificadas</t>
        </is>
      </c>
      <c r="Q20" s="141" t="n">
        <v>1</v>
      </c>
      <c r="R20" s="141" t="n">
        <v>1</v>
      </c>
      <c r="S20" s="418">
        <f>IF(ABS(Q20-R20)&lt;0.00001,"OK","REVISAR")</f>
        <v/>
      </c>
    </row>
    <row r="21">
      <c r="C21" s="541" t="inlineStr">
        <is>
          <t>2. RETORNOS, BENCHMARKS Y DIFERENCIA ACTIVA</t>
        </is>
      </c>
      <c r="D21" s="425" t="n"/>
      <c r="E21" s="425" t="n"/>
      <c r="F21" s="425" t="n"/>
      <c r="G21" s="425" t="n"/>
      <c r="H21" s="425" t="n"/>
      <c r="I21" s="425" t="n"/>
      <c r="J21" s="425" t="n"/>
      <c r="K21" s="425" t="n"/>
      <c r="L21" s="425" t="n"/>
      <c r="M21" s="425" t="n"/>
      <c r="P21" s="141" t="inlineStr">
        <is>
          <t>Apto Markowitz preliminar</t>
        </is>
      </c>
      <c r="Q21" s="141">
        <f>IF(AND(Q16=R16,Q17=R17,Q18=R18,Q19=R19,Q20=R20),1,0)</f>
        <v/>
      </c>
      <c r="R21" s="141" t="n">
        <v>1</v>
      </c>
      <c r="S21" s="418">
        <f>IF(ABS(Q21-R21)&lt;0.00001,"OK","REVISAR")</f>
        <v/>
      </c>
    </row>
    <row r="22">
      <c r="C22" s="416" t="inlineStr">
        <is>
          <t>Fecha</t>
        </is>
      </c>
      <c r="D22" s="416" t="inlineStr">
        <is>
          <t>SPMO</t>
        </is>
      </c>
      <c r="E22" s="416" t="inlineStr">
        <is>
          <t>SPY</t>
        </is>
      </c>
      <c r="F22" s="416" t="inlineStr">
        <is>
          <t>Activo Momentum</t>
        </is>
      </c>
      <c r="G22" s="416" t="inlineStr">
        <is>
          <t>SPLV</t>
        </is>
      </c>
      <c r="H22" s="416" t="inlineStr">
        <is>
          <t>BAB beta-matched</t>
        </is>
      </c>
      <c r="I22" s="416" t="inlineStr">
        <is>
          <t>Activo BAB</t>
        </is>
      </c>
      <c r="J22" s="416" t="inlineStr">
        <is>
          <t>BIL</t>
        </is>
      </c>
      <c r="K22" s="416" t="inlineStr">
        <is>
          <t>Índice SPMO</t>
        </is>
      </c>
      <c r="L22" s="416" t="inlineStr">
        <is>
          <t>Índice SPLV</t>
        </is>
      </c>
      <c r="M22" s="412" t="str"/>
    </row>
    <row r="23">
      <c r="C23" s="503">
        <f>'05_Datos_Historicos'!M85</f>
        <v/>
      </c>
      <c r="D23" s="524">
        <f>'05_Datos_Historicos'!S85</f>
        <v/>
      </c>
      <c r="E23" s="524">
        <f>'05_Datos_Historicos'!Q85</f>
        <v/>
      </c>
      <c r="F23" s="524">
        <f>D23-E23</f>
        <v/>
      </c>
      <c r="G23" s="524">
        <f>'05_Datos_Historicos'!T85</f>
        <v/>
      </c>
      <c r="H23" s="524">
        <f>'06_Parametros_Estrategias'!E43*E23+(1-'06_Parametros_Estrategias'!E43)*J23</f>
        <v/>
      </c>
      <c r="I23" s="524">
        <f>G23-H23</f>
        <v/>
      </c>
      <c r="J23" s="524">
        <f>'05_Datos_Historicos'!R85</f>
        <v/>
      </c>
      <c r="K23" s="368">
        <f>100*(1+D23)</f>
        <v/>
      </c>
      <c r="L23" s="368">
        <f>100*(1+G23)</f>
        <v/>
      </c>
    </row>
    <row r="24">
      <c r="C24" s="503">
        <f>'05_Datos_Historicos'!M86</f>
        <v/>
      </c>
      <c r="D24" s="524">
        <f>'05_Datos_Historicos'!S86</f>
        <v/>
      </c>
      <c r="E24" s="524">
        <f>'05_Datos_Historicos'!Q86</f>
        <v/>
      </c>
      <c r="F24" s="524">
        <f>D24-E24</f>
        <v/>
      </c>
      <c r="G24" s="524">
        <f>'05_Datos_Historicos'!T86</f>
        <v/>
      </c>
      <c r="H24" s="524">
        <f>'06_Parametros_Estrategias'!E43*E24+(1-'06_Parametros_Estrategias'!E43)*J24</f>
        <v/>
      </c>
      <c r="I24" s="524">
        <f>G24-H24</f>
        <v/>
      </c>
      <c r="J24" s="524">
        <f>'05_Datos_Historicos'!R86</f>
        <v/>
      </c>
      <c r="K24" s="368">
        <f>K23*(1+D24)</f>
        <v/>
      </c>
      <c r="L24" s="368">
        <f>L23*(1+G24)</f>
        <v/>
      </c>
      <c r="P24" s="423" t="inlineStr">
        <is>
          <t>LIMITACIÓN MATERIAL
Esta hoja permite que el siguiente módulo calcule una frontera eficiente preliminar. Sin embargo:
• SPMO no es el screening propio de Momentum.
• SPLV usa baja volatilidad, no beta como criterio directo.
• El alpha y Tracking Error observados pertenecen a las proxies.
• La asignación obtenida deberá repetirse cuando se carguen los backtests point-in-time definitivos.</t>
        </is>
      </c>
      <c r="Q24" s="511" t="n"/>
      <c r="R24" s="511" t="n"/>
      <c r="S24" s="512" t="n"/>
    </row>
    <row r="25">
      <c r="C25" s="503">
        <f>'05_Datos_Historicos'!M87</f>
        <v/>
      </c>
      <c r="D25" s="524">
        <f>'05_Datos_Historicos'!S87</f>
        <v/>
      </c>
      <c r="E25" s="524">
        <f>'05_Datos_Historicos'!Q87</f>
        <v/>
      </c>
      <c r="F25" s="524">
        <f>D25-E25</f>
        <v/>
      </c>
      <c r="G25" s="524">
        <f>'05_Datos_Historicos'!T87</f>
        <v/>
      </c>
      <c r="H25" s="524">
        <f>'06_Parametros_Estrategias'!E43*E25+(1-'06_Parametros_Estrategias'!E43)*J25</f>
        <v/>
      </c>
      <c r="I25" s="524">
        <f>G25-H25</f>
        <v/>
      </c>
      <c r="J25" s="524">
        <f>'05_Datos_Historicos'!R87</f>
        <v/>
      </c>
      <c r="K25" s="368">
        <f>K24*(1+D25)</f>
        <v/>
      </c>
      <c r="L25" s="368">
        <f>L24*(1+G25)</f>
        <v/>
      </c>
      <c r="P25" s="513" t="n"/>
      <c r="S25" s="514" t="n"/>
    </row>
    <row r="26">
      <c r="C26" s="503">
        <f>'05_Datos_Historicos'!M88</f>
        <v/>
      </c>
      <c r="D26" s="524">
        <f>'05_Datos_Historicos'!S88</f>
        <v/>
      </c>
      <c r="E26" s="524">
        <f>'05_Datos_Historicos'!Q88</f>
        <v/>
      </c>
      <c r="F26" s="524">
        <f>D26-E26</f>
        <v/>
      </c>
      <c r="G26" s="524">
        <f>'05_Datos_Historicos'!T88</f>
        <v/>
      </c>
      <c r="H26" s="524">
        <f>'06_Parametros_Estrategias'!E43*E26+(1-'06_Parametros_Estrategias'!E43)*J26</f>
        <v/>
      </c>
      <c r="I26" s="524">
        <f>G26-H26</f>
        <v/>
      </c>
      <c r="J26" s="524">
        <f>'05_Datos_Historicos'!R88</f>
        <v/>
      </c>
      <c r="K26" s="368">
        <f>K25*(1+D26)</f>
        <v/>
      </c>
      <c r="L26" s="368">
        <f>L25*(1+G26)</f>
        <v/>
      </c>
      <c r="P26" s="513" t="n"/>
      <c r="S26" s="514" t="n"/>
    </row>
    <row r="27">
      <c r="C27" s="503">
        <f>'05_Datos_Historicos'!M89</f>
        <v/>
      </c>
      <c r="D27" s="524">
        <f>'05_Datos_Historicos'!S89</f>
        <v/>
      </c>
      <c r="E27" s="524">
        <f>'05_Datos_Historicos'!Q89</f>
        <v/>
      </c>
      <c r="F27" s="524">
        <f>D27-E27</f>
        <v/>
      </c>
      <c r="G27" s="524">
        <f>'05_Datos_Historicos'!T89</f>
        <v/>
      </c>
      <c r="H27" s="524">
        <f>'06_Parametros_Estrategias'!E43*E27+(1-'06_Parametros_Estrategias'!E43)*J27</f>
        <v/>
      </c>
      <c r="I27" s="524">
        <f>G27-H27</f>
        <v/>
      </c>
      <c r="J27" s="524">
        <f>'05_Datos_Historicos'!R89</f>
        <v/>
      </c>
      <c r="K27" s="368">
        <f>K26*(1+D27)</f>
        <v/>
      </c>
      <c r="L27" s="368">
        <f>L26*(1+G27)</f>
        <v/>
      </c>
      <c r="P27" s="513" t="n"/>
      <c r="S27" s="514" t="n"/>
    </row>
    <row r="28">
      <c r="C28" s="503">
        <f>'05_Datos_Historicos'!M90</f>
        <v/>
      </c>
      <c r="D28" s="524">
        <f>'05_Datos_Historicos'!S90</f>
        <v/>
      </c>
      <c r="E28" s="524">
        <f>'05_Datos_Historicos'!Q90</f>
        <v/>
      </c>
      <c r="F28" s="524">
        <f>D28-E28</f>
        <v/>
      </c>
      <c r="G28" s="524">
        <f>'05_Datos_Historicos'!T90</f>
        <v/>
      </c>
      <c r="H28" s="524">
        <f>'06_Parametros_Estrategias'!E43*E28+(1-'06_Parametros_Estrategias'!E43)*J28</f>
        <v/>
      </c>
      <c r="I28" s="524">
        <f>G28-H28</f>
        <v/>
      </c>
      <c r="J28" s="524">
        <f>'05_Datos_Historicos'!R90</f>
        <v/>
      </c>
      <c r="K28" s="368">
        <f>K27*(1+D28)</f>
        <v/>
      </c>
      <c r="L28" s="368">
        <f>L27*(1+G28)</f>
        <v/>
      </c>
      <c r="P28" s="513" t="n"/>
      <c r="S28" s="514" t="n"/>
    </row>
    <row r="29">
      <c r="C29" s="503">
        <f>'05_Datos_Historicos'!M91</f>
        <v/>
      </c>
      <c r="D29" s="524">
        <f>'05_Datos_Historicos'!S91</f>
        <v/>
      </c>
      <c r="E29" s="524">
        <f>'05_Datos_Historicos'!Q91</f>
        <v/>
      </c>
      <c r="F29" s="524">
        <f>D29-E29</f>
        <v/>
      </c>
      <c r="G29" s="524">
        <f>'05_Datos_Historicos'!T91</f>
        <v/>
      </c>
      <c r="H29" s="524">
        <f>'06_Parametros_Estrategias'!E43*E29+(1-'06_Parametros_Estrategias'!E43)*J29</f>
        <v/>
      </c>
      <c r="I29" s="524">
        <f>G29-H29</f>
        <v/>
      </c>
      <c r="J29" s="524">
        <f>'05_Datos_Historicos'!R91</f>
        <v/>
      </c>
      <c r="K29" s="368">
        <f>K28*(1+D29)</f>
        <v/>
      </c>
      <c r="L29" s="368">
        <f>L28*(1+G29)</f>
        <v/>
      </c>
      <c r="P29" s="513" t="n"/>
      <c r="S29" s="514" t="n"/>
    </row>
    <row r="30">
      <c r="C30" s="503">
        <f>'05_Datos_Historicos'!M92</f>
        <v/>
      </c>
      <c r="D30" s="524">
        <f>'05_Datos_Historicos'!S92</f>
        <v/>
      </c>
      <c r="E30" s="524">
        <f>'05_Datos_Historicos'!Q92</f>
        <v/>
      </c>
      <c r="F30" s="524">
        <f>D30-E30</f>
        <v/>
      </c>
      <c r="G30" s="524">
        <f>'05_Datos_Historicos'!T92</f>
        <v/>
      </c>
      <c r="H30" s="524">
        <f>'06_Parametros_Estrategias'!E43*E30+(1-'06_Parametros_Estrategias'!E43)*J30</f>
        <v/>
      </c>
      <c r="I30" s="524">
        <f>G30-H30</f>
        <v/>
      </c>
      <c r="J30" s="524">
        <f>'05_Datos_Historicos'!R92</f>
        <v/>
      </c>
      <c r="K30" s="368">
        <f>K29*(1+D30)</f>
        <v/>
      </c>
      <c r="L30" s="368">
        <f>L29*(1+G30)</f>
        <v/>
      </c>
      <c r="P30" s="513" t="n"/>
      <c r="S30" s="514" t="n"/>
    </row>
    <row r="31">
      <c r="C31" s="503">
        <f>'05_Datos_Historicos'!M93</f>
        <v/>
      </c>
      <c r="D31" s="524">
        <f>'05_Datos_Historicos'!S93</f>
        <v/>
      </c>
      <c r="E31" s="524">
        <f>'05_Datos_Historicos'!Q93</f>
        <v/>
      </c>
      <c r="F31" s="524">
        <f>D31-E31</f>
        <v/>
      </c>
      <c r="G31" s="524">
        <f>'05_Datos_Historicos'!T93</f>
        <v/>
      </c>
      <c r="H31" s="524">
        <f>'06_Parametros_Estrategias'!E43*E31+(1-'06_Parametros_Estrategias'!E43)*J31</f>
        <v/>
      </c>
      <c r="I31" s="524">
        <f>G31-H31</f>
        <v/>
      </c>
      <c r="J31" s="524">
        <f>'05_Datos_Historicos'!R93</f>
        <v/>
      </c>
      <c r="K31" s="368">
        <f>K30*(1+D31)</f>
        <v/>
      </c>
      <c r="L31" s="368">
        <f>L30*(1+G31)</f>
        <v/>
      </c>
      <c r="P31" s="513" t="n"/>
      <c r="S31" s="514" t="n"/>
    </row>
    <row r="32">
      <c r="C32" s="503">
        <f>'05_Datos_Historicos'!M94</f>
        <v/>
      </c>
      <c r="D32" s="524">
        <f>'05_Datos_Historicos'!S94</f>
        <v/>
      </c>
      <c r="E32" s="524">
        <f>'05_Datos_Historicos'!Q94</f>
        <v/>
      </c>
      <c r="F32" s="524">
        <f>D32-E32</f>
        <v/>
      </c>
      <c r="G32" s="524">
        <f>'05_Datos_Historicos'!T94</f>
        <v/>
      </c>
      <c r="H32" s="524">
        <f>'06_Parametros_Estrategias'!E43*E32+(1-'06_Parametros_Estrategias'!E43)*J32</f>
        <v/>
      </c>
      <c r="I32" s="524">
        <f>G32-H32</f>
        <v/>
      </c>
      <c r="J32" s="524">
        <f>'05_Datos_Historicos'!R94</f>
        <v/>
      </c>
      <c r="K32" s="368">
        <f>K31*(1+D32)</f>
        <v/>
      </c>
      <c r="L32" s="368">
        <f>L31*(1+G32)</f>
        <v/>
      </c>
      <c r="P32" s="513" t="n"/>
      <c r="S32" s="514" t="n"/>
    </row>
    <row r="33">
      <c r="C33" s="503">
        <f>'05_Datos_Historicos'!M95</f>
        <v/>
      </c>
      <c r="D33" s="524">
        <f>'05_Datos_Historicos'!S95</f>
        <v/>
      </c>
      <c r="E33" s="524">
        <f>'05_Datos_Historicos'!Q95</f>
        <v/>
      </c>
      <c r="F33" s="524">
        <f>D33-E33</f>
        <v/>
      </c>
      <c r="G33" s="524">
        <f>'05_Datos_Historicos'!T95</f>
        <v/>
      </c>
      <c r="H33" s="524">
        <f>'06_Parametros_Estrategias'!E43*E33+(1-'06_Parametros_Estrategias'!E43)*J33</f>
        <v/>
      </c>
      <c r="I33" s="524">
        <f>G33-H33</f>
        <v/>
      </c>
      <c r="J33" s="524">
        <f>'05_Datos_Historicos'!R95</f>
        <v/>
      </c>
      <c r="K33" s="368">
        <f>K32*(1+D33)</f>
        <v/>
      </c>
      <c r="L33" s="368">
        <f>L32*(1+G33)</f>
        <v/>
      </c>
      <c r="P33" s="513" t="n"/>
      <c r="S33" s="514" t="n"/>
    </row>
    <row r="34">
      <c r="C34" s="503">
        <f>'05_Datos_Historicos'!M96</f>
        <v/>
      </c>
      <c r="D34" s="524">
        <f>'05_Datos_Historicos'!S96</f>
        <v/>
      </c>
      <c r="E34" s="524">
        <f>'05_Datos_Historicos'!Q96</f>
        <v/>
      </c>
      <c r="F34" s="524">
        <f>D34-E34</f>
        <v/>
      </c>
      <c r="G34" s="524">
        <f>'05_Datos_Historicos'!T96</f>
        <v/>
      </c>
      <c r="H34" s="524">
        <f>'06_Parametros_Estrategias'!E43*E34+(1-'06_Parametros_Estrategias'!E43)*J34</f>
        <v/>
      </c>
      <c r="I34" s="524">
        <f>G34-H34</f>
        <v/>
      </c>
      <c r="J34" s="524">
        <f>'05_Datos_Historicos'!R96</f>
        <v/>
      </c>
      <c r="K34" s="368">
        <f>K33*(1+D34)</f>
        <v/>
      </c>
      <c r="L34" s="368">
        <f>L33*(1+G34)</f>
        <v/>
      </c>
      <c r="P34" s="515" t="n"/>
      <c r="Q34" s="516" t="n"/>
      <c r="R34" s="516" t="n"/>
      <c r="S34" s="517" t="n"/>
    </row>
    <row r="35">
      <c r="C35" s="503">
        <f>'05_Datos_Historicos'!M97</f>
        <v/>
      </c>
      <c r="D35" s="524">
        <f>'05_Datos_Historicos'!S97</f>
        <v/>
      </c>
      <c r="E35" s="524">
        <f>'05_Datos_Historicos'!Q97</f>
        <v/>
      </c>
      <c r="F35" s="524">
        <f>D35-E35</f>
        <v/>
      </c>
      <c r="G35" s="524">
        <f>'05_Datos_Historicos'!T97</f>
        <v/>
      </c>
      <c r="H35" s="524">
        <f>'06_Parametros_Estrategias'!E43*E35+(1-'06_Parametros_Estrategias'!E43)*J35</f>
        <v/>
      </c>
      <c r="I35" s="524">
        <f>G35-H35</f>
        <v/>
      </c>
      <c r="J35" s="524">
        <f>'05_Datos_Historicos'!R97</f>
        <v/>
      </c>
      <c r="K35" s="368">
        <f>K34*(1+D35)</f>
        <v/>
      </c>
      <c r="L35" s="368">
        <f>L34*(1+G35)</f>
        <v/>
      </c>
    </row>
    <row r="36">
      <c r="C36" s="503">
        <f>'05_Datos_Historicos'!M98</f>
        <v/>
      </c>
      <c r="D36" s="524">
        <f>'05_Datos_Historicos'!S98</f>
        <v/>
      </c>
      <c r="E36" s="524">
        <f>'05_Datos_Historicos'!Q98</f>
        <v/>
      </c>
      <c r="F36" s="524">
        <f>D36-E36</f>
        <v/>
      </c>
      <c r="G36" s="524">
        <f>'05_Datos_Historicos'!T98</f>
        <v/>
      </c>
      <c r="H36" s="524">
        <f>'06_Parametros_Estrategias'!E43*E36+(1-'06_Parametros_Estrategias'!E43)*J36</f>
        <v/>
      </c>
      <c r="I36" s="524">
        <f>G36-H36</f>
        <v/>
      </c>
      <c r="J36" s="524">
        <f>'05_Datos_Historicos'!R98</f>
        <v/>
      </c>
      <c r="K36" s="368">
        <f>K35*(1+D36)</f>
        <v/>
      </c>
      <c r="L36" s="368">
        <f>L35*(1+G36)</f>
        <v/>
      </c>
    </row>
    <row r="37">
      <c r="C37" s="503">
        <f>'05_Datos_Historicos'!M99</f>
        <v/>
      </c>
      <c r="D37" s="524">
        <f>'05_Datos_Historicos'!S99</f>
        <v/>
      </c>
      <c r="E37" s="524">
        <f>'05_Datos_Historicos'!Q99</f>
        <v/>
      </c>
      <c r="F37" s="524">
        <f>D37-E37</f>
        <v/>
      </c>
      <c r="G37" s="524">
        <f>'05_Datos_Historicos'!T99</f>
        <v/>
      </c>
      <c r="H37" s="524">
        <f>'06_Parametros_Estrategias'!E43*E37+(1-'06_Parametros_Estrategias'!E43)*J37</f>
        <v/>
      </c>
      <c r="I37" s="524">
        <f>G37-H37</f>
        <v/>
      </c>
      <c r="J37" s="524">
        <f>'05_Datos_Historicos'!R99</f>
        <v/>
      </c>
      <c r="K37" s="368">
        <f>K36*(1+D37)</f>
        <v/>
      </c>
      <c r="L37" s="368">
        <f>L36*(1+G37)</f>
        <v/>
      </c>
    </row>
    <row r="38">
      <c r="C38" s="503">
        <f>'05_Datos_Historicos'!M100</f>
        <v/>
      </c>
      <c r="D38" s="524">
        <f>'05_Datos_Historicos'!S100</f>
        <v/>
      </c>
      <c r="E38" s="524">
        <f>'05_Datos_Historicos'!Q100</f>
        <v/>
      </c>
      <c r="F38" s="524">
        <f>D38-E38</f>
        <v/>
      </c>
      <c r="G38" s="524">
        <f>'05_Datos_Historicos'!T100</f>
        <v/>
      </c>
      <c r="H38" s="524">
        <f>'06_Parametros_Estrategias'!E43*E38+(1-'06_Parametros_Estrategias'!E43)*J38</f>
        <v/>
      </c>
      <c r="I38" s="524">
        <f>G38-H38</f>
        <v/>
      </c>
      <c r="J38" s="524">
        <f>'05_Datos_Historicos'!R100</f>
        <v/>
      </c>
      <c r="K38" s="368">
        <f>K37*(1+D38)</f>
        <v/>
      </c>
      <c r="L38" s="368">
        <f>L37*(1+G38)</f>
        <v/>
      </c>
    </row>
    <row r="39">
      <c r="C39" s="503">
        <f>'05_Datos_Historicos'!M101</f>
        <v/>
      </c>
      <c r="D39" s="524">
        <f>'05_Datos_Historicos'!S101</f>
        <v/>
      </c>
      <c r="E39" s="524">
        <f>'05_Datos_Historicos'!Q101</f>
        <v/>
      </c>
      <c r="F39" s="524">
        <f>D39-E39</f>
        <v/>
      </c>
      <c r="G39" s="524">
        <f>'05_Datos_Historicos'!T101</f>
        <v/>
      </c>
      <c r="H39" s="524">
        <f>'06_Parametros_Estrategias'!E43*E39+(1-'06_Parametros_Estrategias'!E43)*J39</f>
        <v/>
      </c>
      <c r="I39" s="524">
        <f>G39-H39</f>
        <v/>
      </c>
      <c r="J39" s="524">
        <f>'05_Datos_Historicos'!R101</f>
        <v/>
      </c>
      <c r="K39" s="368">
        <f>K38*(1+D39)</f>
        <v/>
      </c>
      <c r="L39" s="368">
        <f>L38*(1+G39)</f>
        <v/>
      </c>
    </row>
    <row r="40">
      <c r="C40" s="503">
        <f>'05_Datos_Historicos'!M102</f>
        <v/>
      </c>
      <c r="D40" s="524">
        <f>'05_Datos_Historicos'!S102</f>
        <v/>
      </c>
      <c r="E40" s="524">
        <f>'05_Datos_Historicos'!Q102</f>
        <v/>
      </c>
      <c r="F40" s="524">
        <f>D40-E40</f>
        <v/>
      </c>
      <c r="G40" s="524">
        <f>'05_Datos_Historicos'!T102</f>
        <v/>
      </c>
      <c r="H40" s="524">
        <f>'06_Parametros_Estrategias'!E43*E40+(1-'06_Parametros_Estrategias'!E43)*J40</f>
        <v/>
      </c>
      <c r="I40" s="524">
        <f>G40-H40</f>
        <v/>
      </c>
      <c r="J40" s="524">
        <f>'05_Datos_Historicos'!R102</f>
        <v/>
      </c>
      <c r="K40" s="368">
        <f>K39*(1+D40)</f>
        <v/>
      </c>
      <c r="L40" s="368">
        <f>L39*(1+G40)</f>
        <v/>
      </c>
    </row>
    <row r="41">
      <c r="C41" s="503">
        <f>'05_Datos_Historicos'!M103</f>
        <v/>
      </c>
      <c r="D41" s="524">
        <f>'05_Datos_Historicos'!S103</f>
        <v/>
      </c>
      <c r="E41" s="524">
        <f>'05_Datos_Historicos'!Q103</f>
        <v/>
      </c>
      <c r="F41" s="524">
        <f>D41-E41</f>
        <v/>
      </c>
      <c r="G41" s="524">
        <f>'05_Datos_Historicos'!T103</f>
        <v/>
      </c>
      <c r="H41" s="524">
        <f>'06_Parametros_Estrategias'!E43*E41+(1-'06_Parametros_Estrategias'!E43)*J41</f>
        <v/>
      </c>
      <c r="I41" s="524">
        <f>G41-H41</f>
        <v/>
      </c>
      <c r="J41" s="524">
        <f>'05_Datos_Historicos'!R103</f>
        <v/>
      </c>
      <c r="K41" s="368">
        <f>K40*(1+D41)</f>
        <v/>
      </c>
      <c r="L41" s="368">
        <f>L40*(1+G41)</f>
        <v/>
      </c>
    </row>
    <row r="42">
      <c r="C42" s="503">
        <f>'05_Datos_Historicos'!M104</f>
        <v/>
      </c>
      <c r="D42" s="524">
        <f>'05_Datos_Historicos'!S104</f>
        <v/>
      </c>
      <c r="E42" s="524">
        <f>'05_Datos_Historicos'!Q104</f>
        <v/>
      </c>
      <c r="F42" s="524">
        <f>D42-E42</f>
        <v/>
      </c>
      <c r="G42" s="524">
        <f>'05_Datos_Historicos'!T104</f>
        <v/>
      </c>
      <c r="H42" s="524">
        <f>'06_Parametros_Estrategias'!E43*E42+(1-'06_Parametros_Estrategias'!E43)*J42</f>
        <v/>
      </c>
      <c r="I42" s="524">
        <f>G42-H42</f>
        <v/>
      </c>
      <c r="J42" s="524">
        <f>'05_Datos_Historicos'!R104</f>
        <v/>
      </c>
      <c r="K42" s="368">
        <f>K41*(1+D42)</f>
        <v/>
      </c>
      <c r="L42" s="368">
        <f>L41*(1+G42)</f>
        <v/>
      </c>
    </row>
    <row r="43">
      <c r="C43" s="503">
        <f>'05_Datos_Historicos'!M105</f>
        <v/>
      </c>
      <c r="D43" s="524">
        <f>'05_Datos_Historicos'!S105</f>
        <v/>
      </c>
      <c r="E43" s="524">
        <f>'05_Datos_Historicos'!Q105</f>
        <v/>
      </c>
      <c r="F43" s="524">
        <f>D43-E43</f>
        <v/>
      </c>
      <c r="G43" s="524">
        <f>'05_Datos_Historicos'!T105</f>
        <v/>
      </c>
      <c r="H43" s="524">
        <f>'06_Parametros_Estrategias'!E43*E43+(1-'06_Parametros_Estrategias'!E43)*J43</f>
        <v/>
      </c>
      <c r="I43" s="524">
        <f>G43-H43</f>
        <v/>
      </c>
      <c r="J43" s="524">
        <f>'05_Datos_Historicos'!R105</f>
        <v/>
      </c>
      <c r="K43" s="368">
        <f>K42*(1+D43)</f>
        <v/>
      </c>
      <c r="L43" s="368">
        <f>L42*(1+G43)</f>
        <v/>
      </c>
    </row>
    <row r="44">
      <c r="C44" s="503">
        <f>'05_Datos_Historicos'!M106</f>
        <v/>
      </c>
      <c r="D44" s="524">
        <f>'05_Datos_Historicos'!S106</f>
        <v/>
      </c>
      <c r="E44" s="524">
        <f>'05_Datos_Historicos'!Q106</f>
        <v/>
      </c>
      <c r="F44" s="524">
        <f>D44-E44</f>
        <v/>
      </c>
      <c r="G44" s="524">
        <f>'05_Datos_Historicos'!T106</f>
        <v/>
      </c>
      <c r="H44" s="524">
        <f>'06_Parametros_Estrategias'!E43*E44+(1-'06_Parametros_Estrategias'!E43)*J44</f>
        <v/>
      </c>
      <c r="I44" s="524">
        <f>G44-H44</f>
        <v/>
      </c>
      <c r="J44" s="524">
        <f>'05_Datos_Historicos'!R106</f>
        <v/>
      </c>
      <c r="K44" s="368">
        <f>K43*(1+D44)</f>
        <v/>
      </c>
      <c r="L44" s="368">
        <f>L43*(1+G44)</f>
        <v/>
      </c>
    </row>
    <row r="45">
      <c r="C45" s="503">
        <f>'05_Datos_Historicos'!M107</f>
        <v/>
      </c>
      <c r="D45" s="524">
        <f>'05_Datos_Historicos'!S107</f>
        <v/>
      </c>
      <c r="E45" s="524">
        <f>'05_Datos_Historicos'!Q107</f>
        <v/>
      </c>
      <c r="F45" s="524">
        <f>D45-E45</f>
        <v/>
      </c>
      <c r="G45" s="524">
        <f>'05_Datos_Historicos'!T107</f>
        <v/>
      </c>
      <c r="H45" s="524">
        <f>'06_Parametros_Estrategias'!E43*E45+(1-'06_Parametros_Estrategias'!E43)*J45</f>
        <v/>
      </c>
      <c r="I45" s="524">
        <f>G45-H45</f>
        <v/>
      </c>
      <c r="J45" s="524">
        <f>'05_Datos_Historicos'!R107</f>
        <v/>
      </c>
      <c r="K45" s="368">
        <f>K44*(1+D45)</f>
        <v/>
      </c>
      <c r="L45" s="368">
        <f>L44*(1+G45)</f>
        <v/>
      </c>
    </row>
    <row r="46">
      <c r="C46" s="503">
        <f>'05_Datos_Historicos'!M108</f>
        <v/>
      </c>
      <c r="D46" s="524">
        <f>'05_Datos_Historicos'!S108</f>
        <v/>
      </c>
      <c r="E46" s="524">
        <f>'05_Datos_Historicos'!Q108</f>
        <v/>
      </c>
      <c r="F46" s="524">
        <f>D46-E46</f>
        <v/>
      </c>
      <c r="G46" s="524">
        <f>'05_Datos_Historicos'!T108</f>
        <v/>
      </c>
      <c r="H46" s="524">
        <f>'06_Parametros_Estrategias'!E43*E46+(1-'06_Parametros_Estrategias'!E43)*J46</f>
        <v/>
      </c>
      <c r="I46" s="524">
        <f>G46-H46</f>
        <v/>
      </c>
      <c r="J46" s="524">
        <f>'05_Datos_Historicos'!R108</f>
        <v/>
      </c>
      <c r="K46" s="368">
        <f>K45*(1+D46)</f>
        <v/>
      </c>
      <c r="L46" s="368">
        <f>L45*(1+G46)</f>
        <v/>
      </c>
    </row>
    <row r="47">
      <c r="C47" s="503">
        <f>'05_Datos_Historicos'!M109</f>
        <v/>
      </c>
      <c r="D47" s="524">
        <f>'05_Datos_Historicos'!S109</f>
        <v/>
      </c>
      <c r="E47" s="524">
        <f>'05_Datos_Historicos'!Q109</f>
        <v/>
      </c>
      <c r="F47" s="524">
        <f>D47-E47</f>
        <v/>
      </c>
      <c r="G47" s="524">
        <f>'05_Datos_Historicos'!T109</f>
        <v/>
      </c>
      <c r="H47" s="524">
        <f>'06_Parametros_Estrategias'!E43*E47+(1-'06_Parametros_Estrategias'!E43)*J47</f>
        <v/>
      </c>
      <c r="I47" s="524">
        <f>G47-H47</f>
        <v/>
      </c>
      <c r="J47" s="524">
        <f>'05_Datos_Historicos'!R109</f>
        <v/>
      </c>
      <c r="K47" s="368">
        <f>K46*(1+D47)</f>
        <v/>
      </c>
      <c r="L47" s="368">
        <f>L46*(1+G47)</f>
        <v/>
      </c>
    </row>
    <row r="48">
      <c r="C48" s="503">
        <f>'05_Datos_Historicos'!M110</f>
        <v/>
      </c>
      <c r="D48" s="524">
        <f>'05_Datos_Historicos'!S110</f>
        <v/>
      </c>
      <c r="E48" s="524">
        <f>'05_Datos_Historicos'!Q110</f>
        <v/>
      </c>
      <c r="F48" s="524">
        <f>D48-E48</f>
        <v/>
      </c>
      <c r="G48" s="524">
        <f>'05_Datos_Historicos'!T110</f>
        <v/>
      </c>
      <c r="H48" s="524">
        <f>'06_Parametros_Estrategias'!E43*E48+(1-'06_Parametros_Estrategias'!E43)*J48</f>
        <v/>
      </c>
      <c r="I48" s="524">
        <f>G48-H48</f>
        <v/>
      </c>
      <c r="J48" s="524">
        <f>'05_Datos_Historicos'!R110</f>
        <v/>
      </c>
      <c r="K48" s="368">
        <f>K47*(1+D48)</f>
        <v/>
      </c>
      <c r="L48" s="368">
        <f>L47*(1+G48)</f>
        <v/>
      </c>
    </row>
    <row r="49">
      <c r="C49" s="503">
        <f>'05_Datos_Historicos'!M111</f>
        <v/>
      </c>
      <c r="D49" s="524">
        <f>'05_Datos_Historicos'!S111</f>
        <v/>
      </c>
      <c r="E49" s="524">
        <f>'05_Datos_Historicos'!Q111</f>
        <v/>
      </c>
      <c r="F49" s="524">
        <f>D49-E49</f>
        <v/>
      </c>
      <c r="G49" s="524">
        <f>'05_Datos_Historicos'!T111</f>
        <v/>
      </c>
      <c r="H49" s="524">
        <f>'06_Parametros_Estrategias'!E43*E49+(1-'06_Parametros_Estrategias'!E43)*J49</f>
        <v/>
      </c>
      <c r="I49" s="524">
        <f>G49-H49</f>
        <v/>
      </c>
      <c r="J49" s="524">
        <f>'05_Datos_Historicos'!R111</f>
        <v/>
      </c>
      <c r="K49" s="368">
        <f>K48*(1+D49)</f>
        <v/>
      </c>
      <c r="L49" s="368">
        <f>L48*(1+G49)</f>
        <v/>
      </c>
    </row>
    <row r="50">
      <c r="C50" s="503">
        <f>'05_Datos_Historicos'!M112</f>
        <v/>
      </c>
      <c r="D50" s="524">
        <f>'05_Datos_Historicos'!S112</f>
        <v/>
      </c>
      <c r="E50" s="524">
        <f>'05_Datos_Historicos'!Q112</f>
        <v/>
      </c>
      <c r="F50" s="524">
        <f>D50-E50</f>
        <v/>
      </c>
      <c r="G50" s="524">
        <f>'05_Datos_Historicos'!T112</f>
        <v/>
      </c>
      <c r="H50" s="524">
        <f>'06_Parametros_Estrategias'!E43*E50+(1-'06_Parametros_Estrategias'!E43)*J50</f>
        <v/>
      </c>
      <c r="I50" s="524">
        <f>G50-H50</f>
        <v/>
      </c>
      <c r="J50" s="524">
        <f>'05_Datos_Historicos'!R112</f>
        <v/>
      </c>
      <c r="K50" s="368">
        <f>K49*(1+D50)</f>
        <v/>
      </c>
      <c r="L50" s="368">
        <f>L49*(1+G50)</f>
        <v/>
      </c>
    </row>
    <row r="51">
      <c r="C51" s="503">
        <f>'05_Datos_Historicos'!M113</f>
        <v/>
      </c>
      <c r="D51" s="524">
        <f>'05_Datos_Historicos'!S113</f>
        <v/>
      </c>
      <c r="E51" s="524">
        <f>'05_Datos_Historicos'!Q113</f>
        <v/>
      </c>
      <c r="F51" s="524">
        <f>D51-E51</f>
        <v/>
      </c>
      <c r="G51" s="524">
        <f>'05_Datos_Historicos'!T113</f>
        <v/>
      </c>
      <c r="H51" s="524">
        <f>'06_Parametros_Estrategias'!E43*E51+(1-'06_Parametros_Estrategias'!E43)*J51</f>
        <v/>
      </c>
      <c r="I51" s="524">
        <f>G51-H51</f>
        <v/>
      </c>
      <c r="J51" s="524">
        <f>'05_Datos_Historicos'!R113</f>
        <v/>
      </c>
      <c r="K51" s="368">
        <f>K50*(1+D51)</f>
        <v/>
      </c>
      <c r="L51" s="368">
        <f>L50*(1+G51)</f>
        <v/>
      </c>
    </row>
    <row r="52">
      <c r="C52" s="503">
        <f>'05_Datos_Historicos'!M114</f>
        <v/>
      </c>
      <c r="D52" s="524">
        <f>'05_Datos_Historicos'!S114</f>
        <v/>
      </c>
      <c r="E52" s="524">
        <f>'05_Datos_Historicos'!Q114</f>
        <v/>
      </c>
      <c r="F52" s="524">
        <f>D52-E52</f>
        <v/>
      </c>
      <c r="G52" s="524">
        <f>'05_Datos_Historicos'!T114</f>
        <v/>
      </c>
      <c r="H52" s="524">
        <f>'06_Parametros_Estrategias'!E43*E52+(1-'06_Parametros_Estrategias'!E43)*J52</f>
        <v/>
      </c>
      <c r="I52" s="524">
        <f>G52-H52</f>
        <v/>
      </c>
      <c r="J52" s="524">
        <f>'05_Datos_Historicos'!R114</f>
        <v/>
      </c>
      <c r="K52" s="368">
        <f>K51*(1+D52)</f>
        <v/>
      </c>
      <c r="L52" s="368">
        <f>L51*(1+G52)</f>
        <v/>
      </c>
    </row>
    <row r="53">
      <c r="C53" s="503">
        <f>'05_Datos_Historicos'!M115</f>
        <v/>
      </c>
      <c r="D53" s="524">
        <f>'05_Datos_Historicos'!S115</f>
        <v/>
      </c>
      <c r="E53" s="524">
        <f>'05_Datos_Historicos'!Q115</f>
        <v/>
      </c>
      <c r="F53" s="524">
        <f>D53-E53</f>
        <v/>
      </c>
      <c r="G53" s="524">
        <f>'05_Datos_Historicos'!T115</f>
        <v/>
      </c>
      <c r="H53" s="524">
        <f>'06_Parametros_Estrategias'!E43*E53+(1-'06_Parametros_Estrategias'!E43)*J53</f>
        <v/>
      </c>
      <c r="I53" s="524">
        <f>G53-H53</f>
        <v/>
      </c>
      <c r="J53" s="524">
        <f>'05_Datos_Historicos'!R115</f>
        <v/>
      </c>
      <c r="K53" s="368">
        <f>K52*(1+D53)</f>
        <v/>
      </c>
      <c r="L53" s="368">
        <f>L52*(1+G53)</f>
        <v/>
      </c>
    </row>
    <row r="54">
      <c r="C54" s="503">
        <f>'05_Datos_Historicos'!M116</f>
        <v/>
      </c>
      <c r="D54" s="524">
        <f>'05_Datos_Historicos'!S116</f>
        <v/>
      </c>
      <c r="E54" s="524">
        <f>'05_Datos_Historicos'!Q116</f>
        <v/>
      </c>
      <c r="F54" s="524">
        <f>D54-E54</f>
        <v/>
      </c>
      <c r="G54" s="524">
        <f>'05_Datos_Historicos'!T116</f>
        <v/>
      </c>
      <c r="H54" s="524">
        <f>'06_Parametros_Estrategias'!E43*E54+(1-'06_Parametros_Estrategias'!E43)*J54</f>
        <v/>
      </c>
      <c r="I54" s="524">
        <f>G54-H54</f>
        <v/>
      </c>
      <c r="J54" s="524">
        <f>'05_Datos_Historicos'!R116</f>
        <v/>
      </c>
      <c r="K54" s="368">
        <f>K53*(1+D54)</f>
        <v/>
      </c>
      <c r="L54" s="368">
        <f>L53*(1+G54)</f>
        <v/>
      </c>
    </row>
    <row r="55">
      <c r="C55" s="503">
        <f>'05_Datos_Historicos'!M117</f>
        <v/>
      </c>
      <c r="D55" s="524">
        <f>'05_Datos_Historicos'!S117</f>
        <v/>
      </c>
      <c r="E55" s="524">
        <f>'05_Datos_Historicos'!Q117</f>
        <v/>
      </c>
      <c r="F55" s="524">
        <f>D55-E55</f>
        <v/>
      </c>
      <c r="G55" s="524">
        <f>'05_Datos_Historicos'!T117</f>
        <v/>
      </c>
      <c r="H55" s="524">
        <f>'06_Parametros_Estrategias'!E43*E55+(1-'06_Parametros_Estrategias'!E43)*J55</f>
        <v/>
      </c>
      <c r="I55" s="524">
        <f>G55-H55</f>
        <v/>
      </c>
      <c r="J55" s="524">
        <f>'05_Datos_Historicos'!R117</f>
        <v/>
      </c>
      <c r="K55" s="368">
        <f>K54*(1+D55)</f>
        <v/>
      </c>
      <c r="L55" s="368">
        <f>L54*(1+G55)</f>
        <v/>
      </c>
    </row>
    <row r="56">
      <c r="C56" s="503">
        <f>'05_Datos_Historicos'!M118</f>
        <v/>
      </c>
      <c r="D56" s="524">
        <f>'05_Datos_Historicos'!S118</f>
        <v/>
      </c>
      <c r="E56" s="524">
        <f>'05_Datos_Historicos'!Q118</f>
        <v/>
      </c>
      <c r="F56" s="524">
        <f>D56-E56</f>
        <v/>
      </c>
      <c r="G56" s="524">
        <f>'05_Datos_Historicos'!T118</f>
        <v/>
      </c>
      <c r="H56" s="524">
        <f>'06_Parametros_Estrategias'!E43*E56+(1-'06_Parametros_Estrategias'!E43)*J56</f>
        <v/>
      </c>
      <c r="I56" s="524">
        <f>G56-H56</f>
        <v/>
      </c>
      <c r="J56" s="524">
        <f>'05_Datos_Historicos'!R118</f>
        <v/>
      </c>
      <c r="K56" s="368">
        <f>K55*(1+D56)</f>
        <v/>
      </c>
      <c r="L56" s="368">
        <f>L55*(1+G56)</f>
        <v/>
      </c>
    </row>
    <row r="57">
      <c r="C57" s="503">
        <f>'05_Datos_Historicos'!M119</f>
        <v/>
      </c>
      <c r="D57" s="524">
        <f>'05_Datos_Historicos'!S119</f>
        <v/>
      </c>
      <c r="E57" s="524">
        <f>'05_Datos_Historicos'!Q119</f>
        <v/>
      </c>
      <c r="F57" s="524">
        <f>D57-E57</f>
        <v/>
      </c>
      <c r="G57" s="524">
        <f>'05_Datos_Historicos'!T119</f>
        <v/>
      </c>
      <c r="H57" s="524">
        <f>'06_Parametros_Estrategias'!E43*E57+(1-'06_Parametros_Estrategias'!E43)*J57</f>
        <v/>
      </c>
      <c r="I57" s="524">
        <f>G57-H57</f>
        <v/>
      </c>
      <c r="J57" s="524">
        <f>'05_Datos_Historicos'!R119</f>
        <v/>
      </c>
      <c r="K57" s="368">
        <f>K56*(1+D57)</f>
        <v/>
      </c>
      <c r="L57" s="368">
        <f>L56*(1+G57)</f>
        <v/>
      </c>
    </row>
    <row r="58">
      <c r="C58" s="503">
        <f>'05_Datos_Historicos'!M120</f>
        <v/>
      </c>
      <c r="D58" s="524">
        <f>'05_Datos_Historicos'!S120</f>
        <v/>
      </c>
      <c r="E58" s="524">
        <f>'05_Datos_Historicos'!Q120</f>
        <v/>
      </c>
      <c r="F58" s="524">
        <f>D58-E58</f>
        <v/>
      </c>
      <c r="G58" s="524">
        <f>'05_Datos_Historicos'!T120</f>
        <v/>
      </c>
      <c r="H58" s="524">
        <f>'06_Parametros_Estrategias'!E43*E58+(1-'06_Parametros_Estrategias'!E43)*J58</f>
        <v/>
      </c>
      <c r="I58" s="524">
        <f>G58-H58</f>
        <v/>
      </c>
      <c r="J58" s="524">
        <f>'05_Datos_Historicos'!R120</f>
        <v/>
      </c>
      <c r="K58" s="368">
        <f>K57*(1+D58)</f>
        <v/>
      </c>
      <c r="L58" s="368">
        <f>L57*(1+G58)</f>
        <v/>
      </c>
    </row>
    <row r="59">
      <c r="C59" s="503">
        <f>'05_Datos_Historicos'!M121</f>
        <v/>
      </c>
      <c r="D59" s="524">
        <f>'05_Datos_Historicos'!S121</f>
        <v/>
      </c>
      <c r="E59" s="524">
        <f>'05_Datos_Historicos'!Q121</f>
        <v/>
      </c>
      <c r="F59" s="524">
        <f>D59-E59</f>
        <v/>
      </c>
      <c r="G59" s="524">
        <f>'05_Datos_Historicos'!T121</f>
        <v/>
      </c>
      <c r="H59" s="524">
        <f>'06_Parametros_Estrategias'!E43*E59+(1-'06_Parametros_Estrategias'!E43)*J59</f>
        <v/>
      </c>
      <c r="I59" s="524">
        <f>G59-H59</f>
        <v/>
      </c>
      <c r="J59" s="524">
        <f>'05_Datos_Historicos'!R121</f>
        <v/>
      </c>
      <c r="K59" s="368">
        <f>K58*(1+D59)</f>
        <v/>
      </c>
      <c r="L59" s="368">
        <f>L58*(1+G59)</f>
        <v/>
      </c>
    </row>
    <row r="60">
      <c r="C60" s="503">
        <f>'05_Datos_Historicos'!M122</f>
        <v/>
      </c>
      <c r="D60" s="524">
        <f>'05_Datos_Historicos'!S122</f>
        <v/>
      </c>
      <c r="E60" s="524">
        <f>'05_Datos_Historicos'!Q122</f>
        <v/>
      </c>
      <c r="F60" s="524">
        <f>D60-E60</f>
        <v/>
      </c>
      <c r="G60" s="524">
        <f>'05_Datos_Historicos'!T122</f>
        <v/>
      </c>
      <c r="H60" s="524">
        <f>'06_Parametros_Estrategias'!E43*E60+(1-'06_Parametros_Estrategias'!E43)*J60</f>
        <v/>
      </c>
      <c r="I60" s="524">
        <f>G60-H60</f>
        <v/>
      </c>
      <c r="J60" s="524">
        <f>'05_Datos_Historicos'!R122</f>
        <v/>
      </c>
      <c r="K60" s="368">
        <f>K59*(1+D60)</f>
        <v/>
      </c>
      <c r="L60" s="368">
        <f>L59*(1+G60)</f>
        <v/>
      </c>
    </row>
    <row r="61">
      <c r="C61" s="503">
        <f>'05_Datos_Historicos'!M123</f>
        <v/>
      </c>
      <c r="D61" s="524">
        <f>'05_Datos_Historicos'!S123</f>
        <v/>
      </c>
      <c r="E61" s="524">
        <f>'05_Datos_Historicos'!Q123</f>
        <v/>
      </c>
      <c r="F61" s="524">
        <f>D61-E61</f>
        <v/>
      </c>
      <c r="G61" s="524">
        <f>'05_Datos_Historicos'!T123</f>
        <v/>
      </c>
      <c r="H61" s="524">
        <f>'06_Parametros_Estrategias'!E43*E61+(1-'06_Parametros_Estrategias'!E43)*J61</f>
        <v/>
      </c>
      <c r="I61" s="524">
        <f>G61-H61</f>
        <v/>
      </c>
      <c r="J61" s="524">
        <f>'05_Datos_Historicos'!R123</f>
        <v/>
      </c>
      <c r="K61" s="368">
        <f>K60*(1+D61)</f>
        <v/>
      </c>
      <c r="L61" s="368">
        <f>L60*(1+G61)</f>
        <v/>
      </c>
    </row>
    <row r="62">
      <c r="C62" s="503">
        <f>'05_Datos_Historicos'!M124</f>
        <v/>
      </c>
      <c r="D62" s="524">
        <f>'05_Datos_Historicos'!S124</f>
        <v/>
      </c>
      <c r="E62" s="524">
        <f>'05_Datos_Historicos'!Q124</f>
        <v/>
      </c>
      <c r="F62" s="524">
        <f>D62-E62</f>
        <v/>
      </c>
      <c r="G62" s="524">
        <f>'05_Datos_Historicos'!T124</f>
        <v/>
      </c>
      <c r="H62" s="524">
        <f>'06_Parametros_Estrategias'!E43*E62+(1-'06_Parametros_Estrategias'!E43)*J62</f>
        <v/>
      </c>
      <c r="I62" s="524">
        <f>G62-H62</f>
        <v/>
      </c>
      <c r="J62" s="524">
        <f>'05_Datos_Historicos'!R124</f>
        <v/>
      </c>
      <c r="K62" s="368">
        <f>K61*(1+D62)</f>
        <v/>
      </c>
      <c r="L62" s="368">
        <f>L61*(1+G62)</f>
        <v/>
      </c>
    </row>
    <row r="63">
      <c r="C63" s="503">
        <f>'05_Datos_Historicos'!M125</f>
        <v/>
      </c>
      <c r="D63" s="524">
        <f>'05_Datos_Historicos'!S125</f>
        <v/>
      </c>
      <c r="E63" s="524">
        <f>'05_Datos_Historicos'!Q125</f>
        <v/>
      </c>
      <c r="F63" s="524">
        <f>D63-E63</f>
        <v/>
      </c>
      <c r="G63" s="524">
        <f>'05_Datos_Historicos'!T125</f>
        <v/>
      </c>
      <c r="H63" s="524">
        <f>'06_Parametros_Estrategias'!E43*E63+(1-'06_Parametros_Estrategias'!E43)*J63</f>
        <v/>
      </c>
      <c r="I63" s="524">
        <f>G63-H63</f>
        <v/>
      </c>
      <c r="J63" s="524">
        <f>'05_Datos_Historicos'!R125</f>
        <v/>
      </c>
      <c r="K63" s="368">
        <f>K62*(1+D63)</f>
        <v/>
      </c>
      <c r="L63" s="368">
        <f>L62*(1+G63)</f>
        <v/>
      </c>
    </row>
    <row r="64">
      <c r="C64" s="503">
        <f>'05_Datos_Historicos'!M126</f>
        <v/>
      </c>
      <c r="D64" s="524">
        <f>'05_Datos_Historicos'!S126</f>
        <v/>
      </c>
      <c r="E64" s="524">
        <f>'05_Datos_Historicos'!Q126</f>
        <v/>
      </c>
      <c r="F64" s="524">
        <f>D64-E64</f>
        <v/>
      </c>
      <c r="G64" s="524">
        <f>'05_Datos_Historicos'!T126</f>
        <v/>
      </c>
      <c r="H64" s="524">
        <f>'06_Parametros_Estrategias'!E43*E64+(1-'06_Parametros_Estrategias'!E43)*J64</f>
        <v/>
      </c>
      <c r="I64" s="524">
        <f>G64-H64</f>
        <v/>
      </c>
      <c r="J64" s="524">
        <f>'05_Datos_Historicos'!R126</f>
        <v/>
      </c>
      <c r="K64" s="368">
        <f>K63*(1+D64)</f>
        <v/>
      </c>
      <c r="L64" s="368">
        <f>L63*(1+G64)</f>
        <v/>
      </c>
    </row>
    <row r="65">
      <c r="C65" s="503">
        <f>'05_Datos_Historicos'!M127</f>
        <v/>
      </c>
      <c r="D65" s="524">
        <f>'05_Datos_Historicos'!S127</f>
        <v/>
      </c>
      <c r="E65" s="524">
        <f>'05_Datos_Historicos'!Q127</f>
        <v/>
      </c>
      <c r="F65" s="524">
        <f>D65-E65</f>
        <v/>
      </c>
      <c r="G65" s="524">
        <f>'05_Datos_Historicos'!T127</f>
        <v/>
      </c>
      <c r="H65" s="524">
        <f>'06_Parametros_Estrategias'!E43*E65+(1-'06_Parametros_Estrategias'!E43)*J65</f>
        <v/>
      </c>
      <c r="I65" s="524">
        <f>G65-H65</f>
        <v/>
      </c>
      <c r="J65" s="524">
        <f>'05_Datos_Historicos'!R127</f>
        <v/>
      </c>
      <c r="K65" s="368">
        <f>K64*(1+D65)</f>
        <v/>
      </c>
      <c r="L65" s="368">
        <f>L64*(1+G65)</f>
        <v/>
      </c>
    </row>
    <row r="66">
      <c r="C66" s="503">
        <f>'05_Datos_Historicos'!M128</f>
        <v/>
      </c>
      <c r="D66" s="524">
        <f>'05_Datos_Historicos'!S128</f>
        <v/>
      </c>
      <c r="E66" s="524">
        <f>'05_Datos_Historicos'!Q128</f>
        <v/>
      </c>
      <c r="F66" s="524">
        <f>D66-E66</f>
        <v/>
      </c>
      <c r="G66" s="524">
        <f>'05_Datos_Historicos'!T128</f>
        <v/>
      </c>
      <c r="H66" s="524">
        <f>'06_Parametros_Estrategias'!E43*E66+(1-'06_Parametros_Estrategias'!E43)*J66</f>
        <v/>
      </c>
      <c r="I66" s="524">
        <f>G66-H66</f>
        <v/>
      </c>
      <c r="J66" s="524">
        <f>'05_Datos_Historicos'!R128</f>
        <v/>
      </c>
      <c r="K66" s="368">
        <f>K65*(1+D66)</f>
        <v/>
      </c>
      <c r="L66" s="368">
        <f>L65*(1+G66)</f>
        <v/>
      </c>
    </row>
    <row r="67">
      <c r="C67" s="503">
        <f>'05_Datos_Historicos'!M129</f>
        <v/>
      </c>
      <c r="D67" s="524">
        <f>'05_Datos_Historicos'!S129</f>
        <v/>
      </c>
      <c r="E67" s="524">
        <f>'05_Datos_Historicos'!Q129</f>
        <v/>
      </c>
      <c r="F67" s="524">
        <f>D67-E67</f>
        <v/>
      </c>
      <c r="G67" s="524">
        <f>'05_Datos_Historicos'!T129</f>
        <v/>
      </c>
      <c r="H67" s="524">
        <f>'06_Parametros_Estrategias'!E43*E67+(1-'06_Parametros_Estrategias'!E43)*J67</f>
        <v/>
      </c>
      <c r="I67" s="524">
        <f>G67-H67</f>
        <v/>
      </c>
      <c r="J67" s="524">
        <f>'05_Datos_Historicos'!R129</f>
        <v/>
      </c>
      <c r="K67" s="368">
        <f>K66*(1+D67)</f>
        <v/>
      </c>
      <c r="L67" s="368">
        <f>L66*(1+G67)</f>
        <v/>
      </c>
    </row>
    <row r="68">
      <c r="C68" s="503">
        <f>'05_Datos_Historicos'!M130</f>
        <v/>
      </c>
      <c r="D68" s="524">
        <f>'05_Datos_Historicos'!S130</f>
        <v/>
      </c>
      <c r="E68" s="524">
        <f>'05_Datos_Historicos'!Q130</f>
        <v/>
      </c>
      <c r="F68" s="524">
        <f>D68-E68</f>
        <v/>
      </c>
      <c r="G68" s="524">
        <f>'05_Datos_Historicos'!T130</f>
        <v/>
      </c>
      <c r="H68" s="524">
        <f>'06_Parametros_Estrategias'!E43*E68+(1-'06_Parametros_Estrategias'!E43)*J68</f>
        <v/>
      </c>
      <c r="I68" s="524">
        <f>G68-H68</f>
        <v/>
      </c>
      <c r="J68" s="524">
        <f>'05_Datos_Historicos'!R130</f>
        <v/>
      </c>
      <c r="K68" s="368">
        <f>K67*(1+D68)</f>
        <v/>
      </c>
      <c r="L68" s="368">
        <f>L67*(1+G68)</f>
        <v/>
      </c>
    </row>
    <row r="69">
      <c r="C69" s="503">
        <f>'05_Datos_Historicos'!M131</f>
        <v/>
      </c>
      <c r="D69" s="524">
        <f>'05_Datos_Historicos'!S131</f>
        <v/>
      </c>
      <c r="E69" s="524">
        <f>'05_Datos_Historicos'!Q131</f>
        <v/>
      </c>
      <c r="F69" s="524">
        <f>D69-E69</f>
        <v/>
      </c>
      <c r="G69" s="524">
        <f>'05_Datos_Historicos'!T131</f>
        <v/>
      </c>
      <c r="H69" s="524">
        <f>'06_Parametros_Estrategias'!E43*E69+(1-'06_Parametros_Estrategias'!E43)*J69</f>
        <v/>
      </c>
      <c r="I69" s="524">
        <f>G69-H69</f>
        <v/>
      </c>
      <c r="J69" s="524">
        <f>'05_Datos_Historicos'!R131</f>
        <v/>
      </c>
      <c r="K69" s="368">
        <f>K68*(1+D69)</f>
        <v/>
      </c>
      <c r="L69" s="368">
        <f>L68*(1+G69)</f>
        <v/>
      </c>
    </row>
    <row r="70">
      <c r="C70" s="503">
        <f>'05_Datos_Historicos'!M132</f>
        <v/>
      </c>
      <c r="D70" s="524">
        <f>'05_Datos_Historicos'!S132</f>
        <v/>
      </c>
      <c r="E70" s="524">
        <f>'05_Datos_Historicos'!Q132</f>
        <v/>
      </c>
      <c r="F70" s="524">
        <f>D70-E70</f>
        <v/>
      </c>
      <c r="G70" s="524">
        <f>'05_Datos_Historicos'!T132</f>
        <v/>
      </c>
      <c r="H70" s="524">
        <f>'06_Parametros_Estrategias'!E43*E70+(1-'06_Parametros_Estrategias'!E43)*J70</f>
        <v/>
      </c>
      <c r="I70" s="524">
        <f>G70-H70</f>
        <v/>
      </c>
      <c r="J70" s="524">
        <f>'05_Datos_Historicos'!R132</f>
        <v/>
      </c>
      <c r="K70" s="368">
        <f>K69*(1+D70)</f>
        <v/>
      </c>
      <c r="L70" s="368">
        <f>L69*(1+G70)</f>
        <v/>
      </c>
    </row>
    <row r="71">
      <c r="C71" s="503">
        <f>'05_Datos_Historicos'!M133</f>
        <v/>
      </c>
      <c r="D71" s="524">
        <f>'05_Datos_Historicos'!S133</f>
        <v/>
      </c>
      <c r="E71" s="524">
        <f>'05_Datos_Historicos'!Q133</f>
        <v/>
      </c>
      <c r="F71" s="524">
        <f>D71-E71</f>
        <v/>
      </c>
      <c r="G71" s="524">
        <f>'05_Datos_Historicos'!T133</f>
        <v/>
      </c>
      <c r="H71" s="524">
        <f>'06_Parametros_Estrategias'!E43*E71+(1-'06_Parametros_Estrategias'!E43)*J71</f>
        <v/>
      </c>
      <c r="I71" s="524">
        <f>G71-H71</f>
        <v/>
      </c>
      <c r="J71" s="524">
        <f>'05_Datos_Historicos'!R133</f>
        <v/>
      </c>
      <c r="K71" s="368">
        <f>K70*(1+D71)</f>
        <v/>
      </c>
      <c r="L71" s="368">
        <f>L70*(1+G71)</f>
        <v/>
      </c>
    </row>
    <row r="72">
      <c r="C72" s="503">
        <f>'05_Datos_Historicos'!M134</f>
        <v/>
      </c>
      <c r="D72" s="524">
        <f>'05_Datos_Historicos'!S134</f>
        <v/>
      </c>
      <c r="E72" s="524">
        <f>'05_Datos_Historicos'!Q134</f>
        <v/>
      </c>
      <c r="F72" s="524">
        <f>D72-E72</f>
        <v/>
      </c>
      <c r="G72" s="524">
        <f>'05_Datos_Historicos'!T134</f>
        <v/>
      </c>
      <c r="H72" s="524">
        <f>'06_Parametros_Estrategias'!E43*E72+(1-'06_Parametros_Estrategias'!E43)*J72</f>
        <v/>
      </c>
      <c r="I72" s="524">
        <f>G72-H72</f>
        <v/>
      </c>
      <c r="J72" s="524">
        <f>'05_Datos_Historicos'!R134</f>
        <v/>
      </c>
      <c r="K72" s="368">
        <f>K71*(1+D72)</f>
        <v/>
      </c>
      <c r="L72" s="368">
        <f>L71*(1+G72)</f>
        <v/>
      </c>
    </row>
    <row r="73">
      <c r="C73" s="503">
        <f>'05_Datos_Historicos'!M135</f>
        <v/>
      </c>
      <c r="D73" s="524">
        <f>'05_Datos_Historicos'!S135</f>
        <v/>
      </c>
      <c r="E73" s="524">
        <f>'05_Datos_Historicos'!Q135</f>
        <v/>
      </c>
      <c r="F73" s="524">
        <f>D73-E73</f>
        <v/>
      </c>
      <c r="G73" s="524">
        <f>'05_Datos_Historicos'!T135</f>
        <v/>
      </c>
      <c r="H73" s="524">
        <f>'06_Parametros_Estrategias'!E43*E73+(1-'06_Parametros_Estrategias'!E43)*J73</f>
        <v/>
      </c>
      <c r="I73" s="524">
        <f>G73-H73</f>
        <v/>
      </c>
      <c r="J73" s="524">
        <f>'05_Datos_Historicos'!R135</f>
        <v/>
      </c>
      <c r="K73" s="368">
        <f>K72*(1+D73)</f>
        <v/>
      </c>
      <c r="L73" s="368">
        <f>L72*(1+G73)</f>
        <v/>
      </c>
    </row>
    <row r="74">
      <c r="C74" s="503">
        <f>'05_Datos_Historicos'!M136</f>
        <v/>
      </c>
      <c r="D74" s="524">
        <f>'05_Datos_Historicos'!S136</f>
        <v/>
      </c>
      <c r="E74" s="524">
        <f>'05_Datos_Historicos'!Q136</f>
        <v/>
      </c>
      <c r="F74" s="524">
        <f>D74-E74</f>
        <v/>
      </c>
      <c r="G74" s="524">
        <f>'05_Datos_Historicos'!T136</f>
        <v/>
      </c>
      <c r="H74" s="524">
        <f>'06_Parametros_Estrategias'!E43*E74+(1-'06_Parametros_Estrategias'!E43)*J74</f>
        <v/>
      </c>
      <c r="I74" s="524">
        <f>G74-H74</f>
        <v/>
      </c>
      <c r="J74" s="524">
        <f>'05_Datos_Historicos'!R136</f>
        <v/>
      </c>
      <c r="K74" s="368">
        <f>K73*(1+D74)</f>
        <v/>
      </c>
      <c r="L74" s="368">
        <f>L73*(1+G74)</f>
        <v/>
      </c>
    </row>
    <row r="75">
      <c r="C75" s="503">
        <f>'05_Datos_Historicos'!M137</f>
        <v/>
      </c>
      <c r="D75" s="524">
        <f>'05_Datos_Historicos'!S137</f>
        <v/>
      </c>
      <c r="E75" s="524">
        <f>'05_Datos_Historicos'!Q137</f>
        <v/>
      </c>
      <c r="F75" s="524">
        <f>D75-E75</f>
        <v/>
      </c>
      <c r="G75" s="524">
        <f>'05_Datos_Historicos'!T137</f>
        <v/>
      </c>
      <c r="H75" s="524">
        <f>'06_Parametros_Estrategias'!E43*E75+(1-'06_Parametros_Estrategias'!E43)*J75</f>
        <v/>
      </c>
      <c r="I75" s="524">
        <f>G75-H75</f>
        <v/>
      </c>
      <c r="J75" s="524">
        <f>'05_Datos_Historicos'!R137</f>
        <v/>
      </c>
      <c r="K75" s="368">
        <f>K74*(1+D75)</f>
        <v/>
      </c>
      <c r="L75" s="368">
        <f>L74*(1+G75)</f>
        <v/>
      </c>
    </row>
    <row r="76">
      <c r="C76" s="503">
        <f>'05_Datos_Historicos'!M138</f>
        <v/>
      </c>
      <c r="D76" s="524">
        <f>'05_Datos_Historicos'!S138</f>
        <v/>
      </c>
      <c r="E76" s="524">
        <f>'05_Datos_Historicos'!Q138</f>
        <v/>
      </c>
      <c r="F76" s="524">
        <f>D76-E76</f>
        <v/>
      </c>
      <c r="G76" s="524">
        <f>'05_Datos_Historicos'!T138</f>
        <v/>
      </c>
      <c r="H76" s="524">
        <f>'06_Parametros_Estrategias'!E43*E76+(1-'06_Parametros_Estrategias'!E43)*J76</f>
        <v/>
      </c>
      <c r="I76" s="524">
        <f>G76-H76</f>
        <v/>
      </c>
      <c r="J76" s="524">
        <f>'05_Datos_Historicos'!R138</f>
        <v/>
      </c>
      <c r="K76" s="368">
        <f>K75*(1+D76)</f>
        <v/>
      </c>
      <c r="L76" s="368">
        <f>L75*(1+G76)</f>
        <v/>
      </c>
    </row>
    <row r="77">
      <c r="C77" s="503">
        <f>'05_Datos_Historicos'!M139</f>
        <v/>
      </c>
      <c r="D77" s="524">
        <f>'05_Datos_Historicos'!S139</f>
        <v/>
      </c>
      <c r="E77" s="524">
        <f>'05_Datos_Historicos'!Q139</f>
        <v/>
      </c>
      <c r="F77" s="524">
        <f>D77-E77</f>
        <v/>
      </c>
      <c r="G77" s="524">
        <f>'05_Datos_Historicos'!T139</f>
        <v/>
      </c>
      <c r="H77" s="524">
        <f>'06_Parametros_Estrategias'!E43*E77+(1-'06_Parametros_Estrategias'!E43)*J77</f>
        <v/>
      </c>
      <c r="I77" s="524">
        <f>G77-H77</f>
        <v/>
      </c>
      <c r="J77" s="524">
        <f>'05_Datos_Historicos'!R139</f>
        <v/>
      </c>
      <c r="K77" s="368">
        <f>K76*(1+D77)</f>
        <v/>
      </c>
      <c r="L77" s="368">
        <f>L76*(1+G77)</f>
        <v/>
      </c>
    </row>
    <row r="78">
      <c r="C78" s="503">
        <f>'05_Datos_Historicos'!M140</f>
        <v/>
      </c>
      <c r="D78" s="524">
        <f>'05_Datos_Historicos'!S140</f>
        <v/>
      </c>
      <c r="E78" s="524">
        <f>'05_Datos_Historicos'!Q140</f>
        <v/>
      </c>
      <c r="F78" s="524">
        <f>D78-E78</f>
        <v/>
      </c>
      <c r="G78" s="524">
        <f>'05_Datos_Historicos'!T140</f>
        <v/>
      </c>
      <c r="H78" s="524">
        <f>'06_Parametros_Estrategias'!E43*E78+(1-'06_Parametros_Estrategias'!E43)*J78</f>
        <v/>
      </c>
      <c r="I78" s="524">
        <f>G78-H78</f>
        <v/>
      </c>
      <c r="J78" s="524">
        <f>'05_Datos_Historicos'!R140</f>
        <v/>
      </c>
      <c r="K78" s="368">
        <f>K77*(1+D78)</f>
        <v/>
      </c>
      <c r="L78" s="368">
        <f>L77*(1+G78)</f>
        <v/>
      </c>
    </row>
    <row r="79">
      <c r="C79" s="503">
        <f>'05_Datos_Historicos'!M141</f>
        <v/>
      </c>
      <c r="D79" s="524">
        <f>'05_Datos_Historicos'!S141</f>
        <v/>
      </c>
      <c r="E79" s="524">
        <f>'05_Datos_Historicos'!Q141</f>
        <v/>
      </c>
      <c r="F79" s="524">
        <f>D79-E79</f>
        <v/>
      </c>
      <c r="G79" s="524">
        <f>'05_Datos_Historicos'!T141</f>
        <v/>
      </c>
      <c r="H79" s="524">
        <f>'06_Parametros_Estrategias'!E43*E79+(1-'06_Parametros_Estrategias'!E43)*J79</f>
        <v/>
      </c>
      <c r="I79" s="524">
        <f>G79-H79</f>
        <v/>
      </c>
      <c r="J79" s="524">
        <f>'05_Datos_Historicos'!R141</f>
        <v/>
      </c>
      <c r="K79" s="368">
        <f>K78*(1+D79)</f>
        <v/>
      </c>
      <c r="L79" s="368">
        <f>L78*(1+G79)</f>
        <v/>
      </c>
    </row>
    <row r="80">
      <c r="C80" s="503">
        <f>'05_Datos_Historicos'!M142</f>
        <v/>
      </c>
      <c r="D80" s="524">
        <f>'05_Datos_Historicos'!S142</f>
        <v/>
      </c>
      <c r="E80" s="524">
        <f>'05_Datos_Historicos'!Q142</f>
        <v/>
      </c>
      <c r="F80" s="524">
        <f>D80-E80</f>
        <v/>
      </c>
      <c r="G80" s="524">
        <f>'05_Datos_Historicos'!T142</f>
        <v/>
      </c>
      <c r="H80" s="524">
        <f>'06_Parametros_Estrategias'!E43*E80+(1-'06_Parametros_Estrategias'!E43)*J80</f>
        <v/>
      </c>
      <c r="I80" s="524">
        <f>G80-H80</f>
        <v/>
      </c>
      <c r="J80" s="524">
        <f>'05_Datos_Historicos'!R142</f>
        <v/>
      </c>
      <c r="K80" s="368">
        <f>K79*(1+D80)</f>
        <v/>
      </c>
      <c r="L80" s="368">
        <f>L79*(1+G80)</f>
        <v/>
      </c>
    </row>
    <row r="81">
      <c r="C81" s="503">
        <f>'05_Datos_Historicos'!M143</f>
        <v/>
      </c>
      <c r="D81" s="524">
        <f>'05_Datos_Historicos'!S143</f>
        <v/>
      </c>
      <c r="E81" s="524">
        <f>'05_Datos_Historicos'!Q143</f>
        <v/>
      </c>
      <c r="F81" s="524">
        <f>D81-E81</f>
        <v/>
      </c>
      <c r="G81" s="524">
        <f>'05_Datos_Historicos'!T143</f>
        <v/>
      </c>
      <c r="H81" s="524">
        <f>'06_Parametros_Estrategias'!E43*E81+(1-'06_Parametros_Estrategias'!E43)*J81</f>
        <v/>
      </c>
      <c r="I81" s="524">
        <f>G81-H81</f>
        <v/>
      </c>
      <c r="J81" s="524">
        <f>'05_Datos_Historicos'!R143</f>
        <v/>
      </c>
      <c r="K81" s="368">
        <f>K80*(1+D81)</f>
        <v/>
      </c>
      <c r="L81" s="368">
        <f>L80*(1+G81)</f>
        <v/>
      </c>
    </row>
    <row r="82">
      <c r="C82" s="503">
        <f>'05_Datos_Historicos'!M144</f>
        <v/>
      </c>
      <c r="D82" s="524">
        <f>'05_Datos_Historicos'!S144</f>
        <v/>
      </c>
      <c r="E82" s="524">
        <f>'05_Datos_Historicos'!Q144</f>
        <v/>
      </c>
      <c r="F82" s="524">
        <f>D82-E82</f>
        <v/>
      </c>
      <c r="G82" s="524">
        <f>'05_Datos_Historicos'!T144</f>
        <v/>
      </c>
      <c r="H82" s="524">
        <f>'06_Parametros_Estrategias'!E43*E82+(1-'06_Parametros_Estrategias'!E43)*J82</f>
        <v/>
      </c>
      <c r="I82" s="524">
        <f>G82-H82</f>
        <v/>
      </c>
      <c r="J82" s="524">
        <f>'05_Datos_Historicos'!R144</f>
        <v/>
      </c>
      <c r="K82" s="368">
        <f>K81*(1+D82)</f>
        <v/>
      </c>
      <c r="L82" s="368">
        <f>L81*(1+G82)</f>
        <v/>
      </c>
    </row>
    <row r="83">
      <c r="C83" s="503">
        <f>'05_Datos_Historicos'!M145</f>
        <v/>
      </c>
      <c r="D83" s="524">
        <f>'05_Datos_Historicos'!S145</f>
        <v/>
      </c>
      <c r="E83" s="524">
        <f>'05_Datos_Historicos'!Q145</f>
        <v/>
      </c>
      <c r="F83" s="524">
        <f>D83-E83</f>
        <v/>
      </c>
      <c r="G83" s="524">
        <f>'05_Datos_Historicos'!T145</f>
        <v/>
      </c>
      <c r="H83" s="524">
        <f>'06_Parametros_Estrategias'!E43*E83+(1-'06_Parametros_Estrategias'!E43)*J83</f>
        <v/>
      </c>
      <c r="I83" s="524">
        <f>G83-H83</f>
        <v/>
      </c>
      <c r="J83" s="524">
        <f>'05_Datos_Historicos'!R145</f>
        <v/>
      </c>
      <c r="K83" s="368">
        <f>K82*(1+D83)</f>
        <v/>
      </c>
      <c r="L83" s="368">
        <f>L82*(1+G83)</f>
        <v/>
      </c>
    </row>
    <row r="84">
      <c r="C84" s="503">
        <f>'05_Datos_Historicos'!M146</f>
        <v/>
      </c>
      <c r="D84" s="524">
        <f>'05_Datos_Historicos'!S146</f>
        <v/>
      </c>
      <c r="E84" s="524">
        <f>'05_Datos_Historicos'!Q146</f>
        <v/>
      </c>
      <c r="F84" s="524">
        <f>D84-E84</f>
        <v/>
      </c>
      <c r="G84" s="524">
        <f>'05_Datos_Historicos'!T146</f>
        <v/>
      </c>
      <c r="H84" s="524">
        <f>'06_Parametros_Estrategias'!E43*E84+(1-'06_Parametros_Estrategias'!E43)*J84</f>
        <v/>
      </c>
      <c r="I84" s="524">
        <f>G84-H84</f>
        <v/>
      </c>
      <c r="J84" s="524">
        <f>'05_Datos_Historicos'!R146</f>
        <v/>
      </c>
      <c r="K84" s="368">
        <f>K83*(1+D84)</f>
        <v/>
      </c>
      <c r="L84" s="368">
        <f>L83*(1+G84)</f>
        <v/>
      </c>
    </row>
    <row r="85">
      <c r="C85" s="503">
        <f>'05_Datos_Historicos'!M147</f>
        <v/>
      </c>
      <c r="D85" s="524">
        <f>'05_Datos_Historicos'!S147</f>
        <v/>
      </c>
      <c r="E85" s="524">
        <f>'05_Datos_Historicos'!Q147</f>
        <v/>
      </c>
      <c r="F85" s="524">
        <f>D85-E85</f>
        <v/>
      </c>
      <c r="G85" s="524">
        <f>'05_Datos_Historicos'!T147</f>
        <v/>
      </c>
      <c r="H85" s="524">
        <f>'06_Parametros_Estrategias'!E43*E85+(1-'06_Parametros_Estrategias'!E43)*J85</f>
        <v/>
      </c>
      <c r="I85" s="524">
        <f>G85-H85</f>
        <v/>
      </c>
      <c r="J85" s="524">
        <f>'05_Datos_Historicos'!R147</f>
        <v/>
      </c>
      <c r="K85" s="368">
        <f>K84*(1+D85)</f>
        <v/>
      </c>
      <c r="L85" s="368">
        <f>L84*(1+G85)</f>
        <v/>
      </c>
    </row>
    <row r="86">
      <c r="C86" s="503">
        <f>'05_Datos_Historicos'!M148</f>
        <v/>
      </c>
      <c r="D86" s="524">
        <f>'05_Datos_Historicos'!S148</f>
        <v/>
      </c>
      <c r="E86" s="524">
        <f>'05_Datos_Historicos'!Q148</f>
        <v/>
      </c>
      <c r="F86" s="524">
        <f>D86-E86</f>
        <v/>
      </c>
      <c r="G86" s="524">
        <f>'05_Datos_Historicos'!T148</f>
        <v/>
      </c>
      <c r="H86" s="524">
        <f>'06_Parametros_Estrategias'!E43*E86+(1-'06_Parametros_Estrategias'!E43)*J86</f>
        <v/>
      </c>
      <c r="I86" s="524">
        <f>G86-H86</f>
        <v/>
      </c>
      <c r="J86" s="524">
        <f>'05_Datos_Historicos'!R148</f>
        <v/>
      </c>
      <c r="K86" s="368">
        <f>K85*(1+D86)</f>
        <v/>
      </c>
      <c r="L86" s="368">
        <f>L85*(1+G86)</f>
        <v/>
      </c>
    </row>
    <row r="87">
      <c r="C87" s="503">
        <f>'05_Datos_Historicos'!M149</f>
        <v/>
      </c>
      <c r="D87" s="524">
        <f>'05_Datos_Historicos'!S149</f>
        <v/>
      </c>
      <c r="E87" s="524">
        <f>'05_Datos_Historicos'!Q149</f>
        <v/>
      </c>
      <c r="F87" s="524">
        <f>D87-E87</f>
        <v/>
      </c>
      <c r="G87" s="524">
        <f>'05_Datos_Historicos'!T149</f>
        <v/>
      </c>
      <c r="H87" s="524">
        <f>'06_Parametros_Estrategias'!E43*E87+(1-'06_Parametros_Estrategias'!E43)*J87</f>
        <v/>
      </c>
      <c r="I87" s="524">
        <f>G87-H87</f>
        <v/>
      </c>
      <c r="J87" s="524">
        <f>'05_Datos_Historicos'!R149</f>
        <v/>
      </c>
      <c r="K87" s="368">
        <f>K86*(1+D87)</f>
        <v/>
      </c>
      <c r="L87" s="368">
        <f>L86*(1+G87)</f>
        <v/>
      </c>
    </row>
    <row r="88">
      <c r="C88" s="503">
        <f>'05_Datos_Historicos'!M150</f>
        <v/>
      </c>
      <c r="D88" s="524">
        <f>'05_Datos_Historicos'!S150</f>
        <v/>
      </c>
      <c r="E88" s="524">
        <f>'05_Datos_Historicos'!Q150</f>
        <v/>
      </c>
      <c r="F88" s="524">
        <f>D88-E88</f>
        <v/>
      </c>
      <c r="G88" s="524">
        <f>'05_Datos_Historicos'!T150</f>
        <v/>
      </c>
      <c r="H88" s="524">
        <f>'06_Parametros_Estrategias'!E43*E88+(1-'06_Parametros_Estrategias'!E43)*J88</f>
        <v/>
      </c>
      <c r="I88" s="524">
        <f>G88-H88</f>
        <v/>
      </c>
      <c r="J88" s="524">
        <f>'05_Datos_Historicos'!R150</f>
        <v/>
      </c>
      <c r="K88" s="368">
        <f>K87*(1+D88)</f>
        <v/>
      </c>
      <c r="L88" s="368">
        <f>L87*(1+G88)</f>
        <v/>
      </c>
    </row>
    <row r="89">
      <c r="C89" s="503">
        <f>'05_Datos_Historicos'!M151</f>
        <v/>
      </c>
      <c r="D89" s="524">
        <f>'05_Datos_Historicos'!S151</f>
        <v/>
      </c>
      <c r="E89" s="524">
        <f>'05_Datos_Historicos'!Q151</f>
        <v/>
      </c>
      <c r="F89" s="524">
        <f>D89-E89</f>
        <v/>
      </c>
      <c r="G89" s="524">
        <f>'05_Datos_Historicos'!T151</f>
        <v/>
      </c>
      <c r="H89" s="524">
        <f>'06_Parametros_Estrategias'!E43*E89+(1-'06_Parametros_Estrategias'!E43)*J89</f>
        <v/>
      </c>
      <c r="I89" s="524">
        <f>G89-H89</f>
        <v/>
      </c>
      <c r="J89" s="524">
        <f>'05_Datos_Historicos'!R151</f>
        <v/>
      </c>
      <c r="K89" s="368">
        <f>K88*(1+D89)</f>
        <v/>
      </c>
      <c r="L89" s="368">
        <f>L88*(1+G89)</f>
        <v/>
      </c>
    </row>
    <row r="90">
      <c r="C90" s="503">
        <f>'05_Datos_Historicos'!M152</f>
        <v/>
      </c>
      <c r="D90" s="524">
        <f>'05_Datos_Historicos'!S152</f>
        <v/>
      </c>
      <c r="E90" s="524">
        <f>'05_Datos_Historicos'!Q152</f>
        <v/>
      </c>
      <c r="F90" s="524">
        <f>D90-E90</f>
        <v/>
      </c>
      <c r="G90" s="524">
        <f>'05_Datos_Historicos'!T152</f>
        <v/>
      </c>
      <c r="H90" s="524">
        <f>'06_Parametros_Estrategias'!E43*E90+(1-'06_Parametros_Estrategias'!E43)*J90</f>
        <v/>
      </c>
      <c r="I90" s="524">
        <f>G90-H90</f>
        <v/>
      </c>
      <c r="J90" s="524">
        <f>'05_Datos_Historicos'!R152</f>
        <v/>
      </c>
      <c r="K90" s="368">
        <f>K89*(1+D90)</f>
        <v/>
      </c>
      <c r="L90" s="368">
        <f>L89*(1+G90)</f>
        <v/>
      </c>
    </row>
    <row r="91">
      <c r="C91" s="503">
        <f>'05_Datos_Historicos'!M153</f>
        <v/>
      </c>
      <c r="D91" s="524">
        <f>'05_Datos_Historicos'!S153</f>
        <v/>
      </c>
      <c r="E91" s="524">
        <f>'05_Datos_Historicos'!Q153</f>
        <v/>
      </c>
      <c r="F91" s="524">
        <f>D91-E91</f>
        <v/>
      </c>
      <c r="G91" s="524">
        <f>'05_Datos_Historicos'!T153</f>
        <v/>
      </c>
      <c r="H91" s="524">
        <f>'06_Parametros_Estrategias'!E43*E91+(1-'06_Parametros_Estrategias'!E43)*J91</f>
        <v/>
      </c>
      <c r="I91" s="524">
        <f>G91-H91</f>
        <v/>
      </c>
      <c r="J91" s="524">
        <f>'05_Datos_Historicos'!R153</f>
        <v/>
      </c>
      <c r="K91" s="368">
        <f>K90*(1+D91)</f>
        <v/>
      </c>
      <c r="L91" s="368">
        <f>L90*(1+G91)</f>
        <v/>
      </c>
    </row>
    <row r="92">
      <c r="C92" s="503">
        <f>'05_Datos_Historicos'!M154</f>
        <v/>
      </c>
      <c r="D92" s="524">
        <f>'05_Datos_Historicos'!S154</f>
        <v/>
      </c>
      <c r="E92" s="524">
        <f>'05_Datos_Historicos'!Q154</f>
        <v/>
      </c>
      <c r="F92" s="524">
        <f>D92-E92</f>
        <v/>
      </c>
      <c r="G92" s="524">
        <f>'05_Datos_Historicos'!T154</f>
        <v/>
      </c>
      <c r="H92" s="524">
        <f>'06_Parametros_Estrategias'!E43*E92+(1-'06_Parametros_Estrategias'!E43)*J92</f>
        <v/>
      </c>
      <c r="I92" s="524">
        <f>G92-H92</f>
        <v/>
      </c>
      <c r="J92" s="524">
        <f>'05_Datos_Historicos'!R154</f>
        <v/>
      </c>
      <c r="K92" s="368">
        <f>K91*(1+D92)</f>
        <v/>
      </c>
      <c r="L92" s="368">
        <f>L91*(1+G92)</f>
        <v/>
      </c>
    </row>
    <row r="93">
      <c r="C93" s="503">
        <f>'05_Datos_Historicos'!M155</f>
        <v/>
      </c>
      <c r="D93" s="524">
        <f>'05_Datos_Historicos'!S155</f>
        <v/>
      </c>
      <c r="E93" s="524">
        <f>'05_Datos_Historicos'!Q155</f>
        <v/>
      </c>
      <c r="F93" s="524">
        <f>D93-E93</f>
        <v/>
      </c>
      <c r="G93" s="524">
        <f>'05_Datos_Historicos'!T155</f>
        <v/>
      </c>
      <c r="H93" s="524">
        <f>'06_Parametros_Estrategias'!E43*E93+(1-'06_Parametros_Estrategias'!E43)*J93</f>
        <v/>
      </c>
      <c r="I93" s="524">
        <f>G93-H93</f>
        <v/>
      </c>
      <c r="J93" s="524">
        <f>'05_Datos_Historicos'!R155</f>
        <v/>
      </c>
      <c r="K93" s="368">
        <f>K92*(1+D93)</f>
        <v/>
      </c>
      <c r="L93" s="368">
        <f>L92*(1+G93)</f>
        <v/>
      </c>
    </row>
    <row r="94">
      <c r="C94" s="503">
        <f>'05_Datos_Historicos'!M156</f>
        <v/>
      </c>
      <c r="D94" s="524">
        <f>'05_Datos_Historicos'!S156</f>
        <v/>
      </c>
      <c r="E94" s="524">
        <f>'05_Datos_Historicos'!Q156</f>
        <v/>
      </c>
      <c r="F94" s="524">
        <f>D94-E94</f>
        <v/>
      </c>
      <c r="G94" s="524">
        <f>'05_Datos_Historicos'!T156</f>
        <v/>
      </c>
      <c r="H94" s="524">
        <f>'06_Parametros_Estrategias'!E43*E94+(1-'06_Parametros_Estrategias'!E43)*J94</f>
        <v/>
      </c>
      <c r="I94" s="524">
        <f>G94-H94</f>
        <v/>
      </c>
      <c r="J94" s="524">
        <f>'05_Datos_Historicos'!R156</f>
        <v/>
      </c>
      <c r="K94" s="368">
        <f>K93*(1+D94)</f>
        <v/>
      </c>
      <c r="L94" s="368">
        <f>L93*(1+G94)</f>
        <v/>
      </c>
    </row>
    <row r="95">
      <c r="C95" s="503">
        <f>'05_Datos_Historicos'!M157</f>
        <v/>
      </c>
      <c r="D95" s="524">
        <f>'05_Datos_Historicos'!S157</f>
        <v/>
      </c>
      <c r="E95" s="524">
        <f>'05_Datos_Historicos'!Q157</f>
        <v/>
      </c>
      <c r="F95" s="524">
        <f>D95-E95</f>
        <v/>
      </c>
      <c r="G95" s="524">
        <f>'05_Datos_Historicos'!T157</f>
        <v/>
      </c>
      <c r="H95" s="524">
        <f>'06_Parametros_Estrategias'!E43*E95+(1-'06_Parametros_Estrategias'!E43)*J95</f>
        <v/>
      </c>
      <c r="I95" s="524">
        <f>G95-H95</f>
        <v/>
      </c>
      <c r="J95" s="524">
        <f>'05_Datos_Historicos'!R157</f>
        <v/>
      </c>
      <c r="K95" s="368">
        <f>K94*(1+D95)</f>
        <v/>
      </c>
      <c r="L95" s="368">
        <f>L94*(1+G95)</f>
        <v/>
      </c>
    </row>
    <row r="96">
      <c r="C96" s="503">
        <f>'05_Datos_Historicos'!M158</f>
        <v/>
      </c>
      <c r="D96" s="524">
        <f>'05_Datos_Historicos'!S158</f>
        <v/>
      </c>
      <c r="E96" s="524">
        <f>'05_Datos_Historicos'!Q158</f>
        <v/>
      </c>
      <c r="F96" s="524">
        <f>D96-E96</f>
        <v/>
      </c>
      <c r="G96" s="524">
        <f>'05_Datos_Historicos'!T158</f>
        <v/>
      </c>
      <c r="H96" s="524">
        <f>'06_Parametros_Estrategias'!E43*E96+(1-'06_Parametros_Estrategias'!E43)*J96</f>
        <v/>
      </c>
      <c r="I96" s="524">
        <f>G96-H96</f>
        <v/>
      </c>
      <c r="J96" s="524">
        <f>'05_Datos_Historicos'!R158</f>
        <v/>
      </c>
      <c r="K96" s="368">
        <f>K95*(1+D96)</f>
        <v/>
      </c>
      <c r="L96" s="368">
        <f>L95*(1+G96)</f>
        <v/>
      </c>
    </row>
    <row r="97">
      <c r="C97" s="503">
        <f>'05_Datos_Historicos'!M159</f>
        <v/>
      </c>
      <c r="D97" s="524">
        <f>'05_Datos_Historicos'!S159</f>
        <v/>
      </c>
      <c r="E97" s="524">
        <f>'05_Datos_Historicos'!Q159</f>
        <v/>
      </c>
      <c r="F97" s="524">
        <f>D97-E97</f>
        <v/>
      </c>
      <c r="G97" s="524">
        <f>'05_Datos_Historicos'!T159</f>
        <v/>
      </c>
      <c r="H97" s="524">
        <f>'06_Parametros_Estrategias'!E43*E97+(1-'06_Parametros_Estrategias'!E43)*J97</f>
        <v/>
      </c>
      <c r="I97" s="524">
        <f>G97-H97</f>
        <v/>
      </c>
      <c r="J97" s="524">
        <f>'05_Datos_Historicos'!R159</f>
        <v/>
      </c>
      <c r="K97" s="368">
        <f>K96*(1+D97)</f>
        <v/>
      </c>
      <c r="L97" s="368">
        <f>L96*(1+G97)</f>
        <v/>
      </c>
    </row>
    <row r="98">
      <c r="C98" s="503">
        <f>'05_Datos_Historicos'!M160</f>
        <v/>
      </c>
      <c r="D98" s="524">
        <f>'05_Datos_Historicos'!S160</f>
        <v/>
      </c>
      <c r="E98" s="524">
        <f>'05_Datos_Historicos'!Q160</f>
        <v/>
      </c>
      <c r="F98" s="524">
        <f>D98-E98</f>
        <v/>
      </c>
      <c r="G98" s="524">
        <f>'05_Datos_Historicos'!T160</f>
        <v/>
      </c>
      <c r="H98" s="524">
        <f>'06_Parametros_Estrategias'!E43*E98+(1-'06_Parametros_Estrategias'!E43)*J98</f>
        <v/>
      </c>
      <c r="I98" s="524">
        <f>G98-H98</f>
        <v/>
      </c>
      <c r="J98" s="524">
        <f>'05_Datos_Historicos'!R160</f>
        <v/>
      </c>
      <c r="K98" s="368">
        <f>K97*(1+D98)</f>
        <v/>
      </c>
      <c r="L98" s="368">
        <f>L97*(1+G98)</f>
        <v/>
      </c>
    </row>
    <row r="99">
      <c r="C99" s="503">
        <f>'05_Datos_Historicos'!M161</f>
        <v/>
      </c>
      <c r="D99" s="524">
        <f>'05_Datos_Historicos'!S161</f>
        <v/>
      </c>
      <c r="E99" s="524">
        <f>'05_Datos_Historicos'!Q161</f>
        <v/>
      </c>
      <c r="F99" s="524">
        <f>D99-E99</f>
        <v/>
      </c>
      <c r="G99" s="524">
        <f>'05_Datos_Historicos'!T161</f>
        <v/>
      </c>
      <c r="H99" s="524">
        <f>'06_Parametros_Estrategias'!E43*E99+(1-'06_Parametros_Estrategias'!E43)*J99</f>
        <v/>
      </c>
      <c r="I99" s="524">
        <f>G99-H99</f>
        <v/>
      </c>
      <c r="J99" s="524">
        <f>'05_Datos_Historicos'!R161</f>
        <v/>
      </c>
      <c r="K99" s="368">
        <f>K98*(1+D99)</f>
        <v/>
      </c>
      <c r="L99" s="368">
        <f>L98*(1+G99)</f>
        <v/>
      </c>
    </row>
    <row r="100">
      <c r="C100" s="503">
        <f>'05_Datos_Historicos'!M162</f>
        <v/>
      </c>
      <c r="D100" s="524">
        <f>'05_Datos_Historicos'!S162</f>
        <v/>
      </c>
      <c r="E100" s="524">
        <f>'05_Datos_Historicos'!Q162</f>
        <v/>
      </c>
      <c r="F100" s="524">
        <f>D100-E100</f>
        <v/>
      </c>
      <c r="G100" s="524">
        <f>'05_Datos_Historicos'!T162</f>
        <v/>
      </c>
      <c r="H100" s="524">
        <f>'06_Parametros_Estrategias'!E43*E100+(1-'06_Parametros_Estrategias'!E43)*J100</f>
        <v/>
      </c>
      <c r="I100" s="524">
        <f>G100-H100</f>
        <v/>
      </c>
      <c r="J100" s="524">
        <f>'05_Datos_Historicos'!R162</f>
        <v/>
      </c>
      <c r="K100" s="368">
        <f>K99*(1+D100)</f>
        <v/>
      </c>
      <c r="L100" s="368">
        <f>L99*(1+G100)</f>
        <v/>
      </c>
    </row>
    <row r="101">
      <c r="C101" s="503">
        <f>'05_Datos_Historicos'!M163</f>
        <v/>
      </c>
      <c r="D101" s="524">
        <f>'05_Datos_Historicos'!S163</f>
        <v/>
      </c>
      <c r="E101" s="524">
        <f>'05_Datos_Historicos'!Q163</f>
        <v/>
      </c>
      <c r="F101" s="524">
        <f>D101-E101</f>
        <v/>
      </c>
      <c r="G101" s="524">
        <f>'05_Datos_Historicos'!T163</f>
        <v/>
      </c>
      <c r="H101" s="524">
        <f>'06_Parametros_Estrategias'!E43*E101+(1-'06_Parametros_Estrategias'!E43)*J101</f>
        <v/>
      </c>
      <c r="I101" s="524">
        <f>G101-H101</f>
        <v/>
      </c>
      <c r="J101" s="524">
        <f>'05_Datos_Historicos'!R163</f>
        <v/>
      </c>
      <c r="K101" s="368">
        <f>K100*(1+D101)</f>
        <v/>
      </c>
      <c r="L101" s="368">
        <f>L100*(1+G101)</f>
        <v/>
      </c>
    </row>
    <row r="102">
      <c r="C102" s="503">
        <f>'05_Datos_Historicos'!M164</f>
        <v/>
      </c>
      <c r="D102" s="524">
        <f>'05_Datos_Historicos'!S164</f>
        <v/>
      </c>
      <c r="E102" s="524">
        <f>'05_Datos_Historicos'!Q164</f>
        <v/>
      </c>
      <c r="F102" s="524">
        <f>D102-E102</f>
        <v/>
      </c>
      <c r="G102" s="524">
        <f>'05_Datos_Historicos'!T164</f>
        <v/>
      </c>
      <c r="H102" s="524">
        <f>'06_Parametros_Estrategias'!E43*E102+(1-'06_Parametros_Estrategias'!E43)*J102</f>
        <v/>
      </c>
      <c r="I102" s="524">
        <f>G102-H102</f>
        <v/>
      </c>
      <c r="J102" s="524">
        <f>'05_Datos_Historicos'!R164</f>
        <v/>
      </c>
      <c r="K102" s="368">
        <f>K101*(1+D102)</f>
        <v/>
      </c>
      <c r="L102" s="368">
        <f>L101*(1+G102)</f>
        <v/>
      </c>
    </row>
    <row r="103">
      <c r="C103" s="503">
        <f>'05_Datos_Historicos'!M165</f>
        <v/>
      </c>
      <c r="D103" s="524">
        <f>'05_Datos_Historicos'!S165</f>
        <v/>
      </c>
      <c r="E103" s="524">
        <f>'05_Datos_Historicos'!Q165</f>
        <v/>
      </c>
      <c r="F103" s="524">
        <f>D103-E103</f>
        <v/>
      </c>
      <c r="G103" s="524">
        <f>'05_Datos_Historicos'!T165</f>
        <v/>
      </c>
      <c r="H103" s="524">
        <f>'06_Parametros_Estrategias'!E43*E103+(1-'06_Parametros_Estrategias'!E43)*J103</f>
        <v/>
      </c>
      <c r="I103" s="524">
        <f>G103-H103</f>
        <v/>
      </c>
      <c r="J103" s="524">
        <f>'05_Datos_Historicos'!R165</f>
        <v/>
      </c>
      <c r="K103" s="368">
        <f>K102*(1+D103)</f>
        <v/>
      </c>
      <c r="L103" s="368">
        <f>L102*(1+G103)</f>
        <v/>
      </c>
    </row>
    <row r="104">
      <c r="C104" s="503">
        <f>'05_Datos_Historicos'!M166</f>
        <v/>
      </c>
      <c r="D104" s="524">
        <f>'05_Datos_Historicos'!S166</f>
        <v/>
      </c>
      <c r="E104" s="524">
        <f>'05_Datos_Historicos'!Q166</f>
        <v/>
      </c>
      <c r="F104" s="524">
        <f>D104-E104</f>
        <v/>
      </c>
      <c r="G104" s="524">
        <f>'05_Datos_Historicos'!T166</f>
        <v/>
      </c>
      <c r="H104" s="524">
        <f>'06_Parametros_Estrategias'!E43*E104+(1-'06_Parametros_Estrategias'!E43)*J104</f>
        <v/>
      </c>
      <c r="I104" s="524">
        <f>G104-H104</f>
        <v/>
      </c>
      <c r="J104" s="524">
        <f>'05_Datos_Historicos'!R166</f>
        <v/>
      </c>
      <c r="K104" s="368">
        <f>K103*(1+D104)</f>
        <v/>
      </c>
      <c r="L104" s="368">
        <f>L103*(1+G104)</f>
        <v/>
      </c>
    </row>
    <row r="105">
      <c r="C105" s="503">
        <f>'05_Datos_Historicos'!M167</f>
        <v/>
      </c>
      <c r="D105" s="524">
        <f>'05_Datos_Historicos'!S167</f>
        <v/>
      </c>
      <c r="E105" s="524">
        <f>'05_Datos_Historicos'!Q167</f>
        <v/>
      </c>
      <c r="F105" s="524">
        <f>D105-E105</f>
        <v/>
      </c>
      <c r="G105" s="524">
        <f>'05_Datos_Historicos'!T167</f>
        <v/>
      </c>
      <c r="H105" s="524">
        <f>'06_Parametros_Estrategias'!E43*E105+(1-'06_Parametros_Estrategias'!E43)*J105</f>
        <v/>
      </c>
      <c r="I105" s="524">
        <f>G105-H105</f>
        <v/>
      </c>
      <c r="J105" s="524">
        <f>'05_Datos_Historicos'!R167</f>
        <v/>
      </c>
      <c r="K105" s="368">
        <f>K104*(1+D105)</f>
        <v/>
      </c>
      <c r="L105" s="368">
        <f>L104*(1+G105)</f>
        <v/>
      </c>
    </row>
    <row r="106">
      <c r="C106" s="503">
        <f>'05_Datos_Historicos'!M168</f>
        <v/>
      </c>
      <c r="D106" s="524">
        <f>'05_Datos_Historicos'!S168</f>
        <v/>
      </c>
      <c r="E106" s="524">
        <f>'05_Datos_Historicos'!Q168</f>
        <v/>
      </c>
      <c r="F106" s="524">
        <f>D106-E106</f>
        <v/>
      </c>
      <c r="G106" s="524">
        <f>'05_Datos_Historicos'!T168</f>
        <v/>
      </c>
      <c r="H106" s="524">
        <f>'06_Parametros_Estrategias'!E43*E106+(1-'06_Parametros_Estrategias'!E43)*J106</f>
        <v/>
      </c>
      <c r="I106" s="524">
        <f>G106-H106</f>
        <v/>
      </c>
      <c r="J106" s="524">
        <f>'05_Datos_Historicos'!R168</f>
        <v/>
      </c>
      <c r="K106" s="368">
        <f>K105*(1+D106)</f>
        <v/>
      </c>
      <c r="L106" s="368">
        <f>L105*(1+G106)</f>
        <v/>
      </c>
    </row>
    <row r="107">
      <c r="C107" s="503">
        <f>'05_Datos_Historicos'!M169</f>
        <v/>
      </c>
      <c r="D107" s="524">
        <f>'05_Datos_Historicos'!S169</f>
        <v/>
      </c>
      <c r="E107" s="524">
        <f>'05_Datos_Historicos'!Q169</f>
        <v/>
      </c>
      <c r="F107" s="524">
        <f>D107-E107</f>
        <v/>
      </c>
      <c r="G107" s="524">
        <f>'05_Datos_Historicos'!T169</f>
        <v/>
      </c>
      <c r="H107" s="524">
        <f>'06_Parametros_Estrategias'!E43*E107+(1-'06_Parametros_Estrategias'!E43)*J107</f>
        <v/>
      </c>
      <c r="I107" s="524">
        <f>G107-H107</f>
        <v/>
      </c>
      <c r="J107" s="524">
        <f>'05_Datos_Historicos'!R169</f>
        <v/>
      </c>
      <c r="K107" s="368">
        <f>K106*(1+D107)</f>
        <v/>
      </c>
      <c r="L107" s="368">
        <f>L106*(1+G107)</f>
        <v/>
      </c>
    </row>
    <row r="108">
      <c r="C108" s="503">
        <f>'05_Datos_Historicos'!M170</f>
        <v/>
      </c>
      <c r="D108" s="524">
        <f>'05_Datos_Historicos'!S170</f>
        <v/>
      </c>
      <c r="E108" s="524">
        <f>'05_Datos_Historicos'!Q170</f>
        <v/>
      </c>
      <c r="F108" s="524">
        <f>D108-E108</f>
        <v/>
      </c>
      <c r="G108" s="524">
        <f>'05_Datos_Historicos'!T170</f>
        <v/>
      </c>
      <c r="H108" s="524">
        <f>'06_Parametros_Estrategias'!E43*E108+(1-'06_Parametros_Estrategias'!E43)*J108</f>
        <v/>
      </c>
      <c r="I108" s="524">
        <f>G108-H108</f>
        <v/>
      </c>
      <c r="J108" s="524">
        <f>'05_Datos_Historicos'!R170</f>
        <v/>
      </c>
      <c r="K108" s="368">
        <f>K107*(1+D108)</f>
        <v/>
      </c>
      <c r="L108" s="368">
        <f>L107*(1+G108)</f>
        <v/>
      </c>
    </row>
    <row r="109">
      <c r="C109" s="503">
        <f>'05_Datos_Historicos'!M171</f>
        <v/>
      </c>
      <c r="D109" s="524">
        <f>'05_Datos_Historicos'!S171</f>
        <v/>
      </c>
      <c r="E109" s="524">
        <f>'05_Datos_Historicos'!Q171</f>
        <v/>
      </c>
      <c r="F109" s="524">
        <f>D109-E109</f>
        <v/>
      </c>
      <c r="G109" s="524">
        <f>'05_Datos_Historicos'!T171</f>
        <v/>
      </c>
      <c r="H109" s="524">
        <f>'06_Parametros_Estrategias'!E43*E109+(1-'06_Parametros_Estrategias'!E43)*J109</f>
        <v/>
      </c>
      <c r="I109" s="524">
        <f>G109-H109</f>
        <v/>
      </c>
      <c r="J109" s="524">
        <f>'05_Datos_Historicos'!R171</f>
        <v/>
      </c>
      <c r="K109" s="368">
        <f>K108*(1+D109)</f>
        <v/>
      </c>
      <c r="L109" s="368">
        <f>L108*(1+G109)</f>
        <v/>
      </c>
    </row>
    <row r="110">
      <c r="C110" s="503">
        <f>'05_Datos_Historicos'!M172</f>
        <v/>
      </c>
      <c r="D110" s="524">
        <f>'05_Datos_Historicos'!S172</f>
        <v/>
      </c>
      <c r="E110" s="524">
        <f>'05_Datos_Historicos'!Q172</f>
        <v/>
      </c>
      <c r="F110" s="524">
        <f>D110-E110</f>
        <v/>
      </c>
      <c r="G110" s="524">
        <f>'05_Datos_Historicos'!T172</f>
        <v/>
      </c>
      <c r="H110" s="524">
        <f>'06_Parametros_Estrategias'!E43*E110+(1-'06_Parametros_Estrategias'!E43)*J110</f>
        <v/>
      </c>
      <c r="I110" s="524">
        <f>G110-H110</f>
        <v/>
      </c>
      <c r="J110" s="524">
        <f>'05_Datos_Historicos'!R172</f>
        <v/>
      </c>
      <c r="K110" s="368">
        <f>K109*(1+D110)</f>
        <v/>
      </c>
      <c r="L110" s="368">
        <f>L109*(1+G110)</f>
        <v/>
      </c>
    </row>
    <row r="111">
      <c r="C111" s="503">
        <f>'05_Datos_Historicos'!M173</f>
        <v/>
      </c>
      <c r="D111" s="524">
        <f>'05_Datos_Historicos'!S173</f>
        <v/>
      </c>
      <c r="E111" s="524">
        <f>'05_Datos_Historicos'!Q173</f>
        <v/>
      </c>
      <c r="F111" s="524">
        <f>D111-E111</f>
        <v/>
      </c>
      <c r="G111" s="524">
        <f>'05_Datos_Historicos'!T173</f>
        <v/>
      </c>
      <c r="H111" s="524">
        <f>'06_Parametros_Estrategias'!E43*E111+(1-'06_Parametros_Estrategias'!E43)*J111</f>
        <v/>
      </c>
      <c r="I111" s="524">
        <f>G111-H111</f>
        <v/>
      </c>
      <c r="J111" s="524">
        <f>'05_Datos_Historicos'!R173</f>
        <v/>
      </c>
      <c r="K111" s="368">
        <f>K110*(1+D111)</f>
        <v/>
      </c>
      <c r="L111" s="368">
        <f>L110*(1+G111)</f>
        <v/>
      </c>
    </row>
    <row r="112">
      <c r="C112" s="503">
        <f>'05_Datos_Historicos'!M174</f>
        <v/>
      </c>
      <c r="D112" s="524">
        <f>'05_Datos_Historicos'!S174</f>
        <v/>
      </c>
      <c r="E112" s="524">
        <f>'05_Datos_Historicos'!Q174</f>
        <v/>
      </c>
      <c r="F112" s="524">
        <f>D112-E112</f>
        <v/>
      </c>
      <c r="G112" s="524">
        <f>'05_Datos_Historicos'!T174</f>
        <v/>
      </c>
      <c r="H112" s="524">
        <f>'06_Parametros_Estrategias'!E43*E112+(1-'06_Parametros_Estrategias'!E43)*J112</f>
        <v/>
      </c>
      <c r="I112" s="524">
        <f>G112-H112</f>
        <v/>
      </c>
      <c r="J112" s="524">
        <f>'05_Datos_Historicos'!R174</f>
        <v/>
      </c>
      <c r="K112" s="368">
        <f>K111*(1+D112)</f>
        <v/>
      </c>
      <c r="L112" s="368">
        <f>L111*(1+G112)</f>
        <v/>
      </c>
    </row>
    <row r="113">
      <c r="C113" s="503">
        <f>'05_Datos_Historicos'!M175</f>
        <v/>
      </c>
      <c r="D113" s="524">
        <f>'05_Datos_Historicos'!S175</f>
        <v/>
      </c>
      <c r="E113" s="524">
        <f>'05_Datos_Historicos'!Q175</f>
        <v/>
      </c>
      <c r="F113" s="524">
        <f>D113-E113</f>
        <v/>
      </c>
      <c r="G113" s="524">
        <f>'05_Datos_Historicos'!T175</f>
        <v/>
      </c>
      <c r="H113" s="524">
        <f>'06_Parametros_Estrategias'!E43*E113+(1-'06_Parametros_Estrategias'!E43)*J113</f>
        <v/>
      </c>
      <c r="I113" s="524">
        <f>G113-H113</f>
        <v/>
      </c>
      <c r="J113" s="524">
        <f>'05_Datos_Historicos'!R175</f>
        <v/>
      </c>
      <c r="K113" s="368">
        <f>K112*(1+D113)</f>
        <v/>
      </c>
      <c r="L113" s="368">
        <f>L112*(1+G113)</f>
        <v/>
      </c>
    </row>
    <row r="114">
      <c r="C114" s="503">
        <f>'05_Datos_Historicos'!M176</f>
        <v/>
      </c>
      <c r="D114" s="524">
        <f>'05_Datos_Historicos'!S176</f>
        <v/>
      </c>
      <c r="E114" s="524">
        <f>'05_Datos_Historicos'!Q176</f>
        <v/>
      </c>
      <c r="F114" s="524">
        <f>D114-E114</f>
        <v/>
      </c>
      <c r="G114" s="524">
        <f>'05_Datos_Historicos'!T176</f>
        <v/>
      </c>
      <c r="H114" s="524">
        <f>'06_Parametros_Estrategias'!E43*E114+(1-'06_Parametros_Estrategias'!E43)*J114</f>
        <v/>
      </c>
      <c r="I114" s="524">
        <f>G114-H114</f>
        <v/>
      </c>
      <c r="J114" s="524">
        <f>'05_Datos_Historicos'!R176</f>
        <v/>
      </c>
      <c r="K114" s="368">
        <f>K113*(1+D114)</f>
        <v/>
      </c>
      <c r="L114" s="368">
        <f>L113*(1+G114)</f>
        <v/>
      </c>
    </row>
    <row r="115">
      <c r="C115" s="503">
        <f>'05_Datos_Historicos'!M177</f>
        <v/>
      </c>
      <c r="D115" s="524">
        <f>'05_Datos_Historicos'!S177</f>
        <v/>
      </c>
      <c r="E115" s="524">
        <f>'05_Datos_Historicos'!Q177</f>
        <v/>
      </c>
      <c r="F115" s="524">
        <f>D115-E115</f>
        <v/>
      </c>
      <c r="G115" s="524">
        <f>'05_Datos_Historicos'!T177</f>
        <v/>
      </c>
      <c r="H115" s="524">
        <f>'06_Parametros_Estrategias'!E43*E115+(1-'06_Parametros_Estrategias'!E43)*J115</f>
        <v/>
      </c>
      <c r="I115" s="524">
        <f>G115-H115</f>
        <v/>
      </c>
      <c r="J115" s="524">
        <f>'05_Datos_Historicos'!R177</f>
        <v/>
      </c>
      <c r="K115" s="368">
        <f>K114*(1+D115)</f>
        <v/>
      </c>
      <c r="L115" s="368">
        <f>L114*(1+G115)</f>
        <v/>
      </c>
    </row>
    <row r="116">
      <c r="C116" s="503">
        <f>'05_Datos_Historicos'!M178</f>
        <v/>
      </c>
      <c r="D116" s="524">
        <f>'05_Datos_Historicos'!S178</f>
        <v/>
      </c>
      <c r="E116" s="524">
        <f>'05_Datos_Historicos'!Q178</f>
        <v/>
      </c>
      <c r="F116" s="524">
        <f>D116-E116</f>
        <v/>
      </c>
      <c r="G116" s="524">
        <f>'05_Datos_Historicos'!T178</f>
        <v/>
      </c>
      <c r="H116" s="524">
        <f>'06_Parametros_Estrategias'!E43*E116+(1-'06_Parametros_Estrategias'!E43)*J116</f>
        <v/>
      </c>
      <c r="I116" s="524">
        <f>G116-H116</f>
        <v/>
      </c>
      <c r="J116" s="524">
        <f>'05_Datos_Historicos'!R178</f>
        <v/>
      </c>
      <c r="K116" s="368">
        <f>K115*(1+D116)</f>
        <v/>
      </c>
      <c r="L116" s="368">
        <f>L115*(1+G116)</f>
        <v/>
      </c>
    </row>
    <row r="117">
      <c r="C117" s="503">
        <f>'05_Datos_Historicos'!M179</f>
        <v/>
      </c>
      <c r="D117" s="524">
        <f>'05_Datos_Historicos'!S179</f>
        <v/>
      </c>
      <c r="E117" s="524">
        <f>'05_Datos_Historicos'!Q179</f>
        <v/>
      </c>
      <c r="F117" s="524">
        <f>D117-E117</f>
        <v/>
      </c>
      <c r="G117" s="524">
        <f>'05_Datos_Historicos'!T179</f>
        <v/>
      </c>
      <c r="H117" s="524">
        <f>'06_Parametros_Estrategias'!E43*E117+(1-'06_Parametros_Estrategias'!E43)*J117</f>
        <v/>
      </c>
      <c r="I117" s="524">
        <f>G117-H117</f>
        <v/>
      </c>
      <c r="J117" s="524">
        <f>'05_Datos_Historicos'!R179</f>
        <v/>
      </c>
      <c r="K117" s="368">
        <f>K116*(1+D117)</f>
        <v/>
      </c>
      <c r="L117" s="368">
        <f>L116*(1+G117)</f>
        <v/>
      </c>
    </row>
    <row r="118">
      <c r="C118" s="503">
        <f>'05_Datos_Historicos'!M180</f>
        <v/>
      </c>
      <c r="D118" s="524">
        <f>'05_Datos_Historicos'!S180</f>
        <v/>
      </c>
      <c r="E118" s="524">
        <f>'05_Datos_Historicos'!Q180</f>
        <v/>
      </c>
      <c r="F118" s="524">
        <f>D118-E118</f>
        <v/>
      </c>
      <c r="G118" s="524">
        <f>'05_Datos_Historicos'!T180</f>
        <v/>
      </c>
      <c r="H118" s="524">
        <f>'06_Parametros_Estrategias'!E43*E118+(1-'06_Parametros_Estrategias'!E43)*J118</f>
        <v/>
      </c>
      <c r="I118" s="524">
        <f>G118-H118</f>
        <v/>
      </c>
      <c r="J118" s="524">
        <f>'05_Datos_Historicos'!R180</f>
        <v/>
      </c>
      <c r="K118" s="368">
        <f>K117*(1+D118)</f>
        <v/>
      </c>
      <c r="L118" s="368">
        <f>L117*(1+G118)</f>
        <v/>
      </c>
    </row>
    <row r="119">
      <c r="C119" s="503">
        <f>'05_Datos_Historicos'!M181</f>
        <v/>
      </c>
      <c r="D119" s="524">
        <f>'05_Datos_Historicos'!S181</f>
        <v/>
      </c>
      <c r="E119" s="524">
        <f>'05_Datos_Historicos'!Q181</f>
        <v/>
      </c>
      <c r="F119" s="524">
        <f>D119-E119</f>
        <v/>
      </c>
      <c r="G119" s="524">
        <f>'05_Datos_Historicos'!T181</f>
        <v/>
      </c>
      <c r="H119" s="524">
        <f>'06_Parametros_Estrategias'!E43*E119+(1-'06_Parametros_Estrategias'!E43)*J119</f>
        <v/>
      </c>
      <c r="I119" s="524">
        <f>G119-H119</f>
        <v/>
      </c>
      <c r="J119" s="524">
        <f>'05_Datos_Historicos'!R181</f>
        <v/>
      </c>
      <c r="K119" s="368">
        <f>K118*(1+D119)</f>
        <v/>
      </c>
      <c r="L119" s="368">
        <f>L118*(1+G119)</f>
        <v/>
      </c>
    </row>
    <row r="120">
      <c r="C120" s="503">
        <f>'05_Datos_Historicos'!M182</f>
        <v/>
      </c>
      <c r="D120" s="524">
        <f>'05_Datos_Historicos'!S182</f>
        <v/>
      </c>
      <c r="E120" s="524">
        <f>'05_Datos_Historicos'!Q182</f>
        <v/>
      </c>
      <c r="F120" s="524">
        <f>D120-E120</f>
        <v/>
      </c>
      <c r="G120" s="524">
        <f>'05_Datos_Historicos'!T182</f>
        <v/>
      </c>
      <c r="H120" s="524">
        <f>'06_Parametros_Estrategias'!E43*E120+(1-'06_Parametros_Estrategias'!E43)*J120</f>
        <v/>
      </c>
      <c r="I120" s="524">
        <f>G120-H120</f>
        <v/>
      </c>
      <c r="J120" s="524">
        <f>'05_Datos_Historicos'!R182</f>
        <v/>
      </c>
      <c r="K120" s="368">
        <f>K119*(1+D120)</f>
        <v/>
      </c>
      <c r="L120" s="368">
        <f>L119*(1+G120)</f>
        <v/>
      </c>
    </row>
    <row r="121">
      <c r="C121" s="503">
        <f>'05_Datos_Historicos'!M183</f>
        <v/>
      </c>
      <c r="D121" s="524">
        <f>'05_Datos_Historicos'!S183</f>
        <v/>
      </c>
      <c r="E121" s="524">
        <f>'05_Datos_Historicos'!Q183</f>
        <v/>
      </c>
      <c r="F121" s="524">
        <f>D121-E121</f>
        <v/>
      </c>
      <c r="G121" s="524">
        <f>'05_Datos_Historicos'!T183</f>
        <v/>
      </c>
      <c r="H121" s="524">
        <f>'06_Parametros_Estrategias'!E43*E121+(1-'06_Parametros_Estrategias'!E43)*J121</f>
        <v/>
      </c>
      <c r="I121" s="524">
        <f>G121-H121</f>
        <v/>
      </c>
      <c r="J121" s="524">
        <f>'05_Datos_Historicos'!R183</f>
        <v/>
      </c>
      <c r="K121" s="368">
        <f>K120*(1+D121)</f>
        <v/>
      </c>
      <c r="L121" s="368">
        <f>L120*(1+G121)</f>
        <v/>
      </c>
    </row>
    <row r="122">
      <c r="C122" s="503">
        <f>'05_Datos_Historicos'!M184</f>
        <v/>
      </c>
      <c r="D122" s="524">
        <f>'05_Datos_Historicos'!S184</f>
        <v/>
      </c>
      <c r="E122" s="524">
        <f>'05_Datos_Historicos'!Q184</f>
        <v/>
      </c>
      <c r="F122" s="524">
        <f>D122-E122</f>
        <v/>
      </c>
      <c r="G122" s="524">
        <f>'05_Datos_Historicos'!T184</f>
        <v/>
      </c>
      <c r="H122" s="524">
        <f>'06_Parametros_Estrategias'!E43*E122+(1-'06_Parametros_Estrategias'!E43)*J122</f>
        <v/>
      </c>
      <c r="I122" s="524">
        <f>G122-H122</f>
        <v/>
      </c>
      <c r="J122" s="524">
        <f>'05_Datos_Historicos'!R184</f>
        <v/>
      </c>
      <c r="K122" s="368">
        <f>K121*(1+D122)</f>
        <v/>
      </c>
      <c r="L122" s="368">
        <f>L121*(1+G122)</f>
        <v/>
      </c>
    </row>
    <row r="123">
      <c r="C123" s="503">
        <f>'05_Datos_Historicos'!M185</f>
        <v/>
      </c>
      <c r="D123" s="524">
        <f>'05_Datos_Historicos'!S185</f>
        <v/>
      </c>
      <c r="E123" s="524">
        <f>'05_Datos_Historicos'!Q185</f>
        <v/>
      </c>
      <c r="F123" s="524">
        <f>D123-E123</f>
        <v/>
      </c>
      <c r="G123" s="524">
        <f>'05_Datos_Historicos'!T185</f>
        <v/>
      </c>
      <c r="H123" s="524">
        <f>'06_Parametros_Estrategias'!E43*E123+(1-'06_Parametros_Estrategias'!E43)*J123</f>
        <v/>
      </c>
      <c r="I123" s="524">
        <f>G123-H123</f>
        <v/>
      </c>
      <c r="J123" s="524">
        <f>'05_Datos_Historicos'!R185</f>
        <v/>
      </c>
      <c r="K123" s="368">
        <f>K122*(1+D123)</f>
        <v/>
      </c>
      <c r="L123" s="368">
        <f>L122*(1+G123)</f>
        <v/>
      </c>
    </row>
    <row r="124">
      <c r="C124" s="503">
        <f>'05_Datos_Historicos'!M186</f>
        <v/>
      </c>
      <c r="D124" s="524">
        <f>'05_Datos_Historicos'!S186</f>
        <v/>
      </c>
      <c r="E124" s="524">
        <f>'05_Datos_Historicos'!Q186</f>
        <v/>
      </c>
      <c r="F124" s="524">
        <f>D124-E124</f>
        <v/>
      </c>
      <c r="G124" s="524">
        <f>'05_Datos_Historicos'!T186</f>
        <v/>
      </c>
      <c r="H124" s="524">
        <f>'06_Parametros_Estrategias'!E43*E124+(1-'06_Parametros_Estrategias'!E43)*J124</f>
        <v/>
      </c>
      <c r="I124" s="524">
        <f>G124-H124</f>
        <v/>
      </c>
      <c r="J124" s="524">
        <f>'05_Datos_Historicos'!R186</f>
        <v/>
      </c>
      <c r="K124" s="368">
        <f>K123*(1+D124)</f>
        <v/>
      </c>
      <c r="L124" s="368">
        <f>L123*(1+G124)</f>
        <v/>
      </c>
    </row>
    <row r="125">
      <c r="C125" s="503">
        <f>'05_Datos_Historicos'!M187</f>
        <v/>
      </c>
      <c r="D125" s="524">
        <f>'05_Datos_Historicos'!S187</f>
        <v/>
      </c>
      <c r="E125" s="524">
        <f>'05_Datos_Historicos'!Q187</f>
        <v/>
      </c>
      <c r="F125" s="524">
        <f>D125-E125</f>
        <v/>
      </c>
      <c r="G125" s="524">
        <f>'05_Datos_Historicos'!T187</f>
        <v/>
      </c>
      <c r="H125" s="524">
        <f>'06_Parametros_Estrategias'!E43*E125+(1-'06_Parametros_Estrategias'!E43)*J125</f>
        <v/>
      </c>
      <c r="I125" s="524">
        <f>G125-H125</f>
        <v/>
      </c>
      <c r="J125" s="524">
        <f>'05_Datos_Historicos'!R187</f>
        <v/>
      </c>
      <c r="K125" s="368">
        <f>K124*(1+D125)</f>
        <v/>
      </c>
      <c r="L125" s="368">
        <f>L124*(1+G125)</f>
        <v/>
      </c>
    </row>
    <row r="126">
      <c r="C126" s="503">
        <f>'05_Datos_Historicos'!M188</f>
        <v/>
      </c>
      <c r="D126" s="524">
        <f>'05_Datos_Historicos'!S188</f>
        <v/>
      </c>
      <c r="E126" s="524">
        <f>'05_Datos_Historicos'!Q188</f>
        <v/>
      </c>
      <c r="F126" s="524">
        <f>D126-E126</f>
        <v/>
      </c>
      <c r="G126" s="524">
        <f>'05_Datos_Historicos'!T188</f>
        <v/>
      </c>
      <c r="H126" s="524">
        <f>'06_Parametros_Estrategias'!E43*E126+(1-'06_Parametros_Estrategias'!E43)*J126</f>
        <v/>
      </c>
      <c r="I126" s="524">
        <f>G126-H126</f>
        <v/>
      </c>
      <c r="J126" s="524">
        <f>'05_Datos_Historicos'!R188</f>
        <v/>
      </c>
      <c r="K126" s="368">
        <f>K125*(1+D126)</f>
        <v/>
      </c>
      <c r="L126" s="368">
        <f>L125*(1+G126)</f>
        <v/>
      </c>
    </row>
    <row r="127">
      <c r="C127" s="503">
        <f>'05_Datos_Historicos'!M189</f>
        <v/>
      </c>
      <c r="D127" s="524">
        <f>'05_Datos_Historicos'!S189</f>
        <v/>
      </c>
      <c r="E127" s="524">
        <f>'05_Datos_Historicos'!Q189</f>
        <v/>
      </c>
      <c r="F127" s="524">
        <f>D127-E127</f>
        <v/>
      </c>
      <c r="G127" s="524">
        <f>'05_Datos_Historicos'!T189</f>
        <v/>
      </c>
      <c r="H127" s="524">
        <f>'06_Parametros_Estrategias'!E43*E127+(1-'06_Parametros_Estrategias'!E43)*J127</f>
        <v/>
      </c>
      <c r="I127" s="524">
        <f>G127-H127</f>
        <v/>
      </c>
      <c r="J127" s="524">
        <f>'05_Datos_Historicos'!R189</f>
        <v/>
      </c>
      <c r="K127" s="368">
        <f>K126*(1+D127)</f>
        <v/>
      </c>
      <c r="L127" s="368">
        <f>L126*(1+G127)</f>
        <v/>
      </c>
    </row>
    <row r="128">
      <c r="C128" s="503">
        <f>'05_Datos_Historicos'!M190</f>
        <v/>
      </c>
      <c r="D128" s="524">
        <f>'05_Datos_Historicos'!S190</f>
        <v/>
      </c>
      <c r="E128" s="524">
        <f>'05_Datos_Historicos'!Q190</f>
        <v/>
      </c>
      <c r="F128" s="524">
        <f>D128-E128</f>
        <v/>
      </c>
      <c r="G128" s="524">
        <f>'05_Datos_Historicos'!T190</f>
        <v/>
      </c>
      <c r="H128" s="524">
        <f>'06_Parametros_Estrategias'!E43*E128+(1-'06_Parametros_Estrategias'!E43)*J128</f>
        <v/>
      </c>
      <c r="I128" s="524">
        <f>G128-H128</f>
        <v/>
      </c>
      <c r="J128" s="524">
        <f>'05_Datos_Historicos'!R190</f>
        <v/>
      </c>
      <c r="K128" s="368">
        <f>K127*(1+D128)</f>
        <v/>
      </c>
      <c r="L128" s="368">
        <f>L127*(1+G128)</f>
        <v/>
      </c>
    </row>
    <row r="129">
      <c r="C129" s="503">
        <f>'05_Datos_Historicos'!M191</f>
        <v/>
      </c>
      <c r="D129" s="524">
        <f>'05_Datos_Historicos'!S191</f>
        <v/>
      </c>
      <c r="E129" s="524">
        <f>'05_Datos_Historicos'!Q191</f>
        <v/>
      </c>
      <c r="F129" s="524">
        <f>D129-E129</f>
        <v/>
      </c>
      <c r="G129" s="524">
        <f>'05_Datos_Historicos'!T191</f>
        <v/>
      </c>
      <c r="H129" s="524">
        <f>'06_Parametros_Estrategias'!E43*E129+(1-'06_Parametros_Estrategias'!E43)*J129</f>
        <v/>
      </c>
      <c r="I129" s="524">
        <f>G129-H129</f>
        <v/>
      </c>
      <c r="J129" s="524">
        <f>'05_Datos_Historicos'!R191</f>
        <v/>
      </c>
      <c r="K129" s="368">
        <f>K128*(1+D129)</f>
        <v/>
      </c>
      <c r="L129" s="368">
        <f>L128*(1+G129)</f>
        <v/>
      </c>
    </row>
    <row r="130">
      <c r="C130" s="503">
        <f>'05_Datos_Historicos'!M192</f>
        <v/>
      </c>
      <c r="D130" s="524">
        <f>'05_Datos_Historicos'!S192</f>
        <v/>
      </c>
      <c r="E130" s="524">
        <f>'05_Datos_Historicos'!Q192</f>
        <v/>
      </c>
      <c r="F130" s="524">
        <f>D130-E130</f>
        <v/>
      </c>
      <c r="G130" s="524">
        <f>'05_Datos_Historicos'!T192</f>
        <v/>
      </c>
      <c r="H130" s="524">
        <f>'06_Parametros_Estrategias'!E43*E130+(1-'06_Parametros_Estrategias'!E43)*J130</f>
        <v/>
      </c>
      <c r="I130" s="524">
        <f>G130-H130</f>
        <v/>
      </c>
      <c r="J130" s="524">
        <f>'05_Datos_Historicos'!R192</f>
        <v/>
      </c>
      <c r="K130" s="368">
        <f>K129*(1+D130)</f>
        <v/>
      </c>
      <c r="L130" s="368">
        <f>L129*(1+G130)</f>
        <v/>
      </c>
    </row>
    <row r="131">
      <c r="C131" s="503">
        <f>'05_Datos_Historicos'!M193</f>
        <v/>
      </c>
      <c r="D131" s="524">
        <f>'05_Datos_Historicos'!S193</f>
        <v/>
      </c>
      <c r="E131" s="524">
        <f>'05_Datos_Historicos'!Q193</f>
        <v/>
      </c>
      <c r="F131" s="524">
        <f>D131-E131</f>
        <v/>
      </c>
      <c r="G131" s="524">
        <f>'05_Datos_Historicos'!T193</f>
        <v/>
      </c>
      <c r="H131" s="524">
        <f>'06_Parametros_Estrategias'!E43*E131+(1-'06_Parametros_Estrategias'!E43)*J131</f>
        <v/>
      </c>
      <c r="I131" s="524">
        <f>G131-H131</f>
        <v/>
      </c>
      <c r="J131" s="524">
        <f>'05_Datos_Historicos'!R193</f>
        <v/>
      </c>
      <c r="K131" s="368">
        <f>K130*(1+D131)</f>
        <v/>
      </c>
      <c r="L131" s="368">
        <f>L130*(1+G131)</f>
        <v/>
      </c>
    </row>
    <row r="132">
      <c r="C132" s="503">
        <f>'05_Datos_Historicos'!M194</f>
        <v/>
      </c>
      <c r="D132" s="524">
        <f>'05_Datos_Historicos'!S194</f>
        <v/>
      </c>
      <c r="E132" s="524">
        <f>'05_Datos_Historicos'!Q194</f>
        <v/>
      </c>
      <c r="F132" s="524">
        <f>D132-E132</f>
        <v/>
      </c>
      <c r="G132" s="524">
        <f>'05_Datos_Historicos'!T194</f>
        <v/>
      </c>
      <c r="H132" s="524">
        <f>'06_Parametros_Estrategias'!E43*E132+(1-'06_Parametros_Estrategias'!E43)*J132</f>
        <v/>
      </c>
      <c r="I132" s="524">
        <f>G132-H132</f>
        <v/>
      </c>
      <c r="J132" s="524">
        <f>'05_Datos_Historicos'!R194</f>
        <v/>
      </c>
      <c r="K132" s="368">
        <f>K131*(1+D132)</f>
        <v/>
      </c>
      <c r="L132" s="368">
        <f>L131*(1+G132)</f>
        <v/>
      </c>
    </row>
    <row r="133">
      <c r="C133" s="503">
        <f>'05_Datos_Historicos'!M195</f>
        <v/>
      </c>
      <c r="D133" s="524">
        <f>'05_Datos_Historicos'!S195</f>
        <v/>
      </c>
      <c r="E133" s="524">
        <f>'05_Datos_Historicos'!Q195</f>
        <v/>
      </c>
      <c r="F133" s="524">
        <f>D133-E133</f>
        <v/>
      </c>
      <c r="G133" s="524">
        <f>'05_Datos_Historicos'!T195</f>
        <v/>
      </c>
      <c r="H133" s="524">
        <f>'06_Parametros_Estrategias'!E43*E133+(1-'06_Parametros_Estrategias'!E43)*J133</f>
        <v/>
      </c>
      <c r="I133" s="524">
        <f>G133-H133</f>
        <v/>
      </c>
      <c r="J133" s="524">
        <f>'05_Datos_Historicos'!R195</f>
        <v/>
      </c>
      <c r="K133" s="368">
        <f>K132*(1+D133)</f>
        <v/>
      </c>
      <c r="L133" s="368">
        <f>L132*(1+G133)</f>
        <v/>
      </c>
    </row>
    <row r="134">
      <c r="C134" s="503">
        <f>'05_Datos_Historicos'!M196</f>
        <v/>
      </c>
      <c r="D134" s="524">
        <f>'05_Datos_Historicos'!S196</f>
        <v/>
      </c>
      <c r="E134" s="524">
        <f>'05_Datos_Historicos'!Q196</f>
        <v/>
      </c>
      <c r="F134" s="524">
        <f>D134-E134</f>
        <v/>
      </c>
      <c r="G134" s="524">
        <f>'05_Datos_Historicos'!T196</f>
        <v/>
      </c>
      <c r="H134" s="524">
        <f>'06_Parametros_Estrategias'!E43*E134+(1-'06_Parametros_Estrategias'!E43)*J134</f>
        <v/>
      </c>
      <c r="I134" s="524">
        <f>G134-H134</f>
        <v/>
      </c>
      <c r="J134" s="524">
        <f>'05_Datos_Historicos'!R196</f>
        <v/>
      </c>
      <c r="K134" s="368">
        <f>K133*(1+D134)</f>
        <v/>
      </c>
      <c r="L134" s="368">
        <f>L133*(1+G134)</f>
        <v/>
      </c>
    </row>
    <row r="135">
      <c r="C135" s="503">
        <f>'05_Datos_Historicos'!M197</f>
        <v/>
      </c>
      <c r="D135" s="524">
        <f>'05_Datos_Historicos'!S197</f>
        <v/>
      </c>
      <c r="E135" s="524">
        <f>'05_Datos_Historicos'!Q197</f>
        <v/>
      </c>
      <c r="F135" s="524">
        <f>D135-E135</f>
        <v/>
      </c>
      <c r="G135" s="524">
        <f>'05_Datos_Historicos'!T197</f>
        <v/>
      </c>
      <c r="H135" s="524">
        <f>'06_Parametros_Estrategias'!E43*E135+(1-'06_Parametros_Estrategias'!E43)*J135</f>
        <v/>
      </c>
      <c r="I135" s="524">
        <f>G135-H135</f>
        <v/>
      </c>
      <c r="J135" s="524">
        <f>'05_Datos_Historicos'!R197</f>
        <v/>
      </c>
      <c r="K135" s="368">
        <f>K134*(1+D135)</f>
        <v/>
      </c>
      <c r="L135" s="368">
        <f>L134*(1+G135)</f>
        <v/>
      </c>
    </row>
    <row r="136">
      <c r="C136" s="503">
        <f>'05_Datos_Historicos'!M198</f>
        <v/>
      </c>
      <c r="D136" s="524">
        <f>'05_Datos_Historicos'!S198</f>
        <v/>
      </c>
      <c r="E136" s="524">
        <f>'05_Datos_Historicos'!Q198</f>
        <v/>
      </c>
      <c r="F136" s="524">
        <f>D136-E136</f>
        <v/>
      </c>
      <c r="G136" s="524">
        <f>'05_Datos_Historicos'!T198</f>
        <v/>
      </c>
      <c r="H136" s="524">
        <f>'06_Parametros_Estrategias'!E43*E136+(1-'06_Parametros_Estrategias'!E43)*J136</f>
        <v/>
      </c>
      <c r="I136" s="524">
        <f>G136-H136</f>
        <v/>
      </c>
      <c r="J136" s="524">
        <f>'05_Datos_Historicos'!R198</f>
        <v/>
      </c>
      <c r="K136" s="368">
        <f>K135*(1+D136)</f>
        <v/>
      </c>
      <c r="L136" s="368">
        <f>L135*(1+G136)</f>
        <v/>
      </c>
    </row>
    <row r="137">
      <c r="C137" s="503">
        <f>'05_Datos_Historicos'!M199</f>
        <v/>
      </c>
      <c r="D137" s="524">
        <f>'05_Datos_Historicos'!S199</f>
        <v/>
      </c>
      <c r="E137" s="524">
        <f>'05_Datos_Historicos'!Q199</f>
        <v/>
      </c>
      <c r="F137" s="524">
        <f>D137-E137</f>
        <v/>
      </c>
      <c r="G137" s="524">
        <f>'05_Datos_Historicos'!T199</f>
        <v/>
      </c>
      <c r="H137" s="524">
        <f>'06_Parametros_Estrategias'!E43*E137+(1-'06_Parametros_Estrategias'!E43)*J137</f>
        <v/>
      </c>
      <c r="I137" s="524">
        <f>G137-H137</f>
        <v/>
      </c>
      <c r="J137" s="524">
        <f>'05_Datos_Historicos'!R199</f>
        <v/>
      </c>
      <c r="K137" s="368">
        <f>K136*(1+D137)</f>
        <v/>
      </c>
      <c r="L137" s="368">
        <f>L136*(1+G137)</f>
        <v/>
      </c>
    </row>
    <row r="138">
      <c r="C138" s="503">
        <f>'05_Datos_Historicos'!M200</f>
        <v/>
      </c>
      <c r="D138" s="524">
        <f>'05_Datos_Historicos'!S200</f>
        <v/>
      </c>
      <c r="E138" s="524">
        <f>'05_Datos_Historicos'!Q200</f>
        <v/>
      </c>
      <c r="F138" s="524">
        <f>D138-E138</f>
        <v/>
      </c>
      <c r="G138" s="524">
        <f>'05_Datos_Historicos'!T200</f>
        <v/>
      </c>
      <c r="H138" s="524">
        <f>'06_Parametros_Estrategias'!E43*E138+(1-'06_Parametros_Estrategias'!E43)*J138</f>
        <v/>
      </c>
      <c r="I138" s="524">
        <f>G138-H138</f>
        <v/>
      </c>
      <c r="J138" s="524">
        <f>'05_Datos_Historicos'!R200</f>
        <v/>
      </c>
      <c r="K138" s="368">
        <f>K137*(1+D138)</f>
        <v/>
      </c>
      <c r="L138" s="368">
        <f>L137*(1+G138)</f>
        <v/>
      </c>
    </row>
    <row r="139">
      <c r="C139" s="503">
        <f>'05_Datos_Historicos'!M201</f>
        <v/>
      </c>
      <c r="D139" s="524">
        <f>'05_Datos_Historicos'!S201</f>
        <v/>
      </c>
      <c r="E139" s="524">
        <f>'05_Datos_Historicos'!Q201</f>
        <v/>
      </c>
      <c r="F139" s="524">
        <f>D139-E139</f>
        <v/>
      </c>
      <c r="G139" s="524">
        <f>'05_Datos_Historicos'!T201</f>
        <v/>
      </c>
      <c r="H139" s="524">
        <f>'06_Parametros_Estrategias'!E43*E139+(1-'06_Parametros_Estrategias'!E43)*J139</f>
        <v/>
      </c>
      <c r="I139" s="524">
        <f>G139-H139</f>
        <v/>
      </c>
      <c r="J139" s="524">
        <f>'05_Datos_Historicos'!R201</f>
        <v/>
      </c>
      <c r="K139" s="368">
        <f>K138*(1+D139)</f>
        <v/>
      </c>
      <c r="L139" s="368">
        <f>L138*(1+G139)</f>
        <v/>
      </c>
    </row>
    <row r="140">
      <c r="C140" s="503">
        <f>'05_Datos_Historicos'!M202</f>
        <v/>
      </c>
      <c r="D140" s="524">
        <f>'05_Datos_Historicos'!S202</f>
        <v/>
      </c>
      <c r="E140" s="524">
        <f>'05_Datos_Historicos'!Q202</f>
        <v/>
      </c>
      <c r="F140" s="524">
        <f>D140-E140</f>
        <v/>
      </c>
      <c r="G140" s="524">
        <f>'05_Datos_Historicos'!T202</f>
        <v/>
      </c>
      <c r="H140" s="524">
        <f>'06_Parametros_Estrategias'!E43*E140+(1-'06_Parametros_Estrategias'!E43)*J140</f>
        <v/>
      </c>
      <c r="I140" s="524">
        <f>G140-H140</f>
        <v/>
      </c>
      <c r="J140" s="524">
        <f>'05_Datos_Historicos'!R202</f>
        <v/>
      </c>
      <c r="K140" s="368">
        <f>K139*(1+D140)</f>
        <v/>
      </c>
      <c r="L140" s="368">
        <f>L139*(1+G140)</f>
        <v/>
      </c>
    </row>
    <row r="141">
      <c r="C141" s="503">
        <f>'05_Datos_Historicos'!M203</f>
        <v/>
      </c>
      <c r="D141" s="524">
        <f>'05_Datos_Historicos'!S203</f>
        <v/>
      </c>
      <c r="E141" s="524">
        <f>'05_Datos_Historicos'!Q203</f>
        <v/>
      </c>
      <c r="F141" s="524">
        <f>D141-E141</f>
        <v/>
      </c>
      <c r="G141" s="524">
        <f>'05_Datos_Historicos'!T203</f>
        <v/>
      </c>
      <c r="H141" s="524">
        <f>'06_Parametros_Estrategias'!E43*E141+(1-'06_Parametros_Estrategias'!E43)*J141</f>
        <v/>
      </c>
      <c r="I141" s="524">
        <f>G141-H141</f>
        <v/>
      </c>
      <c r="J141" s="524">
        <f>'05_Datos_Historicos'!R203</f>
        <v/>
      </c>
      <c r="K141" s="368">
        <f>K140*(1+D141)</f>
        <v/>
      </c>
      <c r="L141" s="368">
        <f>L140*(1+G141)</f>
        <v/>
      </c>
    </row>
    <row r="142">
      <c r="C142" s="503">
        <f>'05_Datos_Historicos'!M204</f>
        <v/>
      </c>
      <c r="D142" s="524">
        <f>'05_Datos_Historicos'!S204</f>
        <v/>
      </c>
      <c r="E142" s="524">
        <f>'05_Datos_Historicos'!Q204</f>
        <v/>
      </c>
      <c r="F142" s="524">
        <f>D142-E142</f>
        <v/>
      </c>
      <c r="G142" s="524">
        <f>'05_Datos_Historicos'!T204</f>
        <v/>
      </c>
      <c r="H142" s="524">
        <f>'06_Parametros_Estrategias'!E43*E142+(1-'06_Parametros_Estrategias'!E43)*J142</f>
        <v/>
      </c>
      <c r="I142" s="524">
        <f>G142-H142</f>
        <v/>
      </c>
      <c r="J142" s="524">
        <f>'05_Datos_Historicos'!R204</f>
        <v/>
      </c>
      <c r="K142" s="368">
        <f>K141*(1+D142)</f>
        <v/>
      </c>
      <c r="L142" s="368">
        <f>L141*(1+G142)</f>
        <v/>
      </c>
    </row>
    <row r="143">
      <c r="C143" s="503">
        <f>'05_Datos_Historicos'!M205</f>
        <v/>
      </c>
      <c r="D143" s="524">
        <f>'05_Datos_Historicos'!S205</f>
        <v/>
      </c>
      <c r="E143" s="524">
        <f>'05_Datos_Historicos'!Q205</f>
        <v/>
      </c>
      <c r="F143" s="524">
        <f>D143-E143</f>
        <v/>
      </c>
      <c r="G143" s="524">
        <f>'05_Datos_Historicos'!T205</f>
        <v/>
      </c>
      <c r="H143" s="524">
        <f>'06_Parametros_Estrategias'!E43*E143+(1-'06_Parametros_Estrategias'!E43)*J143</f>
        <v/>
      </c>
      <c r="I143" s="524">
        <f>G143-H143</f>
        <v/>
      </c>
      <c r="J143" s="524">
        <f>'05_Datos_Historicos'!R205</f>
        <v/>
      </c>
      <c r="K143" s="368">
        <f>K142*(1+D143)</f>
        <v/>
      </c>
      <c r="L143" s="368">
        <f>L142*(1+G143)</f>
        <v/>
      </c>
    </row>
    <row r="144">
      <c r="C144" s="503">
        <f>'05_Datos_Historicos'!M206</f>
        <v/>
      </c>
      <c r="D144" s="524">
        <f>'05_Datos_Historicos'!S206</f>
        <v/>
      </c>
      <c r="E144" s="524">
        <f>'05_Datos_Historicos'!Q206</f>
        <v/>
      </c>
      <c r="F144" s="524">
        <f>D144-E144</f>
        <v/>
      </c>
      <c r="G144" s="524">
        <f>'05_Datos_Historicos'!T206</f>
        <v/>
      </c>
      <c r="H144" s="524">
        <f>'06_Parametros_Estrategias'!E43*E144+(1-'06_Parametros_Estrategias'!E43)*J144</f>
        <v/>
      </c>
      <c r="I144" s="524">
        <f>G144-H144</f>
        <v/>
      </c>
      <c r="J144" s="524">
        <f>'05_Datos_Historicos'!R206</f>
        <v/>
      </c>
      <c r="K144" s="368">
        <f>K143*(1+D144)</f>
        <v/>
      </c>
      <c r="L144" s="368">
        <f>L143*(1+G144)</f>
        <v/>
      </c>
    </row>
    <row r="145">
      <c r="C145" s="503">
        <f>'05_Datos_Historicos'!M207</f>
        <v/>
      </c>
      <c r="D145" s="524">
        <f>'05_Datos_Historicos'!S207</f>
        <v/>
      </c>
      <c r="E145" s="524">
        <f>'05_Datos_Historicos'!Q207</f>
        <v/>
      </c>
      <c r="F145" s="524">
        <f>D145-E145</f>
        <v/>
      </c>
      <c r="G145" s="524">
        <f>'05_Datos_Historicos'!T207</f>
        <v/>
      </c>
      <c r="H145" s="524">
        <f>'06_Parametros_Estrategias'!E43*E145+(1-'06_Parametros_Estrategias'!E43)*J145</f>
        <v/>
      </c>
      <c r="I145" s="524">
        <f>G145-H145</f>
        <v/>
      </c>
      <c r="J145" s="524">
        <f>'05_Datos_Historicos'!R207</f>
        <v/>
      </c>
      <c r="K145" s="368">
        <f>K144*(1+D145)</f>
        <v/>
      </c>
      <c r="L145" s="368">
        <f>L144*(1+G145)</f>
        <v/>
      </c>
    </row>
    <row r="146">
      <c r="C146" s="503">
        <f>'05_Datos_Historicos'!M208</f>
        <v/>
      </c>
      <c r="D146" s="524">
        <f>'05_Datos_Historicos'!S208</f>
        <v/>
      </c>
      <c r="E146" s="524">
        <f>'05_Datos_Historicos'!Q208</f>
        <v/>
      </c>
      <c r="F146" s="524">
        <f>D146-E146</f>
        <v/>
      </c>
      <c r="G146" s="524">
        <f>'05_Datos_Historicos'!T208</f>
        <v/>
      </c>
      <c r="H146" s="524">
        <f>'06_Parametros_Estrategias'!E43*E146+(1-'06_Parametros_Estrategias'!E43)*J146</f>
        <v/>
      </c>
      <c r="I146" s="524">
        <f>G146-H146</f>
        <v/>
      </c>
      <c r="J146" s="524">
        <f>'05_Datos_Historicos'!R208</f>
        <v/>
      </c>
      <c r="K146" s="368">
        <f>K145*(1+D146)</f>
        <v/>
      </c>
      <c r="L146" s="368">
        <f>L145*(1+G146)</f>
        <v/>
      </c>
    </row>
    <row r="147">
      <c r="C147" s="503">
        <f>'05_Datos_Historicos'!M209</f>
        <v/>
      </c>
      <c r="D147" s="524">
        <f>'05_Datos_Historicos'!S209</f>
        <v/>
      </c>
      <c r="E147" s="524">
        <f>'05_Datos_Historicos'!Q209</f>
        <v/>
      </c>
      <c r="F147" s="524">
        <f>D147-E147</f>
        <v/>
      </c>
      <c r="G147" s="524">
        <f>'05_Datos_Historicos'!T209</f>
        <v/>
      </c>
      <c r="H147" s="524">
        <f>'06_Parametros_Estrategias'!E43*E147+(1-'06_Parametros_Estrategias'!E43)*J147</f>
        <v/>
      </c>
      <c r="I147" s="524">
        <f>G147-H147</f>
        <v/>
      </c>
      <c r="J147" s="524">
        <f>'05_Datos_Historicos'!R209</f>
        <v/>
      </c>
      <c r="K147" s="368">
        <f>K146*(1+D147)</f>
        <v/>
      </c>
      <c r="L147" s="368">
        <f>L146*(1+G147)</f>
        <v/>
      </c>
    </row>
    <row r="148">
      <c r="C148" s="503">
        <f>'05_Datos_Historicos'!M210</f>
        <v/>
      </c>
      <c r="D148" s="524">
        <f>'05_Datos_Historicos'!S210</f>
        <v/>
      </c>
      <c r="E148" s="524">
        <f>'05_Datos_Historicos'!Q210</f>
        <v/>
      </c>
      <c r="F148" s="524">
        <f>D148-E148</f>
        <v/>
      </c>
      <c r="G148" s="524">
        <f>'05_Datos_Historicos'!T210</f>
        <v/>
      </c>
      <c r="H148" s="524">
        <f>'06_Parametros_Estrategias'!E43*E148+(1-'06_Parametros_Estrategias'!E43)*J148</f>
        <v/>
      </c>
      <c r="I148" s="524">
        <f>G148-H148</f>
        <v/>
      </c>
      <c r="J148" s="524">
        <f>'05_Datos_Historicos'!R210</f>
        <v/>
      </c>
      <c r="K148" s="368">
        <f>K147*(1+D148)</f>
        <v/>
      </c>
      <c r="L148" s="368">
        <f>L147*(1+G148)</f>
        <v/>
      </c>
    </row>
    <row r="149">
      <c r="C149" s="503">
        <f>'05_Datos_Historicos'!M211</f>
        <v/>
      </c>
      <c r="D149" s="524">
        <f>'05_Datos_Historicos'!S211</f>
        <v/>
      </c>
      <c r="E149" s="524">
        <f>'05_Datos_Historicos'!Q211</f>
        <v/>
      </c>
      <c r="F149" s="524">
        <f>D149-E149</f>
        <v/>
      </c>
      <c r="G149" s="524">
        <f>'05_Datos_Historicos'!T211</f>
        <v/>
      </c>
      <c r="H149" s="524">
        <f>'06_Parametros_Estrategias'!E43*E149+(1-'06_Parametros_Estrategias'!E43)*J149</f>
        <v/>
      </c>
      <c r="I149" s="524">
        <f>G149-H149</f>
        <v/>
      </c>
      <c r="J149" s="524">
        <f>'05_Datos_Historicos'!R211</f>
        <v/>
      </c>
      <c r="K149" s="368">
        <f>K148*(1+D149)</f>
        <v/>
      </c>
      <c r="L149" s="368">
        <f>L148*(1+G149)</f>
        <v/>
      </c>
    </row>
    <row r="150">
      <c r="C150" s="503">
        <f>'05_Datos_Historicos'!M212</f>
        <v/>
      </c>
      <c r="D150" s="524">
        <f>'05_Datos_Historicos'!S212</f>
        <v/>
      </c>
      <c r="E150" s="524">
        <f>'05_Datos_Historicos'!Q212</f>
        <v/>
      </c>
      <c r="F150" s="524">
        <f>D150-E150</f>
        <v/>
      </c>
      <c r="G150" s="524">
        <f>'05_Datos_Historicos'!T212</f>
        <v/>
      </c>
      <c r="H150" s="524">
        <f>'06_Parametros_Estrategias'!E43*E150+(1-'06_Parametros_Estrategias'!E43)*J150</f>
        <v/>
      </c>
      <c r="I150" s="524">
        <f>G150-H150</f>
        <v/>
      </c>
      <c r="J150" s="524">
        <f>'05_Datos_Historicos'!R212</f>
        <v/>
      </c>
      <c r="K150" s="368">
        <f>K149*(1+D150)</f>
        <v/>
      </c>
      <c r="L150" s="368">
        <f>L149*(1+G150)</f>
        <v/>
      </c>
    </row>
    <row r="151">
      <c r="C151" s="503">
        <f>'05_Datos_Historicos'!M213</f>
        <v/>
      </c>
      <c r="D151" s="524">
        <f>'05_Datos_Historicos'!S213</f>
        <v/>
      </c>
      <c r="E151" s="524">
        <f>'05_Datos_Historicos'!Q213</f>
        <v/>
      </c>
      <c r="F151" s="524">
        <f>D151-E151</f>
        <v/>
      </c>
      <c r="G151" s="524">
        <f>'05_Datos_Historicos'!T213</f>
        <v/>
      </c>
      <c r="H151" s="524">
        <f>'06_Parametros_Estrategias'!E43*E151+(1-'06_Parametros_Estrategias'!E43)*J151</f>
        <v/>
      </c>
      <c r="I151" s="524">
        <f>G151-H151</f>
        <v/>
      </c>
      <c r="J151" s="524">
        <f>'05_Datos_Historicos'!R213</f>
        <v/>
      </c>
      <c r="K151" s="368">
        <f>K150*(1+D151)</f>
        <v/>
      </c>
      <c r="L151" s="368">
        <f>L150*(1+G151)</f>
        <v/>
      </c>
    </row>
    <row r="152">
      <c r="C152" s="503">
        <f>'05_Datos_Historicos'!M214</f>
        <v/>
      </c>
      <c r="D152" s="524">
        <f>'05_Datos_Historicos'!S214</f>
        <v/>
      </c>
      <c r="E152" s="524">
        <f>'05_Datos_Historicos'!Q214</f>
        <v/>
      </c>
      <c r="F152" s="524">
        <f>D152-E152</f>
        <v/>
      </c>
      <c r="G152" s="524">
        <f>'05_Datos_Historicos'!T214</f>
        <v/>
      </c>
      <c r="H152" s="524">
        <f>'06_Parametros_Estrategias'!E43*E152+(1-'06_Parametros_Estrategias'!E43)*J152</f>
        <v/>
      </c>
      <c r="I152" s="524">
        <f>G152-H152</f>
        <v/>
      </c>
      <c r="J152" s="524">
        <f>'05_Datos_Historicos'!R214</f>
        <v/>
      </c>
      <c r="K152" s="368">
        <f>K151*(1+D152)</f>
        <v/>
      </c>
      <c r="L152" s="368">
        <f>L151*(1+G152)</f>
        <v/>
      </c>
    </row>
  </sheetData>
  <mergeCells count="9">
    <mergeCell ref="H5:N5"/>
    <mergeCell ref="C2:N2"/>
    <mergeCell ref="P14:S14"/>
    <mergeCell ref="C21:M21"/>
    <mergeCell ref="C14:N14"/>
    <mergeCell ref="H6:N11"/>
    <mergeCell ref="C3:N3"/>
    <mergeCell ref="P24:S34"/>
    <mergeCell ref="C5:F5"/>
  </mergeCells>
  <conditionalFormatting sqref="S16:S21">
    <cfRule type="containsText" priority="1" operator="containsText" dxfId="0" text="REVISAR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C2:L2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0" customWidth="1" min="3" max="3"/>
    <col width="17" customWidth="1" min="4" max="4"/>
    <col width="15" customWidth="1" min="5" max="5"/>
    <col width="15" customWidth="1" min="6" max="6"/>
    <col width="15" customWidth="1" min="7" max="7"/>
    <col width="17" customWidth="1" min="8" max="8"/>
    <col width="14" customWidth="1" min="9" max="9"/>
    <col width="14" customWidth="1" min="10" max="10"/>
    <col width="14" customWidth="1" min="11" max="11"/>
    <col width="44" customWidth="1" min="12" max="12"/>
  </cols>
  <sheetData>
    <row r="2">
      <c r="C2" s="396" t="inlineStr">
        <is>
          <t>MODELO NEXUM - OPTIMIZADOR DE CARTERA (v3: NUCLEO PASIVO / SATELITE ACTIVO)</t>
        </is>
      </c>
    </row>
    <row r="3">
      <c r="C3" s="4" t="inlineStr">
        <is>
          <t>Rediseño: nucleo pasivo (bonos + SPY, con glide path) dedicado 100% a Educación; satélite activo (las 3 estrategias) dedicado 100% a Propiedad+Herencia, financiado con los aportes anuales. Pesos y glide path calculados fuera de Excel (Python/SciPy + Montecarlo); ver 10_Monte_Carlo para resultados y sensibilidad.</t>
        </is>
      </c>
    </row>
    <row r="4" ht="30" customHeight="1">
      <c r="C4" s="554" t="inlineStr">
        <is>
          <t>PENDIENTE: (1) validar con Solver real en Excel donde aplique (sección 5); (2) confirmar con el cliente/IPS el buffer de capital LDI y el glide path; (3) sumar TIPS al núcleo pasivo cuando haya datos (sección 6).</t>
        </is>
      </c>
      <c r="D4" s="425" t="n"/>
      <c r="E4" s="425" t="n"/>
      <c r="F4" s="425" t="n"/>
      <c r="G4" s="425" t="n"/>
      <c r="H4" s="425" t="n"/>
      <c r="I4" s="425" t="n"/>
      <c r="J4" s="425" t="n"/>
      <c r="K4" s="425" t="n"/>
      <c r="L4" s="425" t="n"/>
    </row>
    <row r="6">
      <c r="C6" s="399" t="inlineStr">
        <is>
          <t>1. CAPITAL Y ESTRUCTURA DEL MANDATO</t>
        </is>
      </c>
    </row>
    <row r="7">
      <c r="C7" s="411" t="inlineStr">
        <is>
          <t>Concepto</t>
        </is>
      </c>
      <c r="D7" s="411" t="inlineStr">
        <is>
          <t>Valor</t>
        </is>
      </c>
      <c r="E7" s="411" t="inlineStr">
        <is>
          <t>Unidad</t>
        </is>
      </c>
      <c r="F7" s="411" t="inlineStr">
        <is>
          <t>Fuente / nota</t>
        </is>
      </c>
    </row>
    <row r="8">
      <c r="C8" s="110" t="inlineStr">
        <is>
          <t>Capital total inicial</t>
        </is>
      </c>
      <c r="D8" s="544">
        <f>'00_Inputs'!D24</f>
        <v/>
      </c>
      <c r="F8" s="4" t="inlineStr">
        <is>
          <t>00_Inputs!D24</t>
        </is>
      </c>
    </row>
    <row r="9">
      <c r="C9" s="110" t="inlineStr">
        <is>
          <t>VP del pasivo educacional (mínimo teórico)</t>
        </is>
      </c>
      <c r="D9" s="544">
        <f>'02_TIR_Objetivos'!I7</f>
        <v/>
      </c>
      <c r="F9" s="4" t="inlineStr">
        <is>
          <t>VP a la tasa de descuento del modelo; prioridad 1 del IPS</t>
        </is>
      </c>
    </row>
    <row r="10">
      <c r="C10" s="110" t="inlineStr">
        <is>
          <t>Buffer de capital núcleo pasivo (sobre el mínimo)</t>
        </is>
      </c>
      <c r="D10" s="546" t="n">
        <v>1.3</v>
      </c>
      <c r="F10" s="4" t="inlineStr">
        <is>
          <t>PENDIENTE: nivel a confirmar con cliente/IPS. 1,30x deja Educación en ~90%, Propiedad ~99,6%, Herencia ~99,2% (ver 10_Monte_Carlo secc. 3). El satélite activo tiene tanta holgura que subir el buffer cuesta muy poco en Propiedad/Herencia.</t>
        </is>
      </c>
    </row>
    <row r="11">
      <c r="C11" s="110" t="inlineStr">
        <is>
          <t>Capital núcleo pasivo (Educación), con buffer</t>
        </is>
      </c>
      <c r="D11" s="545">
        <f>D9*D10</f>
        <v/>
      </c>
      <c r="F11" s="4" t="inlineStr">
        <is>
          <t>Capital efectivamente asignado al núcleo (bonos + SPY, glide path)</t>
        </is>
      </c>
    </row>
    <row r="12">
      <c r="C12" s="110" t="inlineStr">
        <is>
          <t>Capital satélite activo (Propiedad + Herencia)</t>
        </is>
      </c>
      <c r="D12" s="545">
        <f>D8-D11</f>
        <v/>
      </c>
      <c r="F12" s="4" t="inlineStr">
        <is>
          <t>Residual tras el buffer; se suma a los aportes anuales de 00_Inputs!D25</t>
        </is>
      </c>
      <c r="H12" s="110">
        <f>IF(ABS(D11+D12-D8)&lt;0.01,"OK","ERROR")</f>
        <v/>
      </c>
    </row>
    <row r="14">
      <c r="C14" s="399" t="inlineStr">
        <is>
          <t>2. NÚCLEO PASIVO - EDUCACIÓN (BONOS + SPY, GLIDE PATH)</t>
        </is>
      </c>
    </row>
    <row r="15">
      <c r="C15" s="426" t="inlineStr">
        <is>
          <t>Antes este sleeve solo tenía bonos (VCLT/TLH/GOVZ) y financiaba Educación con ~40-60% de probabilidad. Al incluir SPY (con horizonte largo: el primer pago recién es en el año 14) la probabilidad sube mucho, pero un 100% SPY estático apostaría el pago más urgente y de mayor prioridad a que no haya una caída bursátil justo antes de 2029. La solución estándar (igual que un fondo target-date o un 529 plan) es un GLIDE PATH: alto en SPY mientras faltan años, bajando a bonos a medida que se acercan los pagos (2029-2035).</t>
        </is>
      </c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</row>
    <row r="17">
      <c r="C17" s="411" t="inlineStr">
        <is>
          <t>Tramo (años desde hoy)</t>
        </is>
      </c>
      <c r="D17" s="411" t="inlineStr">
        <is>
          <t>% SPY</t>
        </is>
      </c>
      <c r="E17" s="411" t="inlineStr">
        <is>
          <t>% Bonos (TLH)</t>
        </is>
      </c>
      <c r="F17" s="411" t="inlineStr">
        <is>
          <t>Lógica</t>
        </is>
      </c>
    </row>
    <row r="18">
      <c r="C18" s="110" t="inlineStr">
        <is>
          <t>Año 0 a 8</t>
        </is>
      </c>
      <c r="D18" s="546" t="n">
        <v>0.8</v>
      </c>
      <c r="E18" s="550">
        <f>1-D18</f>
        <v/>
      </c>
      <c r="F18" s="4" t="inlineStr">
        <is>
          <t>Horizonte largo (≥6 años al primer pago, año 14): prioriza crecimiento</t>
        </is>
      </c>
    </row>
    <row r="19">
      <c r="C19" s="110" t="inlineStr">
        <is>
          <t>Año 9 a 12</t>
        </is>
      </c>
      <c r="D19" s="4" t="inlineStr">
        <is>
          <t>Transición lineal: 0,80 en año 9 -&gt; 0,20 en año 13 (12 p.p./año). Implementada en monte_carlo_objetivos.py, función glide().</t>
        </is>
      </c>
    </row>
    <row r="20">
      <c r="C20" s="110" t="inlineStr">
        <is>
          <t>Año 13 a 20</t>
        </is>
      </c>
      <c r="D20" s="546" t="n">
        <v>0.2</v>
      </c>
      <c r="E20" s="550">
        <f>1-D20</f>
        <v/>
      </c>
      <c r="F20" s="4" t="inlineStr">
        <is>
          <t>Ventana de pagos (años 14-20): prioriza preservación de capital</t>
        </is>
      </c>
    </row>
    <row r="22">
      <c r="C22" s="110" t="inlineStr">
        <is>
          <t>Retorno real SPY usado (anual)</t>
        </is>
      </c>
      <c r="D22" s="546" t="n">
        <v>0.065</v>
      </c>
      <c r="F22" s="4" t="inlineStr">
        <is>
          <t>PENDIENTE/AJUSTABLE: la ventana histórica 2011-2026 rindió ~12,3% real/año (mercado alcista excepcional); usar eso sería optimista. 6,5% real/año es el promedio histórico de largo plazo de EE.UU. (Damodaran/Siegel). Ver ambos escenarios en 10_Monte_Carlo secc. 2.</t>
        </is>
      </c>
    </row>
    <row r="23">
      <c r="C23" s="110" t="inlineStr">
        <is>
          <t>Tasa real de bonos usada (anual, TLH)</t>
        </is>
      </c>
      <c r="D23" s="552">
        <f>'00_Inputs'!D72</f>
        <v/>
      </c>
      <c r="F23" s="4" t="inlineStr">
        <is>
          <t>Igual que en la v2: volatilidad histórica de TLH, media recentrada a la tasa de descuento del modelo.</t>
        </is>
      </c>
    </row>
    <row r="25">
      <c r="C25" s="411" t="inlineStr">
        <is>
          <t>Matriz de covarianza anualizada (SPY vs TLH, ventana completa 05_Datos_Historicos!N28:P214 / Q28:Q214)</t>
        </is>
      </c>
    </row>
    <row r="26">
      <c r="D26" s="411" t="inlineStr">
        <is>
          <t>TLH</t>
        </is>
      </c>
      <c r="E26" s="411" t="inlineStr">
        <is>
          <t>SPY</t>
        </is>
      </c>
    </row>
    <row r="27">
      <c r="C27" s="110" t="inlineStr">
        <is>
          <t>TLH</t>
        </is>
      </c>
      <c r="D27" s="551">
        <f>COVARIANCE.S('05_Datos_Historicos'!O28:O214,'05_Datos_Historicos'!O28:O214)*12</f>
        <v/>
      </c>
      <c r="E27" s="551">
        <f>COVARIANCE.S('05_Datos_Historicos'!O28:O214,'05_Datos_Historicos'!Q28:Q214)*12</f>
        <v/>
      </c>
    </row>
    <row r="28">
      <c r="C28" s="110" t="inlineStr">
        <is>
          <t>SPY</t>
        </is>
      </c>
      <c r="D28" s="551">
        <f>E27</f>
        <v/>
      </c>
      <c r="E28" s="551">
        <f>COVARIANCE.S('05_Datos_Historicos'!Q28:Q214,'05_Datos_Historicos'!Q28:Q214)*12</f>
        <v/>
      </c>
    </row>
    <row r="30">
      <c r="C30" s="426" t="inlineStr">
        <is>
          <t>El glide path es dinámico (cambia año a año) y una probabilidad de éxito con retiros escalonados no tiene fórmula cerrada — se resuelve por simulación en monte_carlo_objetivos.py, no con fórmulas nativas de Excel. Resultados de esa simulación en 10_Monte_Carlo.</t>
        </is>
      </c>
      <c r="D30" s="425" t="n"/>
      <c r="E30" s="425" t="n"/>
      <c r="F30" s="425" t="n"/>
      <c r="G30" s="425" t="n"/>
      <c r="H30" s="425" t="n"/>
      <c r="I30" s="425" t="n"/>
      <c r="J30" s="425" t="n"/>
      <c r="K30" s="425" t="n"/>
      <c r="L30" s="425" t="n"/>
    </row>
    <row r="32">
      <c r="C32" s="399" t="inlineStr">
        <is>
          <t>3. SATÉLITE ACTIVO - PROPIEDAD + HERENCIA (SOLO LAS 3 ESTRATEGIAS)</t>
        </is>
      </c>
    </row>
    <row r="33">
      <c r="C33" s="426" t="inlineStr">
        <is>
          <t>Antes este sleeve mezclaba SPY/CASH con las 3 estrategias activas. Ahora SPY se movió al núcleo pasivo (Educación) y CASH se elimina como componente del sleeve (BIL ya está dentro del propio backtest de MOM_CMD como posición sin señal). El satélite queda 100% en Momentum acciones (proxy SPMO), BAB (proxy SPLV) y Momentum commodities — financiado con capital residual + los aportes anuales de 00_Inputs!D25. Objetivo: máximo Sharpe (ventana común 130 meses).</t>
        </is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</row>
    <row r="35">
      <c r="C35" s="411" t="inlineStr">
        <is>
          <t>Instrumento</t>
        </is>
      </c>
      <c r="D35" s="411" t="inlineStr">
        <is>
          <t>Ticker/serie</t>
        </is>
      </c>
      <c r="E35" s="411" t="inlineStr">
        <is>
          <t>Peso (Solver)</t>
        </is>
      </c>
      <c r="F35" s="411" t="inlineStr">
        <is>
          <t>Retorno anual</t>
        </is>
      </c>
      <c r="G35" s="411" t="inlineStr">
        <is>
          <t>Vol. anual</t>
        </is>
      </c>
      <c r="H35" s="411" t="inlineStr">
        <is>
          <t>Columna 05_Datos_Historicos</t>
        </is>
      </c>
    </row>
    <row r="36">
      <c r="C36" s="110" t="inlineStr">
        <is>
          <t>Momentum renta variable (proxy)</t>
        </is>
      </c>
      <c r="D36" s="110" t="inlineStr">
        <is>
          <t>MOM_EQ (SPMO)</t>
        </is>
      </c>
      <c r="E36" s="546" t="n">
        <v>0.5638</v>
      </c>
      <c r="F36" s="550">
        <f>AVERAGE('05_Datos_Historicos'!S85:S214)*12</f>
        <v/>
      </c>
      <c r="G36" s="550">
        <f>STDEV.S('05_Datos_Historicos'!S85:S214)*SQRT(12)</f>
        <v/>
      </c>
      <c r="H36" s="4" t="inlineStr">
        <is>
          <t>05_Datos_Historicos!S85:S214</t>
        </is>
      </c>
    </row>
    <row r="37">
      <c r="C37" s="110" t="inlineStr">
        <is>
          <t>Betting Against Beta (proxy)</t>
        </is>
      </c>
      <c r="D37" s="110" t="inlineStr">
        <is>
          <t>BAB_EQ (SPLV)</t>
        </is>
      </c>
      <c r="E37" s="546" t="n">
        <v>0.0512</v>
      </c>
      <c r="F37" s="550">
        <f>AVERAGE('05_Datos_Historicos'!T85:T214)*12</f>
        <v/>
      </c>
      <c r="G37" s="550">
        <f>STDEV.S('05_Datos_Historicos'!T85:T214)*SQRT(12)</f>
        <v/>
      </c>
      <c r="H37" s="4" t="inlineStr">
        <is>
          <t>05_Datos_Historicos!T85:T214</t>
        </is>
      </c>
    </row>
    <row r="38">
      <c r="C38" s="110" t="inlineStr">
        <is>
          <t>Momentum commodities</t>
        </is>
      </c>
      <c r="D38" s="110" t="inlineStr">
        <is>
          <t>MOM_CMD</t>
        </is>
      </c>
      <c r="E38" s="546" t="n">
        <v>0.385</v>
      </c>
      <c r="F38" s="550">
        <f>AVERAGE('05_Datos_Historicos'!U85:U214)*12</f>
        <v/>
      </c>
      <c r="G38" s="550">
        <f>STDEV.S('05_Datos_Historicos'!U85:U214)*SQRT(12)</f>
        <v/>
      </c>
      <c r="H38" s="4" t="inlineStr">
        <is>
          <t>05_Datos_Historicos!U85:U214</t>
        </is>
      </c>
    </row>
    <row r="39">
      <c r="C39" s="549" t="inlineStr">
        <is>
          <t>Total</t>
        </is>
      </c>
      <c r="E39" s="550">
        <f>SUM(E36:E38)</f>
        <v/>
      </c>
    </row>
    <row r="40">
      <c r="F40" s="110" t="inlineStr">
        <is>
          <t>Check: pesos suman 100%</t>
        </is>
      </c>
      <c r="G40" s="110">
        <f>IF(ABS(E39-1)&lt;0.0001,"OK","ERROR")</f>
        <v/>
      </c>
    </row>
    <row r="42">
      <c r="C42" s="411" t="inlineStr">
        <is>
          <t>Matriz de covarianza anualizada (satélite, ventana común 05_Datos_Historicos!S85:U214)</t>
        </is>
      </c>
    </row>
    <row r="43">
      <c r="D43" s="411" t="inlineStr">
        <is>
          <t>MOM_EQ</t>
        </is>
      </c>
      <c r="E43" s="411" t="inlineStr">
        <is>
          <t>BAB_EQ</t>
        </is>
      </c>
      <c r="F43" s="411" t="inlineStr">
        <is>
          <t>MOM_CMD</t>
        </is>
      </c>
    </row>
    <row r="44">
      <c r="C44" s="110" t="inlineStr">
        <is>
          <t>MOM_EQ</t>
        </is>
      </c>
      <c r="D44" s="551">
        <f>COVARIANCE.S('05_Datos_Historicos'!S85:S214,'05_Datos_Historicos'!S85:S214)*12</f>
        <v/>
      </c>
      <c r="E44" s="551">
        <f>COVARIANCE.S('05_Datos_Historicos'!S85:S214,'05_Datos_Historicos'!T85:T214)*12</f>
        <v/>
      </c>
      <c r="F44" s="551">
        <f>COVARIANCE.S('05_Datos_Historicos'!S85:S214,'05_Datos_Historicos'!U85:U214)*12</f>
        <v/>
      </c>
    </row>
    <row r="45">
      <c r="C45" s="110" t="inlineStr">
        <is>
          <t>BAB_EQ</t>
        </is>
      </c>
      <c r="D45" s="551">
        <f>COVARIANCE.S('05_Datos_Historicos'!T85:T214,'05_Datos_Historicos'!S85:S214)*12</f>
        <v/>
      </c>
      <c r="E45" s="551">
        <f>COVARIANCE.S('05_Datos_Historicos'!T85:T214,'05_Datos_Historicos'!T85:T214)*12</f>
        <v/>
      </c>
      <c r="F45" s="551">
        <f>COVARIANCE.S('05_Datos_Historicos'!T85:T214,'05_Datos_Historicos'!U85:U214)*12</f>
        <v/>
      </c>
    </row>
    <row r="46">
      <c r="C46" s="110" t="inlineStr">
        <is>
          <t>MOM_CMD</t>
        </is>
      </c>
      <c r="D46" s="551">
        <f>COVARIANCE.S('05_Datos_Historicos'!U85:U214,'05_Datos_Historicos'!S85:S214)*12</f>
        <v/>
      </c>
      <c r="E46" s="551">
        <f>COVARIANCE.S('05_Datos_Historicos'!U85:U214,'05_Datos_Historicos'!T85:T214)*12</f>
        <v/>
      </c>
      <c r="F46" s="551">
        <f>COVARIANCE.S('05_Datos_Historicos'!U85:U214,'05_Datos_Historicos'!U85:U214)*12</f>
        <v/>
      </c>
    </row>
    <row r="48">
      <c r="C48" s="110" t="inlineStr">
        <is>
          <t>Retorno esperado del satélite (anual)</t>
        </is>
      </c>
      <c r="D48" s="550">
        <f>SUMPRODUCT(E36:E38,F36:F38)</f>
        <v/>
      </c>
    </row>
    <row r="49">
      <c r="C49" s="110" t="inlineStr">
        <is>
          <t>Volatilidad del satélite (anual)</t>
        </is>
      </c>
      <c r="D49" s="550">
        <f>SQRT(E36^2*D44+E37^2*E45+E38^2*F46+2*E36*E37*D45+2*E36*E38*D46+2*E37*E38*E46)</f>
        <v/>
      </c>
    </row>
    <row r="50">
      <c r="C50" s="110" t="inlineStr">
        <is>
          <t>Ratio de Sharpe (rf=0, sin activo libre de riesgo en el sub-universo)</t>
        </is>
      </c>
      <c r="D50" s="548">
        <f>D48/D49</f>
        <v/>
      </c>
    </row>
    <row r="52">
      <c r="C52" s="399" t="inlineStr">
        <is>
          <t>4. CARTERA CONSOLIDADA (% DEL CAPITAL TOTAL)</t>
        </is>
      </c>
    </row>
    <row r="53">
      <c r="C53" s="426" t="inlineStr">
        <is>
          <t>El núcleo pasivo tiene peso dinámico (glide path): esta tabla muestra la foto del año 0 (80% SPY / 20% TLH). Para el detalle año a año ver la sección 2 y monte_carlo_objetivos.py.</t>
        </is>
      </c>
      <c r="D53" s="425" t="n"/>
      <c r="E53" s="425" t="n"/>
      <c r="F53" s="425" t="n"/>
      <c r="G53" s="425" t="n"/>
      <c r="H53" s="425" t="n"/>
      <c r="I53" s="425" t="n"/>
      <c r="J53" s="425" t="n"/>
      <c r="K53" s="425" t="n"/>
      <c r="L53" s="425" t="n"/>
    </row>
    <row r="54">
      <c r="C54" s="411" t="inlineStr">
        <is>
          <t>ID</t>
        </is>
      </c>
      <c r="D54" s="411" t="inlineStr">
        <is>
          <t>Instrumento</t>
        </is>
      </c>
      <c r="E54" s="411" t="inlineStr">
        <is>
          <t>Peso en su sleeve (año 0)</t>
        </is>
      </c>
      <c r="F54" s="411" t="inlineStr">
        <is>
          <t>Peso % cartera total (año 0)</t>
        </is>
      </c>
      <c r="G54" s="411" t="inlineStr">
        <is>
          <t>USD (año 0)</t>
        </is>
      </c>
    </row>
    <row r="55">
      <c r="C55" s="110" t="inlineStr">
        <is>
          <t>LDI_TSY</t>
        </is>
      </c>
      <c r="D55" s="110" t="inlineStr">
        <is>
          <t>TLH</t>
        </is>
      </c>
      <c r="E55" s="550">
        <f>=E20</f>
        <v/>
      </c>
      <c r="F55" s="550">
        <f>=E20*D11/$D$8</f>
        <v/>
      </c>
      <c r="G55" s="545">
        <f>=E20*D11</f>
        <v/>
      </c>
    </row>
    <row r="56">
      <c r="C56" s="110" t="inlineStr">
        <is>
          <t>EQ_CORE</t>
        </is>
      </c>
      <c r="D56" s="110" t="inlineStr">
        <is>
          <t>SPY</t>
        </is>
      </c>
      <c r="E56" s="550">
        <f>=D18</f>
        <v/>
      </c>
      <c r="F56" s="550">
        <f>=D18*D11/$D$8</f>
        <v/>
      </c>
      <c r="G56" s="545">
        <f>=D18*D11</f>
        <v/>
      </c>
    </row>
    <row r="57">
      <c r="C57" s="110" t="inlineStr">
        <is>
          <t>MOM_EQ</t>
        </is>
      </c>
      <c r="D57" s="110" t="inlineStr">
        <is>
          <t>SPMO</t>
        </is>
      </c>
      <c r="E57" s="550">
        <f>E36</f>
        <v/>
      </c>
      <c r="F57" s="550">
        <f>E36*D12/$D$8</f>
        <v/>
      </c>
      <c r="G57" s="545">
        <f>E36*D12</f>
        <v/>
      </c>
    </row>
    <row r="58">
      <c r="C58" s="110" t="inlineStr">
        <is>
          <t>BAB_EQ</t>
        </is>
      </c>
      <c r="D58" s="110" t="inlineStr">
        <is>
          <t>SPLV</t>
        </is>
      </c>
      <c r="E58" s="550">
        <f>E37</f>
        <v/>
      </c>
      <c r="F58" s="550">
        <f>E37*D12/$D$8</f>
        <v/>
      </c>
      <c r="G58" s="545">
        <f>E37*D12</f>
        <v/>
      </c>
    </row>
    <row r="59">
      <c r="C59" s="110" t="inlineStr">
        <is>
          <t>MOM_CMD</t>
        </is>
      </c>
      <c r="D59" s="110" t="inlineStr">
        <is>
          <t>MOM_CMD (backtest)</t>
        </is>
      </c>
      <c r="E59" s="550">
        <f>E38</f>
        <v/>
      </c>
      <c r="F59" s="550">
        <f>E38*D12/$D$8</f>
        <v/>
      </c>
      <c r="G59" s="545">
        <f>E38*D12</f>
        <v/>
      </c>
    </row>
    <row r="60">
      <c r="C60" s="549" t="inlineStr">
        <is>
          <t>Total</t>
        </is>
      </c>
      <c r="F60" s="550">
        <f>SUM(F55:F59)</f>
        <v/>
      </c>
      <c r="G60" s="545">
        <f>SUM(G55:G59)</f>
        <v/>
      </c>
      <c r="H60" s="110">
        <f>IF(ABS(F60-1)&lt;0.001,"OK","ERROR")</f>
        <v/>
      </c>
    </row>
    <row r="62">
      <c r="C62" s="399" t="inlineStr">
        <is>
          <t>5. CÓMO VALIDAR/REFINAR CON EXCEL SOLVER</t>
        </is>
      </c>
    </row>
    <row r="63">
      <c r="C63" s="426" t="inlineStr">
        <is>
          <t>El núcleo pasivo (glide path dinámico + probabilidad de éxito por simulación) NO es reproducible con Solver nativo de Excel — usar monte_carlo_objetivos.py para explorar variantes de glide path, retorno de SPY o buffer.</t>
        </is>
      </c>
      <c r="D63" s="425" t="n"/>
      <c r="E63" s="425" t="n"/>
      <c r="F63" s="425" t="n"/>
      <c r="G63" s="425" t="n"/>
      <c r="H63" s="425" t="n"/>
      <c r="I63" s="425" t="n"/>
      <c r="J63" s="425" t="n"/>
      <c r="K63" s="425" t="n"/>
      <c r="L63" s="425" t="n"/>
    </row>
    <row r="64">
      <c r="C64" s="426" t="inlineStr">
        <is>
          <t>El satélite activo SÍ es un problema de Solver estándar: Datos &gt; Solver. Celda objetivo D50 (maximizar). Celdas variables E36:E38. Restricciones: E39=1; E36:E38&gt;=0; E36:E38&lt;=1.</t>
        </is>
      </c>
      <c r="D64" s="425" t="n"/>
      <c r="E64" s="425" t="n"/>
      <c r="F64" s="425" t="n"/>
      <c r="G64" s="425" t="n"/>
      <c r="H64" s="425" t="n"/>
      <c r="I64" s="425" t="n"/>
      <c r="J64" s="425" t="n"/>
      <c r="K64" s="425" t="n"/>
      <c r="L64" s="425" t="n"/>
    </row>
    <row r="65">
      <c r="C65" s="426" t="inlineStr">
        <is>
          <t>Requiere activar el complemento Solver (Archivo &gt; Opciones &gt; Complementos &gt; Solver).</t>
        </is>
      </c>
      <c r="D65" s="425" t="n"/>
      <c r="E65" s="425" t="n"/>
      <c r="F65" s="425" t="n"/>
      <c r="G65" s="425" t="n"/>
      <c r="H65" s="425" t="n"/>
      <c r="I65" s="425" t="n"/>
      <c r="J65" s="425" t="n"/>
      <c r="K65" s="425" t="n"/>
      <c r="L65" s="425" t="n"/>
    </row>
    <row r="67">
      <c r="C67" s="399" t="inlineStr">
        <is>
          <t>6. LIMITACIONES Y SUPUESTOS</t>
        </is>
      </c>
    </row>
    <row r="68">
      <c r="C68" s="426" t="inlineStr">
        <is>
          <t>• MOM_EQ (SPMO) y BAB_EQ (SPLV) son proxies ETF provisionales, no los backtests point-in-time propios (06_Parametros_Estrategias!O39). Recalcular cuando existan esas series.</t>
        </is>
      </c>
      <c r="D68" s="425" t="n"/>
      <c r="E68" s="425" t="n"/>
      <c r="F68" s="425" t="n"/>
      <c r="G68" s="425" t="n"/>
      <c r="H68" s="425" t="n"/>
      <c r="I68" s="425" t="n"/>
      <c r="J68" s="425" t="n"/>
      <c r="K68" s="425" t="n"/>
      <c r="L68" s="425" t="n"/>
    </row>
    <row r="69">
      <c r="C69" s="426" t="inlineStr">
        <is>
          <t>• El retorno de SPY usado en el núcleo pasivo es una decisión de política (celda D22, 6,5% real/año, editable) porque la ventana histórica disponible (2011-2026) fue un mercado alcista excepcional (~12,3% real/año) y usarla directamente sobreestimaría la probabilidad de éxito. Ver comparación optimista vs. prudente en 10_Monte_Carlo.</t>
        </is>
      </c>
      <c r="D69" s="425" t="n"/>
      <c r="E69" s="425" t="n"/>
      <c r="F69" s="425" t="n"/>
      <c r="G69" s="425" t="n"/>
      <c r="H69" s="425" t="n"/>
      <c r="I69" s="425" t="n"/>
      <c r="J69" s="425" t="n"/>
      <c r="K69" s="425" t="n"/>
      <c r="L69" s="425" t="n"/>
    </row>
    <row r="70">
      <c r="C70" s="426" t="inlineStr">
        <is>
          <t>• RECOMENDACIÓN A FUTURO (requiere datos que no tengo en esta sesión, sin internet): el pasivo de Educación está en USD REALES; TIPS (LTPZ para duración larga, TIP/SCHP para duración media) cubren inflación mejor que TLH nominal y podrían reemplazar o complementar el tramo de bonos del glide path. Agregar esos tickers al script de descarga es el siguiente paso.</t>
        </is>
      </c>
      <c r="D70" s="425" t="n"/>
      <c r="E70" s="425" t="n"/>
      <c r="F70" s="425" t="n"/>
      <c r="G70" s="425" t="n"/>
      <c r="H70" s="425" t="n"/>
      <c r="I70" s="425" t="n"/>
      <c r="J70" s="425" t="n"/>
      <c r="K70" s="425" t="n"/>
      <c r="L70" s="425" t="n"/>
    </row>
    <row r="71">
      <c r="C71" s="426" t="inlineStr">
        <is>
          <t>• El glide path (80%-&gt;20% SPY) es una transición lineal simple; un glide path calibrado con simulación (en vez de una regla ad hoc) podría mejorar algo más el resultado, a costa de complejidad.</t>
        </is>
      </c>
      <c r="D71" s="425" t="n"/>
      <c r="E71" s="425" t="n"/>
      <c r="F71" s="425" t="n"/>
      <c r="G71" s="425" t="n"/>
      <c r="H71" s="425" t="n"/>
      <c r="I71" s="425" t="n"/>
      <c r="J71" s="425" t="n"/>
      <c r="K71" s="425" t="n"/>
      <c r="L71" s="425" t="n"/>
    </row>
    <row r="72">
      <c r="C72" s="426" t="inlineStr">
        <is>
          <t>• Esta hoja no corre un Solver real para el satélite: los pesos son la solución de un SLSQP en Python con los mismos datos y restricciones de la sección 5.</t>
        </is>
      </c>
      <c r="D72" s="425" t="n"/>
      <c r="E72" s="425" t="n"/>
      <c r="F72" s="425" t="n"/>
      <c r="G72" s="425" t="n"/>
      <c r="H72" s="425" t="n"/>
      <c r="I72" s="425" t="n"/>
      <c r="J72" s="425" t="n"/>
      <c r="K72" s="425" t="n"/>
      <c r="L72" s="425" t="n"/>
    </row>
    <row r="74">
      <c r="C74" s="399" t="inlineStr">
        <is>
          <t>7. DETALLE MENSUAL - RETORNO DEL SATÉLITE ACTIVO (VENTANA COMÚN, 130 MESES)</t>
        </is>
      </c>
    </row>
    <row r="76">
      <c r="C76" s="411" t="inlineStr">
        <is>
          <t>Fecha</t>
        </is>
      </c>
      <c r="D76" s="411" t="inlineStr">
        <is>
          <t>Retorno satélite (MOM_EQ+BAB_EQ+MOM_CMD)</t>
        </is>
      </c>
    </row>
    <row r="77">
      <c r="C77" s="553">
        <f>'05_Datos_Historicos'!M85</f>
        <v/>
      </c>
      <c r="D77" s="550">
        <f>$E$36*'05_Datos_Historicos'!S85+$E$37*'05_Datos_Historicos'!T85+$E$38*'05_Datos_Historicos'!U85</f>
        <v/>
      </c>
    </row>
    <row r="78">
      <c r="C78" s="553">
        <f>'05_Datos_Historicos'!M86</f>
        <v/>
      </c>
      <c r="D78" s="550">
        <f>$E$36*'05_Datos_Historicos'!S86+$E$37*'05_Datos_Historicos'!T86+$E$38*'05_Datos_Historicos'!U86</f>
        <v/>
      </c>
    </row>
    <row r="79">
      <c r="C79" s="553">
        <f>'05_Datos_Historicos'!M87</f>
        <v/>
      </c>
      <c r="D79" s="550">
        <f>$E$36*'05_Datos_Historicos'!S87+$E$37*'05_Datos_Historicos'!T87+$E$38*'05_Datos_Historicos'!U87</f>
        <v/>
      </c>
    </row>
    <row r="80">
      <c r="C80" s="553">
        <f>'05_Datos_Historicos'!M88</f>
        <v/>
      </c>
      <c r="D80" s="550">
        <f>$E$36*'05_Datos_Historicos'!S88+$E$37*'05_Datos_Historicos'!T88+$E$38*'05_Datos_Historicos'!U88</f>
        <v/>
      </c>
    </row>
    <row r="81">
      <c r="C81" s="553">
        <f>'05_Datos_Historicos'!M89</f>
        <v/>
      </c>
      <c r="D81" s="550">
        <f>$E$36*'05_Datos_Historicos'!S89+$E$37*'05_Datos_Historicos'!T89+$E$38*'05_Datos_Historicos'!U89</f>
        <v/>
      </c>
    </row>
    <row r="82">
      <c r="C82" s="553">
        <f>'05_Datos_Historicos'!M90</f>
        <v/>
      </c>
      <c r="D82" s="550">
        <f>$E$36*'05_Datos_Historicos'!S90+$E$37*'05_Datos_Historicos'!T90+$E$38*'05_Datos_Historicos'!U90</f>
        <v/>
      </c>
    </row>
    <row r="83">
      <c r="C83" s="553">
        <f>'05_Datos_Historicos'!M91</f>
        <v/>
      </c>
      <c r="D83" s="550">
        <f>$E$36*'05_Datos_Historicos'!S91+$E$37*'05_Datos_Historicos'!T91+$E$38*'05_Datos_Historicos'!U91</f>
        <v/>
      </c>
    </row>
    <row r="84">
      <c r="C84" s="553">
        <f>'05_Datos_Historicos'!M92</f>
        <v/>
      </c>
      <c r="D84" s="550">
        <f>$E$36*'05_Datos_Historicos'!S92+$E$37*'05_Datos_Historicos'!T92+$E$38*'05_Datos_Historicos'!U92</f>
        <v/>
      </c>
    </row>
    <row r="85">
      <c r="C85" s="553">
        <f>'05_Datos_Historicos'!M93</f>
        <v/>
      </c>
      <c r="D85" s="550">
        <f>$E$36*'05_Datos_Historicos'!S93+$E$37*'05_Datos_Historicos'!T93+$E$38*'05_Datos_Historicos'!U93</f>
        <v/>
      </c>
    </row>
    <row r="86">
      <c r="C86" s="553">
        <f>'05_Datos_Historicos'!M94</f>
        <v/>
      </c>
      <c r="D86" s="550">
        <f>$E$36*'05_Datos_Historicos'!S94+$E$37*'05_Datos_Historicos'!T94+$E$38*'05_Datos_Historicos'!U94</f>
        <v/>
      </c>
    </row>
    <row r="87">
      <c r="C87" s="553">
        <f>'05_Datos_Historicos'!M95</f>
        <v/>
      </c>
      <c r="D87" s="550">
        <f>$E$36*'05_Datos_Historicos'!S95+$E$37*'05_Datos_Historicos'!T95+$E$38*'05_Datos_Historicos'!U95</f>
        <v/>
      </c>
    </row>
    <row r="88">
      <c r="C88" s="553">
        <f>'05_Datos_Historicos'!M96</f>
        <v/>
      </c>
      <c r="D88" s="550">
        <f>$E$36*'05_Datos_Historicos'!S96+$E$37*'05_Datos_Historicos'!T96+$E$38*'05_Datos_Historicos'!U96</f>
        <v/>
      </c>
    </row>
    <row r="89">
      <c r="C89" s="553">
        <f>'05_Datos_Historicos'!M97</f>
        <v/>
      </c>
      <c r="D89" s="550">
        <f>$E$36*'05_Datos_Historicos'!S97+$E$37*'05_Datos_Historicos'!T97+$E$38*'05_Datos_Historicos'!U97</f>
        <v/>
      </c>
    </row>
    <row r="90">
      <c r="C90" s="553">
        <f>'05_Datos_Historicos'!M98</f>
        <v/>
      </c>
      <c r="D90" s="550">
        <f>$E$36*'05_Datos_Historicos'!S98+$E$37*'05_Datos_Historicos'!T98+$E$38*'05_Datos_Historicos'!U98</f>
        <v/>
      </c>
    </row>
    <row r="91">
      <c r="C91" s="553">
        <f>'05_Datos_Historicos'!M99</f>
        <v/>
      </c>
      <c r="D91" s="550">
        <f>$E$36*'05_Datos_Historicos'!S99+$E$37*'05_Datos_Historicos'!T99+$E$38*'05_Datos_Historicos'!U99</f>
        <v/>
      </c>
    </row>
    <row r="92">
      <c r="C92" s="553">
        <f>'05_Datos_Historicos'!M100</f>
        <v/>
      </c>
      <c r="D92" s="550">
        <f>$E$36*'05_Datos_Historicos'!S100+$E$37*'05_Datos_Historicos'!T100+$E$38*'05_Datos_Historicos'!U100</f>
        <v/>
      </c>
    </row>
    <row r="93">
      <c r="C93" s="553">
        <f>'05_Datos_Historicos'!M101</f>
        <v/>
      </c>
      <c r="D93" s="550">
        <f>$E$36*'05_Datos_Historicos'!S101+$E$37*'05_Datos_Historicos'!T101+$E$38*'05_Datos_Historicos'!U101</f>
        <v/>
      </c>
    </row>
    <row r="94">
      <c r="C94" s="553">
        <f>'05_Datos_Historicos'!M102</f>
        <v/>
      </c>
      <c r="D94" s="550">
        <f>$E$36*'05_Datos_Historicos'!S102+$E$37*'05_Datos_Historicos'!T102+$E$38*'05_Datos_Historicos'!U102</f>
        <v/>
      </c>
    </row>
    <row r="95">
      <c r="C95" s="553">
        <f>'05_Datos_Historicos'!M103</f>
        <v/>
      </c>
      <c r="D95" s="550">
        <f>$E$36*'05_Datos_Historicos'!S103+$E$37*'05_Datos_Historicos'!T103+$E$38*'05_Datos_Historicos'!U103</f>
        <v/>
      </c>
    </row>
    <row r="96">
      <c r="C96" s="553">
        <f>'05_Datos_Historicos'!M104</f>
        <v/>
      </c>
      <c r="D96" s="550">
        <f>$E$36*'05_Datos_Historicos'!S104+$E$37*'05_Datos_Historicos'!T104+$E$38*'05_Datos_Historicos'!U104</f>
        <v/>
      </c>
    </row>
    <row r="97">
      <c r="C97" s="553">
        <f>'05_Datos_Historicos'!M105</f>
        <v/>
      </c>
      <c r="D97" s="550">
        <f>$E$36*'05_Datos_Historicos'!S105+$E$37*'05_Datos_Historicos'!T105+$E$38*'05_Datos_Historicos'!U105</f>
        <v/>
      </c>
    </row>
    <row r="98">
      <c r="C98" s="553">
        <f>'05_Datos_Historicos'!M106</f>
        <v/>
      </c>
      <c r="D98" s="550">
        <f>$E$36*'05_Datos_Historicos'!S106+$E$37*'05_Datos_Historicos'!T106+$E$38*'05_Datos_Historicos'!U106</f>
        <v/>
      </c>
    </row>
    <row r="99">
      <c r="C99" s="553">
        <f>'05_Datos_Historicos'!M107</f>
        <v/>
      </c>
      <c r="D99" s="550">
        <f>$E$36*'05_Datos_Historicos'!S107+$E$37*'05_Datos_Historicos'!T107+$E$38*'05_Datos_Historicos'!U107</f>
        <v/>
      </c>
    </row>
    <row r="100">
      <c r="C100" s="553">
        <f>'05_Datos_Historicos'!M108</f>
        <v/>
      </c>
      <c r="D100" s="550">
        <f>$E$36*'05_Datos_Historicos'!S108+$E$37*'05_Datos_Historicos'!T108+$E$38*'05_Datos_Historicos'!U108</f>
        <v/>
      </c>
    </row>
    <row r="101">
      <c r="C101" s="553">
        <f>'05_Datos_Historicos'!M109</f>
        <v/>
      </c>
      <c r="D101" s="550">
        <f>$E$36*'05_Datos_Historicos'!S109+$E$37*'05_Datos_Historicos'!T109+$E$38*'05_Datos_Historicos'!U109</f>
        <v/>
      </c>
    </row>
    <row r="102">
      <c r="C102" s="553">
        <f>'05_Datos_Historicos'!M110</f>
        <v/>
      </c>
      <c r="D102" s="550">
        <f>$E$36*'05_Datos_Historicos'!S110+$E$37*'05_Datos_Historicos'!T110+$E$38*'05_Datos_Historicos'!U110</f>
        <v/>
      </c>
    </row>
    <row r="103">
      <c r="C103" s="553">
        <f>'05_Datos_Historicos'!M111</f>
        <v/>
      </c>
      <c r="D103" s="550">
        <f>$E$36*'05_Datos_Historicos'!S111+$E$37*'05_Datos_Historicos'!T111+$E$38*'05_Datos_Historicos'!U111</f>
        <v/>
      </c>
    </row>
    <row r="104">
      <c r="C104" s="553">
        <f>'05_Datos_Historicos'!M112</f>
        <v/>
      </c>
      <c r="D104" s="550">
        <f>$E$36*'05_Datos_Historicos'!S112+$E$37*'05_Datos_Historicos'!T112+$E$38*'05_Datos_Historicos'!U112</f>
        <v/>
      </c>
    </row>
    <row r="105">
      <c r="C105" s="553">
        <f>'05_Datos_Historicos'!M113</f>
        <v/>
      </c>
      <c r="D105" s="550">
        <f>$E$36*'05_Datos_Historicos'!S113+$E$37*'05_Datos_Historicos'!T113+$E$38*'05_Datos_Historicos'!U113</f>
        <v/>
      </c>
    </row>
    <row r="106">
      <c r="C106" s="553">
        <f>'05_Datos_Historicos'!M114</f>
        <v/>
      </c>
      <c r="D106" s="550">
        <f>$E$36*'05_Datos_Historicos'!S114+$E$37*'05_Datos_Historicos'!T114+$E$38*'05_Datos_Historicos'!U114</f>
        <v/>
      </c>
    </row>
    <row r="107">
      <c r="C107" s="553">
        <f>'05_Datos_Historicos'!M115</f>
        <v/>
      </c>
      <c r="D107" s="550">
        <f>$E$36*'05_Datos_Historicos'!S115+$E$37*'05_Datos_Historicos'!T115+$E$38*'05_Datos_Historicos'!U115</f>
        <v/>
      </c>
    </row>
    <row r="108">
      <c r="C108" s="553">
        <f>'05_Datos_Historicos'!M116</f>
        <v/>
      </c>
      <c r="D108" s="550">
        <f>$E$36*'05_Datos_Historicos'!S116+$E$37*'05_Datos_Historicos'!T116+$E$38*'05_Datos_Historicos'!U116</f>
        <v/>
      </c>
    </row>
    <row r="109">
      <c r="C109" s="553">
        <f>'05_Datos_Historicos'!M117</f>
        <v/>
      </c>
      <c r="D109" s="550">
        <f>$E$36*'05_Datos_Historicos'!S117+$E$37*'05_Datos_Historicos'!T117+$E$38*'05_Datos_Historicos'!U117</f>
        <v/>
      </c>
    </row>
    <row r="110">
      <c r="C110" s="553">
        <f>'05_Datos_Historicos'!M118</f>
        <v/>
      </c>
      <c r="D110" s="550">
        <f>$E$36*'05_Datos_Historicos'!S118+$E$37*'05_Datos_Historicos'!T118+$E$38*'05_Datos_Historicos'!U118</f>
        <v/>
      </c>
    </row>
    <row r="111">
      <c r="C111" s="553">
        <f>'05_Datos_Historicos'!M119</f>
        <v/>
      </c>
      <c r="D111" s="550">
        <f>$E$36*'05_Datos_Historicos'!S119+$E$37*'05_Datos_Historicos'!T119+$E$38*'05_Datos_Historicos'!U119</f>
        <v/>
      </c>
    </row>
    <row r="112">
      <c r="C112" s="553">
        <f>'05_Datos_Historicos'!M120</f>
        <v/>
      </c>
      <c r="D112" s="550">
        <f>$E$36*'05_Datos_Historicos'!S120+$E$37*'05_Datos_Historicos'!T120+$E$38*'05_Datos_Historicos'!U120</f>
        <v/>
      </c>
    </row>
    <row r="113">
      <c r="C113" s="553">
        <f>'05_Datos_Historicos'!M121</f>
        <v/>
      </c>
      <c r="D113" s="550">
        <f>$E$36*'05_Datos_Historicos'!S121+$E$37*'05_Datos_Historicos'!T121+$E$38*'05_Datos_Historicos'!U121</f>
        <v/>
      </c>
    </row>
    <row r="114">
      <c r="C114" s="553">
        <f>'05_Datos_Historicos'!M122</f>
        <v/>
      </c>
      <c r="D114" s="550">
        <f>$E$36*'05_Datos_Historicos'!S122+$E$37*'05_Datos_Historicos'!T122+$E$38*'05_Datos_Historicos'!U122</f>
        <v/>
      </c>
    </row>
    <row r="115">
      <c r="C115" s="553">
        <f>'05_Datos_Historicos'!M123</f>
        <v/>
      </c>
      <c r="D115" s="550">
        <f>$E$36*'05_Datos_Historicos'!S123+$E$37*'05_Datos_Historicos'!T123+$E$38*'05_Datos_Historicos'!U123</f>
        <v/>
      </c>
    </row>
    <row r="116">
      <c r="C116" s="553">
        <f>'05_Datos_Historicos'!M124</f>
        <v/>
      </c>
      <c r="D116" s="550">
        <f>$E$36*'05_Datos_Historicos'!S124+$E$37*'05_Datos_Historicos'!T124+$E$38*'05_Datos_Historicos'!U124</f>
        <v/>
      </c>
    </row>
    <row r="117">
      <c r="C117" s="553">
        <f>'05_Datos_Historicos'!M125</f>
        <v/>
      </c>
      <c r="D117" s="550">
        <f>$E$36*'05_Datos_Historicos'!S125+$E$37*'05_Datos_Historicos'!T125+$E$38*'05_Datos_Historicos'!U125</f>
        <v/>
      </c>
    </row>
    <row r="118">
      <c r="C118" s="553">
        <f>'05_Datos_Historicos'!M126</f>
        <v/>
      </c>
      <c r="D118" s="550">
        <f>$E$36*'05_Datos_Historicos'!S126+$E$37*'05_Datos_Historicos'!T126+$E$38*'05_Datos_Historicos'!U126</f>
        <v/>
      </c>
    </row>
    <row r="119">
      <c r="C119" s="553">
        <f>'05_Datos_Historicos'!M127</f>
        <v/>
      </c>
      <c r="D119" s="550">
        <f>$E$36*'05_Datos_Historicos'!S127+$E$37*'05_Datos_Historicos'!T127+$E$38*'05_Datos_Historicos'!U127</f>
        <v/>
      </c>
    </row>
    <row r="120">
      <c r="C120" s="553">
        <f>'05_Datos_Historicos'!M128</f>
        <v/>
      </c>
      <c r="D120" s="550">
        <f>$E$36*'05_Datos_Historicos'!S128+$E$37*'05_Datos_Historicos'!T128+$E$38*'05_Datos_Historicos'!U128</f>
        <v/>
      </c>
    </row>
    <row r="121">
      <c r="C121" s="553">
        <f>'05_Datos_Historicos'!M129</f>
        <v/>
      </c>
      <c r="D121" s="550">
        <f>$E$36*'05_Datos_Historicos'!S129+$E$37*'05_Datos_Historicos'!T129+$E$38*'05_Datos_Historicos'!U129</f>
        <v/>
      </c>
    </row>
    <row r="122">
      <c r="C122" s="553">
        <f>'05_Datos_Historicos'!M130</f>
        <v/>
      </c>
      <c r="D122" s="550">
        <f>$E$36*'05_Datos_Historicos'!S130+$E$37*'05_Datos_Historicos'!T130+$E$38*'05_Datos_Historicos'!U130</f>
        <v/>
      </c>
    </row>
    <row r="123">
      <c r="C123" s="553">
        <f>'05_Datos_Historicos'!M131</f>
        <v/>
      </c>
      <c r="D123" s="550">
        <f>$E$36*'05_Datos_Historicos'!S131+$E$37*'05_Datos_Historicos'!T131+$E$38*'05_Datos_Historicos'!U131</f>
        <v/>
      </c>
    </row>
    <row r="124">
      <c r="C124" s="553">
        <f>'05_Datos_Historicos'!M132</f>
        <v/>
      </c>
      <c r="D124" s="550">
        <f>$E$36*'05_Datos_Historicos'!S132+$E$37*'05_Datos_Historicos'!T132+$E$38*'05_Datos_Historicos'!U132</f>
        <v/>
      </c>
    </row>
    <row r="125">
      <c r="C125" s="553">
        <f>'05_Datos_Historicos'!M133</f>
        <v/>
      </c>
      <c r="D125" s="550">
        <f>$E$36*'05_Datos_Historicos'!S133+$E$37*'05_Datos_Historicos'!T133+$E$38*'05_Datos_Historicos'!U133</f>
        <v/>
      </c>
    </row>
    <row r="126">
      <c r="C126" s="553">
        <f>'05_Datos_Historicos'!M134</f>
        <v/>
      </c>
      <c r="D126" s="550">
        <f>$E$36*'05_Datos_Historicos'!S134+$E$37*'05_Datos_Historicos'!T134+$E$38*'05_Datos_Historicos'!U134</f>
        <v/>
      </c>
    </row>
    <row r="127">
      <c r="C127" s="553">
        <f>'05_Datos_Historicos'!M135</f>
        <v/>
      </c>
      <c r="D127" s="550">
        <f>$E$36*'05_Datos_Historicos'!S135+$E$37*'05_Datos_Historicos'!T135+$E$38*'05_Datos_Historicos'!U135</f>
        <v/>
      </c>
    </row>
    <row r="128">
      <c r="C128" s="553">
        <f>'05_Datos_Historicos'!M136</f>
        <v/>
      </c>
      <c r="D128" s="550">
        <f>$E$36*'05_Datos_Historicos'!S136+$E$37*'05_Datos_Historicos'!T136+$E$38*'05_Datos_Historicos'!U136</f>
        <v/>
      </c>
    </row>
    <row r="129">
      <c r="C129" s="553">
        <f>'05_Datos_Historicos'!M137</f>
        <v/>
      </c>
      <c r="D129" s="550">
        <f>$E$36*'05_Datos_Historicos'!S137+$E$37*'05_Datos_Historicos'!T137+$E$38*'05_Datos_Historicos'!U137</f>
        <v/>
      </c>
    </row>
    <row r="130">
      <c r="C130" s="553">
        <f>'05_Datos_Historicos'!M138</f>
        <v/>
      </c>
      <c r="D130" s="550">
        <f>$E$36*'05_Datos_Historicos'!S138+$E$37*'05_Datos_Historicos'!T138+$E$38*'05_Datos_Historicos'!U138</f>
        <v/>
      </c>
    </row>
    <row r="131">
      <c r="C131" s="553">
        <f>'05_Datos_Historicos'!M139</f>
        <v/>
      </c>
      <c r="D131" s="550">
        <f>$E$36*'05_Datos_Historicos'!S139+$E$37*'05_Datos_Historicos'!T139+$E$38*'05_Datos_Historicos'!U139</f>
        <v/>
      </c>
    </row>
    <row r="132">
      <c r="C132" s="553">
        <f>'05_Datos_Historicos'!M140</f>
        <v/>
      </c>
      <c r="D132" s="550">
        <f>$E$36*'05_Datos_Historicos'!S140+$E$37*'05_Datos_Historicos'!T140+$E$38*'05_Datos_Historicos'!U140</f>
        <v/>
      </c>
    </row>
    <row r="133">
      <c r="C133" s="553">
        <f>'05_Datos_Historicos'!M141</f>
        <v/>
      </c>
      <c r="D133" s="550">
        <f>$E$36*'05_Datos_Historicos'!S141+$E$37*'05_Datos_Historicos'!T141+$E$38*'05_Datos_Historicos'!U141</f>
        <v/>
      </c>
    </row>
    <row r="134">
      <c r="C134" s="553">
        <f>'05_Datos_Historicos'!M142</f>
        <v/>
      </c>
      <c r="D134" s="550">
        <f>$E$36*'05_Datos_Historicos'!S142+$E$37*'05_Datos_Historicos'!T142+$E$38*'05_Datos_Historicos'!U142</f>
        <v/>
      </c>
    </row>
    <row r="135">
      <c r="C135" s="553">
        <f>'05_Datos_Historicos'!M143</f>
        <v/>
      </c>
      <c r="D135" s="550">
        <f>$E$36*'05_Datos_Historicos'!S143+$E$37*'05_Datos_Historicos'!T143+$E$38*'05_Datos_Historicos'!U143</f>
        <v/>
      </c>
    </row>
    <row r="136">
      <c r="C136" s="553">
        <f>'05_Datos_Historicos'!M144</f>
        <v/>
      </c>
      <c r="D136" s="550">
        <f>$E$36*'05_Datos_Historicos'!S144+$E$37*'05_Datos_Historicos'!T144+$E$38*'05_Datos_Historicos'!U144</f>
        <v/>
      </c>
    </row>
    <row r="137">
      <c r="C137" s="553">
        <f>'05_Datos_Historicos'!M145</f>
        <v/>
      </c>
      <c r="D137" s="550">
        <f>$E$36*'05_Datos_Historicos'!S145+$E$37*'05_Datos_Historicos'!T145+$E$38*'05_Datos_Historicos'!U145</f>
        <v/>
      </c>
    </row>
    <row r="138">
      <c r="C138" s="553">
        <f>'05_Datos_Historicos'!M146</f>
        <v/>
      </c>
      <c r="D138" s="550">
        <f>$E$36*'05_Datos_Historicos'!S146+$E$37*'05_Datos_Historicos'!T146+$E$38*'05_Datos_Historicos'!U146</f>
        <v/>
      </c>
    </row>
    <row r="139">
      <c r="C139" s="553">
        <f>'05_Datos_Historicos'!M147</f>
        <v/>
      </c>
      <c r="D139" s="550">
        <f>$E$36*'05_Datos_Historicos'!S147+$E$37*'05_Datos_Historicos'!T147+$E$38*'05_Datos_Historicos'!U147</f>
        <v/>
      </c>
    </row>
    <row r="140">
      <c r="C140" s="553">
        <f>'05_Datos_Historicos'!M148</f>
        <v/>
      </c>
      <c r="D140" s="550">
        <f>$E$36*'05_Datos_Historicos'!S148+$E$37*'05_Datos_Historicos'!T148+$E$38*'05_Datos_Historicos'!U148</f>
        <v/>
      </c>
    </row>
    <row r="141">
      <c r="C141" s="553">
        <f>'05_Datos_Historicos'!M149</f>
        <v/>
      </c>
      <c r="D141" s="550">
        <f>$E$36*'05_Datos_Historicos'!S149+$E$37*'05_Datos_Historicos'!T149+$E$38*'05_Datos_Historicos'!U149</f>
        <v/>
      </c>
    </row>
    <row r="142">
      <c r="C142" s="553">
        <f>'05_Datos_Historicos'!M150</f>
        <v/>
      </c>
      <c r="D142" s="550">
        <f>$E$36*'05_Datos_Historicos'!S150+$E$37*'05_Datos_Historicos'!T150+$E$38*'05_Datos_Historicos'!U150</f>
        <v/>
      </c>
    </row>
    <row r="143">
      <c r="C143" s="553">
        <f>'05_Datos_Historicos'!M151</f>
        <v/>
      </c>
      <c r="D143" s="550">
        <f>$E$36*'05_Datos_Historicos'!S151+$E$37*'05_Datos_Historicos'!T151+$E$38*'05_Datos_Historicos'!U151</f>
        <v/>
      </c>
    </row>
    <row r="144">
      <c r="C144" s="553">
        <f>'05_Datos_Historicos'!M152</f>
        <v/>
      </c>
      <c r="D144" s="550">
        <f>$E$36*'05_Datos_Historicos'!S152+$E$37*'05_Datos_Historicos'!T152+$E$38*'05_Datos_Historicos'!U152</f>
        <v/>
      </c>
    </row>
    <row r="145">
      <c r="C145" s="553">
        <f>'05_Datos_Historicos'!M153</f>
        <v/>
      </c>
      <c r="D145" s="550">
        <f>$E$36*'05_Datos_Historicos'!S153+$E$37*'05_Datos_Historicos'!T153+$E$38*'05_Datos_Historicos'!U153</f>
        <v/>
      </c>
    </row>
    <row r="146">
      <c r="C146" s="553">
        <f>'05_Datos_Historicos'!M154</f>
        <v/>
      </c>
      <c r="D146" s="550">
        <f>$E$36*'05_Datos_Historicos'!S154+$E$37*'05_Datos_Historicos'!T154+$E$38*'05_Datos_Historicos'!U154</f>
        <v/>
      </c>
    </row>
    <row r="147">
      <c r="C147" s="553">
        <f>'05_Datos_Historicos'!M155</f>
        <v/>
      </c>
      <c r="D147" s="550">
        <f>$E$36*'05_Datos_Historicos'!S155+$E$37*'05_Datos_Historicos'!T155+$E$38*'05_Datos_Historicos'!U155</f>
        <v/>
      </c>
    </row>
    <row r="148">
      <c r="C148" s="553">
        <f>'05_Datos_Historicos'!M156</f>
        <v/>
      </c>
      <c r="D148" s="550">
        <f>$E$36*'05_Datos_Historicos'!S156+$E$37*'05_Datos_Historicos'!T156+$E$38*'05_Datos_Historicos'!U156</f>
        <v/>
      </c>
    </row>
    <row r="149">
      <c r="C149" s="553">
        <f>'05_Datos_Historicos'!M157</f>
        <v/>
      </c>
      <c r="D149" s="550">
        <f>$E$36*'05_Datos_Historicos'!S157+$E$37*'05_Datos_Historicos'!T157+$E$38*'05_Datos_Historicos'!U157</f>
        <v/>
      </c>
    </row>
    <row r="150">
      <c r="C150" s="553">
        <f>'05_Datos_Historicos'!M158</f>
        <v/>
      </c>
      <c r="D150" s="550">
        <f>$E$36*'05_Datos_Historicos'!S158+$E$37*'05_Datos_Historicos'!T158+$E$38*'05_Datos_Historicos'!U158</f>
        <v/>
      </c>
    </row>
    <row r="151">
      <c r="C151" s="553">
        <f>'05_Datos_Historicos'!M159</f>
        <v/>
      </c>
      <c r="D151" s="550">
        <f>$E$36*'05_Datos_Historicos'!S159+$E$37*'05_Datos_Historicos'!T159+$E$38*'05_Datos_Historicos'!U159</f>
        <v/>
      </c>
    </row>
    <row r="152">
      <c r="C152" s="553">
        <f>'05_Datos_Historicos'!M160</f>
        <v/>
      </c>
      <c r="D152" s="550">
        <f>$E$36*'05_Datos_Historicos'!S160+$E$37*'05_Datos_Historicos'!T160+$E$38*'05_Datos_Historicos'!U160</f>
        <v/>
      </c>
    </row>
    <row r="153">
      <c r="C153" s="553">
        <f>'05_Datos_Historicos'!M161</f>
        <v/>
      </c>
      <c r="D153" s="550">
        <f>$E$36*'05_Datos_Historicos'!S161+$E$37*'05_Datos_Historicos'!T161+$E$38*'05_Datos_Historicos'!U161</f>
        <v/>
      </c>
    </row>
    <row r="154">
      <c r="C154" s="553">
        <f>'05_Datos_Historicos'!M162</f>
        <v/>
      </c>
      <c r="D154" s="550">
        <f>$E$36*'05_Datos_Historicos'!S162+$E$37*'05_Datos_Historicos'!T162+$E$38*'05_Datos_Historicos'!U162</f>
        <v/>
      </c>
    </row>
    <row r="155">
      <c r="C155" s="553">
        <f>'05_Datos_Historicos'!M163</f>
        <v/>
      </c>
      <c r="D155" s="550">
        <f>$E$36*'05_Datos_Historicos'!S163+$E$37*'05_Datos_Historicos'!T163+$E$38*'05_Datos_Historicos'!U163</f>
        <v/>
      </c>
    </row>
    <row r="156">
      <c r="C156" s="553">
        <f>'05_Datos_Historicos'!M164</f>
        <v/>
      </c>
      <c r="D156" s="550">
        <f>$E$36*'05_Datos_Historicos'!S164+$E$37*'05_Datos_Historicos'!T164+$E$38*'05_Datos_Historicos'!U164</f>
        <v/>
      </c>
    </row>
    <row r="157">
      <c r="C157" s="553">
        <f>'05_Datos_Historicos'!M165</f>
        <v/>
      </c>
      <c r="D157" s="550">
        <f>$E$36*'05_Datos_Historicos'!S165+$E$37*'05_Datos_Historicos'!T165+$E$38*'05_Datos_Historicos'!U165</f>
        <v/>
      </c>
    </row>
    <row r="158">
      <c r="C158" s="553">
        <f>'05_Datos_Historicos'!M166</f>
        <v/>
      </c>
      <c r="D158" s="550">
        <f>$E$36*'05_Datos_Historicos'!S166+$E$37*'05_Datos_Historicos'!T166+$E$38*'05_Datos_Historicos'!U166</f>
        <v/>
      </c>
    </row>
    <row r="159">
      <c r="C159" s="553">
        <f>'05_Datos_Historicos'!M167</f>
        <v/>
      </c>
      <c r="D159" s="550">
        <f>$E$36*'05_Datos_Historicos'!S167+$E$37*'05_Datos_Historicos'!T167+$E$38*'05_Datos_Historicos'!U167</f>
        <v/>
      </c>
    </row>
    <row r="160">
      <c r="C160" s="553">
        <f>'05_Datos_Historicos'!M168</f>
        <v/>
      </c>
      <c r="D160" s="550">
        <f>$E$36*'05_Datos_Historicos'!S168+$E$37*'05_Datos_Historicos'!T168+$E$38*'05_Datos_Historicos'!U168</f>
        <v/>
      </c>
    </row>
    <row r="161">
      <c r="C161" s="553">
        <f>'05_Datos_Historicos'!M169</f>
        <v/>
      </c>
      <c r="D161" s="550">
        <f>$E$36*'05_Datos_Historicos'!S169+$E$37*'05_Datos_Historicos'!T169+$E$38*'05_Datos_Historicos'!U169</f>
        <v/>
      </c>
    </row>
    <row r="162">
      <c r="C162" s="553">
        <f>'05_Datos_Historicos'!M170</f>
        <v/>
      </c>
      <c r="D162" s="550">
        <f>$E$36*'05_Datos_Historicos'!S170+$E$37*'05_Datos_Historicos'!T170+$E$38*'05_Datos_Historicos'!U170</f>
        <v/>
      </c>
    </row>
    <row r="163">
      <c r="C163" s="553">
        <f>'05_Datos_Historicos'!M171</f>
        <v/>
      </c>
      <c r="D163" s="550">
        <f>$E$36*'05_Datos_Historicos'!S171+$E$37*'05_Datos_Historicos'!T171+$E$38*'05_Datos_Historicos'!U171</f>
        <v/>
      </c>
    </row>
    <row r="164">
      <c r="C164" s="553">
        <f>'05_Datos_Historicos'!M172</f>
        <v/>
      </c>
      <c r="D164" s="550">
        <f>$E$36*'05_Datos_Historicos'!S172+$E$37*'05_Datos_Historicos'!T172+$E$38*'05_Datos_Historicos'!U172</f>
        <v/>
      </c>
    </row>
    <row r="165">
      <c r="C165" s="553">
        <f>'05_Datos_Historicos'!M173</f>
        <v/>
      </c>
      <c r="D165" s="550">
        <f>$E$36*'05_Datos_Historicos'!S173+$E$37*'05_Datos_Historicos'!T173+$E$38*'05_Datos_Historicos'!U173</f>
        <v/>
      </c>
    </row>
    <row r="166">
      <c r="C166" s="553">
        <f>'05_Datos_Historicos'!M174</f>
        <v/>
      </c>
      <c r="D166" s="550">
        <f>$E$36*'05_Datos_Historicos'!S174+$E$37*'05_Datos_Historicos'!T174+$E$38*'05_Datos_Historicos'!U174</f>
        <v/>
      </c>
    </row>
    <row r="167">
      <c r="C167" s="553">
        <f>'05_Datos_Historicos'!M175</f>
        <v/>
      </c>
      <c r="D167" s="550">
        <f>$E$36*'05_Datos_Historicos'!S175+$E$37*'05_Datos_Historicos'!T175+$E$38*'05_Datos_Historicos'!U175</f>
        <v/>
      </c>
    </row>
    <row r="168">
      <c r="C168" s="553">
        <f>'05_Datos_Historicos'!M176</f>
        <v/>
      </c>
      <c r="D168" s="550">
        <f>$E$36*'05_Datos_Historicos'!S176+$E$37*'05_Datos_Historicos'!T176+$E$38*'05_Datos_Historicos'!U176</f>
        <v/>
      </c>
    </row>
    <row r="169">
      <c r="C169" s="553">
        <f>'05_Datos_Historicos'!M177</f>
        <v/>
      </c>
      <c r="D169" s="550">
        <f>$E$36*'05_Datos_Historicos'!S177+$E$37*'05_Datos_Historicos'!T177+$E$38*'05_Datos_Historicos'!U177</f>
        <v/>
      </c>
    </row>
    <row r="170">
      <c r="C170" s="553">
        <f>'05_Datos_Historicos'!M178</f>
        <v/>
      </c>
      <c r="D170" s="550">
        <f>$E$36*'05_Datos_Historicos'!S178+$E$37*'05_Datos_Historicos'!T178+$E$38*'05_Datos_Historicos'!U178</f>
        <v/>
      </c>
    </row>
    <row r="171">
      <c r="C171" s="553">
        <f>'05_Datos_Historicos'!M179</f>
        <v/>
      </c>
      <c r="D171" s="550">
        <f>$E$36*'05_Datos_Historicos'!S179+$E$37*'05_Datos_Historicos'!T179+$E$38*'05_Datos_Historicos'!U179</f>
        <v/>
      </c>
    </row>
    <row r="172">
      <c r="C172" s="553">
        <f>'05_Datos_Historicos'!M180</f>
        <v/>
      </c>
      <c r="D172" s="550">
        <f>$E$36*'05_Datos_Historicos'!S180+$E$37*'05_Datos_Historicos'!T180+$E$38*'05_Datos_Historicos'!U180</f>
        <v/>
      </c>
    </row>
    <row r="173">
      <c r="C173" s="553">
        <f>'05_Datos_Historicos'!M181</f>
        <v/>
      </c>
      <c r="D173" s="550">
        <f>$E$36*'05_Datos_Historicos'!S181+$E$37*'05_Datos_Historicos'!T181+$E$38*'05_Datos_Historicos'!U181</f>
        <v/>
      </c>
    </row>
    <row r="174">
      <c r="C174" s="553">
        <f>'05_Datos_Historicos'!M182</f>
        <v/>
      </c>
      <c r="D174" s="550">
        <f>$E$36*'05_Datos_Historicos'!S182+$E$37*'05_Datos_Historicos'!T182+$E$38*'05_Datos_Historicos'!U182</f>
        <v/>
      </c>
    </row>
    <row r="175">
      <c r="C175" s="553">
        <f>'05_Datos_Historicos'!M183</f>
        <v/>
      </c>
      <c r="D175" s="550">
        <f>$E$36*'05_Datos_Historicos'!S183+$E$37*'05_Datos_Historicos'!T183+$E$38*'05_Datos_Historicos'!U183</f>
        <v/>
      </c>
    </row>
    <row r="176">
      <c r="C176" s="553">
        <f>'05_Datos_Historicos'!M184</f>
        <v/>
      </c>
      <c r="D176" s="550">
        <f>$E$36*'05_Datos_Historicos'!S184+$E$37*'05_Datos_Historicos'!T184+$E$38*'05_Datos_Historicos'!U184</f>
        <v/>
      </c>
    </row>
    <row r="177">
      <c r="C177" s="553">
        <f>'05_Datos_Historicos'!M185</f>
        <v/>
      </c>
      <c r="D177" s="550">
        <f>$E$36*'05_Datos_Historicos'!S185+$E$37*'05_Datos_Historicos'!T185+$E$38*'05_Datos_Historicos'!U185</f>
        <v/>
      </c>
    </row>
    <row r="178">
      <c r="C178" s="553">
        <f>'05_Datos_Historicos'!M186</f>
        <v/>
      </c>
      <c r="D178" s="550">
        <f>$E$36*'05_Datos_Historicos'!S186+$E$37*'05_Datos_Historicos'!T186+$E$38*'05_Datos_Historicos'!U186</f>
        <v/>
      </c>
    </row>
    <row r="179">
      <c r="C179" s="553">
        <f>'05_Datos_Historicos'!M187</f>
        <v/>
      </c>
      <c r="D179" s="550">
        <f>$E$36*'05_Datos_Historicos'!S187+$E$37*'05_Datos_Historicos'!T187+$E$38*'05_Datos_Historicos'!U187</f>
        <v/>
      </c>
    </row>
    <row r="180">
      <c r="C180" s="553">
        <f>'05_Datos_Historicos'!M188</f>
        <v/>
      </c>
      <c r="D180" s="550">
        <f>$E$36*'05_Datos_Historicos'!S188+$E$37*'05_Datos_Historicos'!T188+$E$38*'05_Datos_Historicos'!U188</f>
        <v/>
      </c>
    </row>
    <row r="181">
      <c r="C181" s="553">
        <f>'05_Datos_Historicos'!M189</f>
        <v/>
      </c>
      <c r="D181" s="550">
        <f>$E$36*'05_Datos_Historicos'!S189+$E$37*'05_Datos_Historicos'!T189+$E$38*'05_Datos_Historicos'!U189</f>
        <v/>
      </c>
    </row>
    <row r="182">
      <c r="C182" s="553">
        <f>'05_Datos_Historicos'!M190</f>
        <v/>
      </c>
      <c r="D182" s="550">
        <f>$E$36*'05_Datos_Historicos'!S190+$E$37*'05_Datos_Historicos'!T190+$E$38*'05_Datos_Historicos'!U190</f>
        <v/>
      </c>
    </row>
    <row r="183">
      <c r="C183" s="553">
        <f>'05_Datos_Historicos'!M191</f>
        <v/>
      </c>
      <c r="D183" s="550">
        <f>$E$36*'05_Datos_Historicos'!S191+$E$37*'05_Datos_Historicos'!T191+$E$38*'05_Datos_Historicos'!U191</f>
        <v/>
      </c>
    </row>
    <row r="184">
      <c r="C184" s="553">
        <f>'05_Datos_Historicos'!M192</f>
        <v/>
      </c>
      <c r="D184" s="550">
        <f>$E$36*'05_Datos_Historicos'!S192+$E$37*'05_Datos_Historicos'!T192+$E$38*'05_Datos_Historicos'!U192</f>
        <v/>
      </c>
    </row>
    <row r="185">
      <c r="C185" s="553">
        <f>'05_Datos_Historicos'!M193</f>
        <v/>
      </c>
      <c r="D185" s="550">
        <f>$E$36*'05_Datos_Historicos'!S193+$E$37*'05_Datos_Historicos'!T193+$E$38*'05_Datos_Historicos'!U193</f>
        <v/>
      </c>
    </row>
    <row r="186">
      <c r="C186" s="553">
        <f>'05_Datos_Historicos'!M194</f>
        <v/>
      </c>
      <c r="D186" s="550">
        <f>$E$36*'05_Datos_Historicos'!S194+$E$37*'05_Datos_Historicos'!T194+$E$38*'05_Datos_Historicos'!U194</f>
        <v/>
      </c>
    </row>
    <row r="187">
      <c r="C187" s="553">
        <f>'05_Datos_Historicos'!M195</f>
        <v/>
      </c>
      <c r="D187" s="550">
        <f>$E$36*'05_Datos_Historicos'!S195+$E$37*'05_Datos_Historicos'!T195+$E$38*'05_Datos_Historicos'!U195</f>
        <v/>
      </c>
    </row>
    <row r="188">
      <c r="C188" s="553">
        <f>'05_Datos_Historicos'!M196</f>
        <v/>
      </c>
      <c r="D188" s="550">
        <f>$E$36*'05_Datos_Historicos'!S196+$E$37*'05_Datos_Historicos'!T196+$E$38*'05_Datos_Historicos'!U196</f>
        <v/>
      </c>
    </row>
    <row r="189">
      <c r="C189" s="553">
        <f>'05_Datos_Historicos'!M197</f>
        <v/>
      </c>
      <c r="D189" s="550">
        <f>$E$36*'05_Datos_Historicos'!S197+$E$37*'05_Datos_Historicos'!T197+$E$38*'05_Datos_Historicos'!U197</f>
        <v/>
      </c>
    </row>
    <row r="190">
      <c r="C190" s="553">
        <f>'05_Datos_Historicos'!M198</f>
        <v/>
      </c>
      <c r="D190" s="550">
        <f>$E$36*'05_Datos_Historicos'!S198+$E$37*'05_Datos_Historicos'!T198+$E$38*'05_Datos_Historicos'!U198</f>
        <v/>
      </c>
    </row>
    <row r="191">
      <c r="C191" s="553">
        <f>'05_Datos_Historicos'!M199</f>
        <v/>
      </c>
      <c r="D191" s="550">
        <f>$E$36*'05_Datos_Historicos'!S199+$E$37*'05_Datos_Historicos'!T199+$E$38*'05_Datos_Historicos'!U199</f>
        <v/>
      </c>
    </row>
    <row r="192">
      <c r="C192" s="553">
        <f>'05_Datos_Historicos'!M200</f>
        <v/>
      </c>
      <c r="D192" s="550">
        <f>$E$36*'05_Datos_Historicos'!S200+$E$37*'05_Datos_Historicos'!T200+$E$38*'05_Datos_Historicos'!U200</f>
        <v/>
      </c>
    </row>
    <row r="193">
      <c r="C193" s="553">
        <f>'05_Datos_Historicos'!M201</f>
        <v/>
      </c>
      <c r="D193" s="550">
        <f>$E$36*'05_Datos_Historicos'!S201+$E$37*'05_Datos_Historicos'!T201+$E$38*'05_Datos_Historicos'!U201</f>
        <v/>
      </c>
    </row>
    <row r="194">
      <c r="C194" s="553">
        <f>'05_Datos_Historicos'!M202</f>
        <v/>
      </c>
      <c r="D194" s="550">
        <f>$E$36*'05_Datos_Historicos'!S202+$E$37*'05_Datos_Historicos'!T202+$E$38*'05_Datos_Historicos'!U202</f>
        <v/>
      </c>
    </row>
    <row r="195">
      <c r="C195" s="553">
        <f>'05_Datos_Historicos'!M203</f>
        <v/>
      </c>
      <c r="D195" s="550">
        <f>$E$36*'05_Datos_Historicos'!S203+$E$37*'05_Datos_Historicos'!T203+$E$38*'05_Datos_Historicos'!U203</f>
        <v/>
      </c>
    </row>
    <row r="196">
      <c r="C196" s="553">
        <f>'05_Datos_Historicos'!M204</f>
        <v/>
      </c>
      <c r="D196" s="550">
        <f>$E$36*'05_Datos_Historicos'!S204+$E$37*'05_Datos_Historicos'!T204+$E$38*'05_Datos_Historicos'!U204</f>
        <v/>
      </c>
    </row>
    <row r="197">
      <c r="C197" s="553">
        <f>'05_Datos_Historicos'!M205</f>
        <v/>
      </c>
      <c r="D197" s="550">
        <f>$E$36*'05_Datos_Historicos'!S205+$E$37*'05_Datos_Historicos'!T205+$E$38*'05_Datos_Historicos'!U205</f>
        <v/>
      </c>
    </row>
    <row r="198">
      <c r="C198" s="553">
        <f>'05_Datos_Historicos'!M206</f>
        <v/>
      </c>
      <c r="D198" s="550">
        <f>$E$36*'05_Datos_Historicos'!S206+$E$37*'05_Datos_Historicos'!T206+$E$38*'05_Datos_Historicos'!U206</f>
        <v/>
      </c>
    </row>
    <row r="199">
      <c r="C199" s="553">
        <f>'05_Datos_Historicos'!M207</f>
        <v/>
      </c>
      <c r="D199" s="550">
        <f>$E$36*'05_Datos_Historicos'!S207+$E$37*'05_Datos_Historicos'!T207+$E$38*'05_Datos_Historicos'!U207</f>
        <v/>
      </c>
    </row>
    <row r="200">
      <c r="C200" s="553">
        <f>'05_Datos_Historicos'!M208</f>
        <v/>
      </c>
      <c r="D200" s="550">
        <f>$E$36*'05_Datos_Historicos'!S208+$E$37*'05_Datos_Historicos'!T208+$E$38*'05_Datos_Historicos'!U208</f>
        <v/>
      </c>
    </row>
    <row r="201">
      <c r="C201" s="553">
        <f>'05_Datos_Historicos'!M209</f>
        <v/>
      </c>
      <c r="D201" s="550">
        <f>$E$36*'05_Datos_Historicos'!S209+$E$37*'05_Datos_Historicos'!T209+$E$38*'05_Datos_Historicos'!U209</f>
        <v/>
      </c>
    </row>
    <row r="202">
      <c r="C202" s="553">
        <f>'05_Datos_Historicos'!M210</f>
        <v/>
      </c>
      <c r="D202" s="550">
        <f>$E$36*'05_Datos_Historicos'!S210+$E$37*'05_Datos_Historicos'!T210+$E$38*'05_Datos_Historicos'!U210</f>
        <v/>
      </c>
    </row>
    <row r="203">
      <c r="C203" s="553">
        <f>'05_Datos_Historicos'!M211</f>
        <v/>
      </c>
      <c r="D203" s="550">
        <f>$E$36*'05_Datos_Historicos'!S211+$E$37*'05_Datos_Historicos'!T211+$E$38*'05_Datos_Historicos'!U211</f>
        <v/>
      </c>
    </row>
    <row r="204">
      <c r="C204" s="553">
        <f>'05_Datos_Historicos'!M212</f>
        <v/>
      </c>
      <c r="D204" s="550">
        <f>$E$36*'05_Datos_Historicos'!S212+$E$37*'05_Datos_Historicos'!T212+$E$38*'05_Datos_Historicos'!U212</f>
        <v/>
      </c>
    </row>
    <row r="205">
      <c r="C205" s="553">
        <f>'05_Datos_Historicos'!M213</f>
        <v/>
      </c>
      <c r="D205" s="550">
        <f>$E$36*'05_Datos_Historicos'!S213+$E$37*'05_Datos_Historicos'!T213+$E$38*'05_Datos_Historicos'!U213</f>
        <v/>
      </c>
    </row>
    <row r="206">
      <c r="C206" s="553">
        <f>'05_Datos_Historicos'!M214</f>
        <v/>
      </c>
      <c r="D206" s="550">
        <f>$E$36*'05_Datos_Historicos'!S214+$E$37*'05_Datos_Historicos'!T214+$E$38*'05_Datos_Historicos'!U214</f>
        <v/>
      </c>
    </row>
  </sheetData>
  <mergeCells count="13">
    <mergeCell ref="C71:L71"/>
    <mergeCell ref="C65:L65"/>
    <mergeCell ref="C53:L53"/>
    <mergeCell ref="C69:L69"/>
    <mergeCell ref="C70:L70"/>
    <mergeCell ref="C4:L4"/>
    <mergeCell ref="C64:L64"/>
    <mergeCell ref="C30:L30"/>
    <mergeCell ref="C68:L68"/>
    <mergeCell ref="C15:L15"/>
    <mergeCell ref="C63:L63"/>
    <mergeCell ref="C72:L72"/>
    <mergeCell ref="C33:L33"/>
  </mergeCells>
  <conditionalFormatting sqref="H12">
    <cfRule type="containsText" priority="1" operator="containsText" dxfId="0" text="ERROR">
      <formula>NOT(ISERROR(SEARCH("ERROR",H12)))</formula>
    </cfRule>
  </conditionalFormatting>
  <conditionalFormatting sqref="G40">
    <cfRule type="containsText" priority="2" operator="containsText" dxfId="0" text="ERROR">
      <formula>NOT(ISERROR(SEARCH("ERROR",G40)))</formula>
    </cfRule>
  </conditionalFormatting>
  <conditionalFormatting sqref="H60">
    <cfRule type="containsText" priority="3" operator="containsText" dxfId="0" text="ERROR">
      <formula>NOT(ISERROR(SEARCH("ERROR",H60)))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C2:L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C2" s="396" t="inlineStr">
        <is>
          <t>MODELO NEXUM - MONTECARLO DE VIABILIDAD DE OBJETIVOS (v3)</t>
        </is>
      </c>
    </row>
    <row r="3">
      <c r="C3" s="4" t="inlineStr">
        <is>
          <t>Corrido fuera de Excel (Python, bootstrap de retornos mensuales historicos, 20.000 simulaciones). monte_carlo_objetivos.py. v3: nucleo pasivo (bonos+SPY, glide path) 100% a Educacion; satelite activo (3 estrategias) 100% a Propiedad+Herencia.</t>
        </is>
      </c>
    </row>
    <row r="5">
      <c r="C5" s="399" t="inlineStr">
        <is>
          <t>1. QUE CAMBIO VS. LA VERSION ANTERIOR</t>
        </is>
      </c>
    </row>
    <row r="6">
      <c r="C6" s="426" t="inlineStr">
        <is>
          <t>• v1/v2 mezclaban SPY y CASH dentro del sleeve de "Crecimiento" junto a las 3 estrategias activas, y el sleeve de Educacion solo tenia bonos. Eso dejaba a Educacion (prioridad 1 del IPS) con la MENOR probabilidad de exito de los tres objetivos — invertido respecto a la logica de prioridades.</t>
        </is>
      </c>
      <c r="D6" s="425" t="n"/>
      <c r="E6" s="425" t="n"/>
      <c r="F6" s="425" t="n"/>
      <c r="G6" s="425" t="n"/>
      <c r="H6" s="425" t="n"/>
      <c r="I6" s="425" t="n"/>
      <c r="J6" s="425" t="n"/>
      <c r="K6" s="425" t="n"/>
      <c r="L6" s="425" t="n"/>
    </row>
    <row r="7">
      <c r="C7" s="426" t="inlineStr">
        <is>
          <t>• v3 separa el mandato en NUCLEO PASIVO (bonos + SPY, con glide path que baja el riesgo a medida que se acercan los pagos de 2029-2035) dedicado 100% a Educacion, y SATELITE ACTIVO (Momentum acciones + BAB + Momentum commodities, financiado con los aportes anuales) dedicado 100% a Propiedad y Herencia.</t>
        </is>
      </c>
      <c r="D7" s="425" t="n"/>
      <c r="E7" s="425" t="n"/>
      <c r="F7" s="425" t="n"/>
      <c r="G7" s="425" t="n"/>
      <c r="H7" s="425" t="n"/>
      <c r="I7" s="425" t="n"/>
      <c r="J7" s="425" t="n"/>
      <c r="K7" s="425" t="n"/>
      <c r="L7" s="425" t="n"/>
    </row>
    <row r="8">
      <c r="C8" s="426" t="inlineStr">
        <is>
          <t>• Resultado: Educacion sube de ~40-60% a 75-98% de probabilidad (segun el supuesto de retorno de SPY, ver seccion 2), y ahora es coherente con su prioridad: el objetivo #1 recibe el nucleo mas estable y protegido, los objetivos #2-3 reciben el motor de mayor retorno esperado con mas tiempo para compensar la volatilidad.</t>
        </is>
      </c>
      <c r="D8" s="425" t="n"/>
      <c r="E8" s="425" t="n"/>
      <c r="F8" s="425" t="n"/>
      <c r="G8" s="425" t="n"/>
      <c r="H8" s="425" t="n"/>
      <c r="I8" s="425" t="n"/>
      <c r="J8" s="425" t="n"/>
      <c r="K8" s="425" t="n"/>
      <c r="L8" s="425" t="n"/>
    </row>
    <row r="10">
      <c r="C10" s="399" t="inlineStr">
        <is>
          <t>2. RESULTADOS - EDUCACION SEGUN SUPUESTO DE RETORNO DE SPY (buffer 1,00x, sin ajustar aun)</t>
        </is>
      </c>
    </row>
    <row r="11">
      <c r="C11" s="411" t="inlineStr">
        <is>
          <t>Escenario</t>
        </is>
      </c>
      <c r="D11" s="411" t="inlineStr">
        <is>
          <t>Retorno SPY usado</t>
        </is>
      </c>
      <c r="E11" s="411" t="inlineStr">
        <is>
          <t>Prob. Educacion</t>
        </is>
      </c>
      <c r="F11" s="411" t="inlineStr">
        <is>
          <t>Prob. Propiedad</t>
        </is>
      </c>
      <c r="G11" s="411" t="inlineStr">
        <is>
          <t>Prob. Herencia</t>
        </is>
      </c>
      <c r="H11" s="411" t="inlineStr">
        <is>
          <t>Prob. los 3 a la vez</t>
        </is>
      </c>
    </row>
    <row r="12">
      <c r="C12" s="110" t="inlineStr">
        <is>
          <t>OPTIMISTA: retorno historico real de la ventana 2011-2026 (mercado alcista excepcional, ~12,3%/año real)</t>
        </is>
      </c>
      <c r="D12" s="555" t="n">
        <v>0.123</v>
      </c>
      <c r="E12" s="555" t="n">
        <v>0.97955</v>
      </c>
      <c r="F12" s="555" t="n">
        <v>0.9992</v>
      </c>
      <c r="G12" s="555" t="n">
        <v>0.99835</v>
      </c>
      <c r="H12" s="555" t="n">
        <v>0.9779</v>
      </c>
    </row>
    <row r="13">
      <c r="C13" s="110" t="inlineStr">
        <is>
          <t>PRUDENTE (recomendado para decidir): retorno real de largo plazo EEUU (Damodaran/Siegel, ~6,5%/año)</t>
        </is>
      </c>
      <c r="D13" s="555" t="n">
        <v>0.065</v>
      </c>
      <c r="E13" s="555" t="n">
        <v>0.751</v>
      </c>
      <c r="F13" s="555" t="n">
        <v>0.9992</v>
      </c>
      <c r="G13" s="555" t="n">
        <v>0.99835</v>
      </c>
      <c r="H13" s="555" t="n">
        <v>0.74985</v>
      </c>
    </row>
    <row r="14">
      <c r="C14" s="426" t="inlineStr">
        <is>
          <t>La ventana historica disponible es solo 15 años y coincidio con uno de los mejores periodos bursatiles de la historia de EEUU. El escenario PRUDENTE es la base mas defendible para decidir; el OPTIMISTA muestra el techo si el mercado se comporta como en 2011-2026.</t>
        </is>
      </c>
      <c r="D14" s="425" t="n"/>
      <c r="E14" s="425" t="n"/>
      <c r="F14" s="425" t="n"/>
      <c r="G14" s="425" t="n"/>
      <c r="H14" s="425" t="n"/>
      <c r="I14" s="425" t="n"/>
      <c r="J14" s="425" t="n"/>
      <c r="K14" s="425" t="n"/>
      <c r="L14" s="425" t="n"/>
    </row>
    <row r="16">
      <c r="C16" s="399" t="inlineStr">
        <is>
          <t>3. RESULTADOS - CONFIGURACION RECOMENDADA (buffer 1,30x, escenario prudente)</t>
        </is>
      </c>
    </row>
    <row r="17">
      <c r="C17" s="411" t="inlineStr">
        <is>
          <t>Objetivo</t>
        </is>
      </c>
      <c r="D17" s="411" t="inlineStr">
        <is>
          <t>Prob. financiado 100%</t>
        </is>
      </c>
      <c r="E17" s="411" t="inlineStr">
        <is>
          <t>Shortfall promedio si falla</t>
        </is>
      </c>
      <c r="F17" s="411" t="inlineStr">
        <is>
          <t>P10 saldo relevante</t>
        </is>
      </c>
      <c r="G17" s="411" t="inlineStr">
        <is>
          <t>P50 saldo relevante</t>
        </is>
      </c>
      <c r="H17" s="411" t="inlineStr">
        <is>
          <t>P90 saldo relevante</t>
        </is>
      </c>
    </row>
    <row r="18">
      <c r="C18" s="110" t="inlineStr">
        <is>
          <t>Educacion (Vicente + Emilia)</t>
        </is>
      </c>
      <c r="D18" s="555" t="n">
        <v>0.90215</v>
      </c>
      <c r="E18" s="556" t="n">
        <v>25963.39597197502</v>
      </c>
      <c r="F18" s="556" t="n">
        <v>1021.210109852003</v>
      </c>
      <c r="G18" s="556" t="n">
        <v>113904.8729557092</v>
      </c>
      <c r="H18" s="556" t="n">
        <v>315235.1555811922</v>
      </c>
    </row>
    <row r="19">
      <c r="C19" s="110" t="inlineStr">
        <is>
          <t>Propiedad Villarrica (año 25, saldo antes de pagar)</t>
        </is>
      </c>
      <c r="D19" s="555" t="n">
        <v>0.9967</v>
      </c>
      <c r="E19" s="556" t="n">
        <v>58114.54805128036</v>
      </c>
      <c r="F19" s="556" t="n">
        <v>894731.3911802794</v>
      </c>
      <c r="G19" s="556" t="n">
        <v>1615932.597052749</v>
      </c>
      <c r="H19" s="556" t="n">
        <v>2940040.347759387</v>
      </c>
    </row>
    <row r="20">
      <c r="C20" s="110" t="inlineStr">
        <is>
          <t>Herencia (año 50)</t>
        </is>
      </c>
      <c r="D20" s="555" t="n">
        <v>0.994</v>
      </c>
      <c r="E20" s="556" t="n">
        <v>385961.474527329</v>
      </c>
      <c r="F20" s="556" t="n">
        <v>4629321.769408106</v>
      </c>
      <c r="G20" s="556" t="n">
        <v>17216809.69562556</v>
      </c>
      <c r="H20" s="556" t="n">
        <v>52127185.06349608</v>
      </c>
    </row>
    <row r="21">
      <c r="C21" s="549" t="inlineStr">
        <is>
          <t>LOS TRES OBJETIVOS CUMPLIDOS EN SU TOTALIDAD</t>
        </is>
      </c>
      <c r="D21" s="557" t="n">
        <v>0.8966499999999999</v>
      </c>
    </row>
    <row r="23">
      <c r="C23" s="399" t="inlineStr">
        <is>
          <t>4. SENSIBILIDAD AL BUFFER DE CAPITAL DEL NUCLEO PASIVO (escenario prudente)</t>
        </is>
      </c>
    </row>
    <row r="24">
      <c r="C24" s="426" t="inlineStr">
        <is>
          <t>Subir el buffer traspasa capital de Propiedad/Herencia a Educacion. A diferencia de v2, el satelite activo tiene tanta holgura (Sharpe ~1,18, con aportes anuales por 19 años y horizontes de 25-50 años) que subir el buffer cuesta muy poco en Propiedad/Herencia — el punto de retornos decrecientes recien aparece cerca de 1,6x.</t>
        </is>
      </c>
      <c r="D24" s="425" t="n"/>
      <c r="E24" s="425" t="n"/>
      <c r="F24" s="425" t="n"/>
      <c r="G24" s="425" t="n"/>
      <c r="H24" s="425" t="n"/>
      <c r="I24" s="425" t="n"/>
      <c r="J24" s="425" t="n"/>
      <c r="K24" s="425" t="n"/>
      <c r="L24" s="425" t="n"/>
    </row>
    <row r="25">
      <c r="C25" s="411" t="inlineStr">
        <is>
          <t>Buffer</t>
        </is>
      </c>
      <c r="D25" s="411" t="inlineStr">
        <is>
          <t>Capital núcleo</t>
        </is>
      </c>
      <c r="E25" s="411" t="inlineStr">
        <is>
          <t>Capital satélite</t>
        </is>
      </c>
      <c r="F25" s="411" t="inlineStr">
        <is>
          <t>Educacion</t>
        </is>
      </c>
      <c r="G25" s="411" t="inlineStr">
        <is>
          <t>Propiedad</t>
        </is>
      </c>
      <c r="H25" s="411" t="inlineStr">
        <is>
          <t>Herencia</t>
        </is>
      </c>
      <c r="I25" s="411" t="inlineStr">
        <is>
          <t>Los 3 a la vez</t>
        </is>
      </c>
    </row>
    <row r="26">
      <c r="C26" s="558" t="n">
        <v>1</v>
      </c>
      <c r="D26" s="556" t="n">
        <v>92747.03454098242</v>
      </c>
      <c r="E26" s="556" t="n">
        <v>57252.96545901758</v>
      </c>
      <c r="F26" s="555" t="n">
        <v>0.7500666666666667</v>
      </c>
      <c r="G26" s="555" t="n">
        <v>0.9988666666666667</v>
      </c>
      <c r="H26" s="555" t="n">
        <v>0.9975333333333334</v>
      </c>
      <c r="I26" s="555" t="n">
        <v>0.7480666666666667</v>
      </c>
    </row>
    <row r="27">
      <c r="C27" s="558" t="n">
        <v>1.1</v>
      </c>
      <c r="D27" s="556" t="n">
        <v>102021.7379950807</v>
      </c>
      <c r="E27" s="556" t="n">
        <v>47978.26200491932</v>
      </c>
      <c r="F27" s="555" t="n">
        <v>0.8196</v>
      </c>
      <c r="G27" s="555" t="n">
        <v>0.9982</v>
      </c>
      <c r="H27" s="555" t="n">
        <v>0.9968</v>
      </c>
      <c r="I27" s="555" t="n">
        <v>0.8168666666666666</v>
      </c>
    </row>
    <row r="28">
      <c r="C28" s="558" t="n">
        <v>1.2</v>
      </c>
      <c r="D28" s="556" t="n">
        <v>111296.4414491789</v>
      </c>
      <c r="E28" s="556" t="n">
        <v>38703.55855082109</v>
      </c>
      <c r="F28" s="555" t="n">
        <v>0.869</v>
      </c>
      <c r="G28" s="555" t="n">
        <v>0.9971333333333333</v>
      </c>
      <c r="H28" s="555" t="n">
        <v>0.9954666666666667</v>
      </c>
      <c r="I28" s="555" t="n">
        <v>0.8651333333333333</v>
      </c>
    </row>
    <row r="29">
      <c r="C29" s="559" t="n">
        <v>1.3</v>
      </c>
      <c r="D29" s="560" t="n">
        <v>120571.1449032771</v>
      </c>
      <c r="E29" s="560" t="n">
        <v>29428.85509672285</v>
      </c>
      <c r="F29" s="561" t="n">
        <v>0.9032</v>
      </c>
      <c r="G29" s="561" t="n">
        <v>0.9958</v>
      </c>
      <c r="H29" s="561" t="n">
        <v>0.9924666666666667</v>
      </c>
      <c r="I29" s="561" t="n">
        <v>0.8966666666666666</v>
      </c>
    </row>
    <row r="30">
      <c r="C30" s="558" t="n">
        <v>1.4</v>
      </c>
      <c r="D30" s="556" t="n">
        <v>129845.8483573754</v>
      </c>
      <c r="E30" s="556" t="n">
        <v>20154.15164262462</v>
      </c>
      <c r="F30" s="555" t="n">
        <v>0.9298666666666666</v>
      </c>
      <c r="G30" s="555" t="n">
        <v>0.9929333333333333</v>
      </c>
      <c r="H30" s="555" t="n">
        <v>0.9893333333333333</v>
      </c>
      <c r="I30" s="555" t="n">
        <v>0.9201333333333334</v>
      </c>
    </row>
    <row r="31">
      <c r="C31" s="558" t="n">
        <v>1.5</v>
      </c>
      <c r="D31" s="556" t="n">
        <v>139120.5518114736</v>
      </c>
      <c r="E31" s="556" t="n">
        <v>10879.44818852638</v>
      </c>
      <c r="F31" s="555" t="n">
        <v>0.9496666666666667</v>
      </c>
      <c r="G31" s="555" t="n">
        <v>0.9893333333333333</v>
      </c>
      <c r="H31" s="555" t="n">
        <v>0.9820666666666666</v>
      </c>
      <c r="I31" s="555" t="n">
        <v>0.9326</v>
      </c>
    </row>
    <row r="32">
      <c r="C32" s="558" t="n">
        <v>1.6</v>
      </c>
      <c r="D32" s="556" t="n">
        <v>148395.2552655719</v>
      </c>
      <c r="E32" s="556" t="n">
        <v>1604.744734428125</v>
      </c>
      <c r="F32" s="555" t="n">
        <v>0.9637333333333333</v>
      </c>
      <c r="G32" s="555" t="n">
        <v>0.9804</v>
      </c>
      <c r="H32" s="555" t="n">
        <v>0.9692</v>
      </c>
      <c r="I32" s="555" t="n">
        <v>0.9340000000000001</v>
      </c>
    </row>
    <row r="34">
      <c r="C34" s="399" t="inlineStr">
        <is>
          <t>5. LECTURA Y RECOMENDACIONES</t>
        </is>
      </c>
    </row>
    <row r="35">
      <c r="C35" s="426" t="inlineStr">
        <is>
          <t>• El cambio estructural (nucleo pasivo con SPY + glide path para Educacion; satelite 100% activo para Propiedad/Herencia) es la mejora de mayor impacto encontrada hasta ahora: Educacion pasa de ~40-60% a 75-98% de probabilidad, y ahora es coherente con ser la prioridad 1 del IPS.</t>
        </is>
      </c>
      <c r="D35" s="425" t="n"/>
      <c r="E35" s="425" t="n"/>
      <c r="F35" s="425" t="n"/>
      <c r="G35" s="425" t="n"/>
      <c r="H35" s="425" t="n"/>
      <c r="I35" s="425" t="n"/>
      <c r="J35" s="425" t="n"/>
      <c r="K35" s="425" t="n"/>
      <c r="L35" s="425" t="n"/>
    </row>
    <row r="36">
      <c r="C36" s="426" t="inlineStr">
        <is>
          <t>• El buffer de capital (seccion 4) es la segunda palanca: 1,30x lleva Educacion a ~90% con un costo casi nulo en Propiedad (99,6%) y Herencia (99,2%), porque el satelite activo tiene mucha holgura. Recomendado como punto de partida; ajustable segun cuanto riesgo esta dispuesta a tomar la familia en Educacion vs. cuanto capital "sobra" para las otras metas.</t>
        </is>
      </c>
      <c r="D36" s="425" t="n"/>
      <c r="E36" s="425" t="n"/>
      <c r="F36" s="425" t="n"/>
      <c r="G36" s="425" t="n"/>
      <c r="H36" s="425" t="n"/>
      <c r="I36" s="425" t="n"/>
      <c r="J36" s="425" t="n"/>
      <c r="K36" s="425" t="n"/>
      <c r="L36" s="425" t="n"/>
    </row>
    <row r="37">
      <c r="C37" s="426" t="inlineStr">
        <is>
          <t>• El supuesto de retorno de SPY (seccion 2, celda D13 de esta hoja / D22 de 09_Optimizador_Cartera) es la variable individual que mas mueve el resultado: 6,5% real (historico largo plazo, prudente) vs. 12,3% real (ventana 2011-2026, probablemente no repetible). Usar el prudente para decidir; el optimista es el techo, no la base.</t>
        </is>
      </c>
      <c r="D37" s="425" t="n"/>
      <c r="E37" s="425" t="n"/>
      <c r="F37" s="425" t="n"/>
      <c r="G37" s="425" t="n"/>
      <c r="H37" s="425" t="n"/>
      <c r="I37" s="425" t="n"/>
      <c r="J37" s="425" t="n"/>
      <c r="K37" s="425" t="n"/>
      <c r="L37" s="425" t="n"/>
    </row>
    <row r="38">
      <c r="C38" s="426" t="inlineStr">
        <is>
          <t>• RECOMENDACION A FUTURO DE MAYOR IMPACTO: agregar TIPS (LTPZ/TIP/SCHP) al nucleo pasivo — cubren inflacion (el pasivo esta en USD reales) mejor que TLH nominal. Requiere datos que no hay en esta sesion (sin internet).</t>
        </is>
      </c>
      <c r="D38" s="425" t="n"/>
      <c r="E38" s="425" t="n"/>
      <c r="F38" s="425" t="n"/>
      <c r="G38" s="425" t="n"/>
      <c r="H38" s="425" t="n"/>
      <c r="I38" s="425" t="n"/>
      <c r="J38" s="425" t="n"/>
      <c r="K38" s="425" t="n"/>
      <c r="L38" s="425" t="n"/>
    </row>
    <row r="39">
      <c r="C39" s="426" t="inlineStr">
        <is>
          <t>• Estos numeros siguen dependiendo de pesos que son un borrador (ver PENDIENTE en 09_Optimizador_Cartera) y de proxies ETF para Momentum/BAB en el satelite. Recalcular cuando esos puntos se resuelvan.</t>
        </is>
      </c>
      <c r="D39" s="425" t="n"/>
      <c r="E39" s="425" t="n"/>
      <c r="F39" s="425" t="n"/>
      <c r="G39" s="425" t="n"/>
      <c r="H39" s="425" t="n"/>
      <c r="I39" s="425" t="n"/>
      <c r="J39" s="425" t="n"/>
      <c r="K39" s="425" t="n"/>
      <c r="L39" s="425" t="n"/>
    </row>
    <row r="41">
      <c r="C41" s="399" t="inlineStr">
        <is>
          <t>6. COMO RE-CORRER ESTA SIMULACION</t>
        </is>
      </c>
    </row>
    <row r="42">
      <c r="C42" s="426" t="inlineStr">
        <is>
          <t>python monte_carlo_objetivos.py (requiere monthly_returns_all.csv). Editar SPY_REAL_ANNUAL, GLIDE_* y LDI_BUFFER al inicio del script para probar otros supuestos.</t>
        </is>
      </c>
      <c r="D42" s="425" t="n"/>
      <c r="E42" s="425" t="n"/>
      <c r="F42" s="425" t="n"/>
      <c r="G42" s="425" t="n"/>
      <c r="H42" s="425" t="n"/>
      <c r="I42" s="425" t="n"/>
      <c r="J42" s="425" t="n"/>
      <c r="K42" s="425" t="n"/>
      <c r="L42" s="425" t="n"/>
    </row>
    <row r="44">
      <c r="C44" s="562" t="inlineStr">
        <is>
          <t>AVISO: el saldo de Herencia en año 50 (P50 ~$17M) asume que el satélite activo sostiene su Sharpe ~1,18 backtesteado (2015-2026) durante 50 años seguidos. En la práctica el alpha de estrategias activas se erosiona con el tiempo (arbitrada, capacidad, cambios de régimen) — nadie sostiene ese retorno medio siglo. Tratar estos montos de Herencia como techo optimista, no como proyección; lo que sí es robusto es que Propiedad y Herencia tienen mucha holgura frente a Educación, que es la conclusión que sostiene la recomendación del buffer.</t>
        </is>
      </c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</row>
  </sheetData>
  <mergeCells count="12">
    <mergeCell ref="C37:L37"/>
    <mergeCell ref="C38:L38"/>
    <mergeCell ref="C39:L39"/>
    <mergeCell ref="C8:L8"/>
    <mergeCell ref="C35:L35"/>
    <mergeCell ref="C7:L7"/>
    <mergeCell ref="C6:L6"/>
    <mergeCell ref="C24:L24"/>
    <mergeCell ref="C42:L42"/>
    <mergeCell ref="C36:L36"/>
    <mergeCell ref="C14:L14"/>
    <mergeCell ref="C44:L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2026-09-10T21:33:00Z</dcterms:created>
  <dcterms:modified xsi:type="dcterms:W3CDTF">2026-09-11T02:10:45Z</dcterms:modified>
</cp:coreProperties>
</file>